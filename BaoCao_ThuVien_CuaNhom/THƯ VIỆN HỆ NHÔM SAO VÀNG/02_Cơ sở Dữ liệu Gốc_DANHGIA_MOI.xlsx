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STER_DATABASE" sheetId="1" state="visible" r:id="rId1"/>
    <sheet xmlns:r="http://schemas.openxmlformats.org/officeDocument/2006/relationships" name="02_TỔNG QUAN HỆ NHÔM" sheetId="2" state="visible" r:id="rId2"/>
    <sheet xmlns:r="http://schemas.openxmlformats.org/officeDocument/2006/relationships" name="03_SO SÁNH PHÂN KHÚC" sheetId="3" state="visible" r:id="rId3"/>
    <sheet xmlns:r="http://schemas.openxmlformats.org/officeDocument/2006/relationships" name="04_SO SÁNH LOẠI CỬA" sheetId="4" state="visible" r:id="rId4"/>
    <sheet xmlns:r="http://schemas.openxmlformats.org/officeDocument/2006/relationships" name="05_SO SÁNH KIỂU MỞ" sheetId="5" state="visible" r:id="rId5"/>
    <sheet xmlns:r="http://schemas.openxmlformats.org/officeDocument/2006/relationships" name="06_SO SÁNH ĐỘ DÀY NHÔM" sheetId="6" state="visible" r:id="rId6"/>
    <sheet xmlns:r="http://schemas.openxmlformats.org/officeDocument/2006/relationships" name="07_SO SÁNH KÍNH" sheetId="7" state="visible" r:id="rId7"/>
    <sheet xmlns:r="http://schemas.openxmlformats.org/officeDocument/2006/relationships" name="08_SO SÁNH KÍCH THƯỚC" sheetId="8" state="visible" r:id="rId8"/>
    <sheet xmlns:r="http://schemas.openxmlformats.org/officeDocument/2006/relationships" name="09_SO SÁNH TẢI TRỌNG" sheetId="9" state="visible" r:id="rId9"/>
    <sheet xmlns:r="http://schemas.openxmlformats.org/officeDocument/2006/relationships" name="10_SO SÁNH HIỆU NĂNG" sheetId="10" state="visible" r:id="rId10"/>
    <sheet xmlns:r="http://schemas.openxmlformats.org/officeDocument/2006/relationships" name="11_SO SÁNH PHỤ KIỆN" sheetId="11" state="visible" r:id="rId11"/>
    <sheet xmlns:r="http://schemas.openxmlformats.org/officeDocument/2006/relationships" name="12_SO SÁNH GIOĂNG" sheetId="12" state="visible" r:id="rId12"/>
    <sheet xmlns:r="http://schemas.openxmlformats.org/officeDocument/2006/relationships" name="13_SO SÁNH BỀ MẶT" sheetId="13" state="visible" r:id="rId13"/>
    <sheet xmlns:r="http://schemas.openxmlformats.org/officeDocument/2006/relationships" name="14_SO SÁNH ỨNG DỤNG" sheetId="14" state="visible" r:id="rId14"/>
    <sheet xmlns:r="http://schemas.openxmlformats.org/officeDocument/2006/relationships" name="15_SO SÁNH GIÁ" sheetId="15" state="visible" r:id="rId15"/>
    <sheet xmlns:r="http://schemas.openxmlformats.org/officeDocument/2006/relationships" name="16_SO SÁNH ƯU ĐIỂM" sheetId="16" state="visible" r:id="rId16"/>
    <sheet xmlns:r="http://schemas.openxmlformats.org/officeDocument/2006/relationships" name="17_SO SÁNH NHƯỢC ĐIỂM" sheetId="17" state="visible" r:id="rId17"/>
    <sheet xmlns:r="http://schemas.openxmlformats.org/officeDocument/2006/relationships" name="18_SO SÁNH TÀI LIỆU" sheetId="18" state="visible" r:id="rId18"/>
    <sheet xmlns:r="http://schemas.openxmlformats.org/officeDocument/2006/relationships" name="19_SO SÁNH HÌNH ẢNH" sheetId="19" state="visible" r:id="rId19"/>
    <sheet xmlns:r="http://schemas.openxmlformats.org/officeDocument/2006/relationships" name="20_ĐÁNH GIÁ SAO VÀNG" sheetId="20" state="visible" r:id="rId20"/>
    <sheet xmlns:r="http://schemas.openxmlformats.org/officeDocument/2006/relationships" name="21_DASHBOARD" sheetId="21" state="visible" r:id="rId21"/>
    <sheet xmlns:r="http://schemas.openxmlformats.org/officeDocument/2006/relationships" name="22_SO SÁNH TRỰC TIẾP THEO MÃ HỆ" sheetId="22" state="visible" r:id="rId22"/>
    <sheet xmlns:r="http://schemas.openxmlformats.org/officeDocument/2006/relationships" name="23_MA TRẬN HỆ NHÔM" sheetId="23" state="visible" r:id="rId23"/>
    <sheet xmlns:r="http://schemas.openxmlformats.org/officeDocument/2006/relationships" name="24_MA TRẬN HÃNG" sheetId="24" state="visible" r:id="rId24"/>
    <sheet xmlns:r="http://schemas.openxmlformats.org/officeDocument/2006/relationships" name="25_DANH MỤC PHÂN HỆ NỔI BẬT" sheetId="25" state="visible" r:id="rId25"/>
  </sheets>
  <definedNames>
    <definedName name="_xlnm._FilterDatabase" localSheetId="0" hidden="1">'01_MASTER_DATABASE'!$A$1:$AE$1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5E20"/>
      <sz val="9"/>
    </font>
    <font>
      <name val="Arial"/>
      <color rgb="00B71C1C"/>
      <sz val="9"/>
    </font>
    <font>
      <name val="Arial"/>
      <b val="1"/>
      <color rgb="000D2240"/>
      <sz val="14"/>
    </font>
    <font>
      <name val="Arial"/>
      <b val="1"/>
      <color rgb="00FFFFFF"/>
      <sz val="9.5"/>
    </font>
    <font>
      <name val="Arial"/>
      <b val="1"/>
      <sz val="10"/>
    </font>
    <font>
      <name val="Arial"/>
      <sz val="10"/>
    </font>
    <font>
      <name val="Arial"/>
      <b val="1"/>
    </font>
    <font>
      <name val="Arial"/>
      <sz val="9.5"/>
    </font>
    <font>
      <name val="Arial Black"/>
      <color rgb="000D2240"/>
      <sz val="16"/>
    </font>
    <font>
      <name val="Arial"/>
      <b val="1"/>
      <sz val="11"/>
    </font>
    <font>
      <name val="Arial Black"/>
      <color rgb="001B5E20"/>
      <sz val="11"/>
    </font>
    <font>
      <name val="Arial"/>
      <b val="1"/>
      <sz val="9.5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333333"/>
      <sz val="9"/>
    </font>
  </fonts>
  <fills count="55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0F2F1"/>
      </patternFill>
    </fill>
    <fill>
      <patternFill patternType="solid">
        <fgColor rgb="00E8EAF6"/>
      </patternFill>
    </fill>
    <fill>
      <patternFill patternType="solid">
        <fgColor rgb="00ECEFF1"/>
      </patternFill>
    </fill>
    <fill>
      <patternFill patternType="solid">
        <fgColor rgb="00FFECB3"/>
      </patternFill>
    </fill>
    <fill>
      <patternFill patternType="solid">
        <fgColor rgb="00E0F7FA"/>
      </patternFill>
    </fill>
    <fill>
      <patternFill patternType="solid">
        <fgColor rgb="00BBDEFB"/>
      </patternFill>
    </fill>
    <fill>
      <patternFill patternType="solid">
        <fgColor rgb="0064B5F6"/>
      </patternFill>
    </fill>
    <fill>
      <patternFill patternType="solid">
        <fgColor rgb="00E1BEE7"/>
      </patternFill>
    </fill>
    <fill>
      <patternFill patternType="solid">
        <fgColor rgb="00EC407A"/>
      </patternFill>
    </fill>
    <fill>
      <patternFill patternType="solid">
        <fgColor rgb="0081C784"/>
      </patternFill>
    </fill>
    <fill>
      <patternFill patternType="solid">
        <fgColor rgb="004CAF50"/>
      </patternFill>
    </fill>
    <fill>
      <patternFill patternType="solid">
        <fgColor rgb="00B2EBF2"/>
      </patternFill>
    </fill>
    <fill>
      <patternFill patternType="solid">
        <fgColor rgb="00A5D6A7"/>
      </patternFill>
    </fill>
    <fill>
      <patternFill patternType="solid">
        <fgColor rgb="00D4AF37"/>
      </patternFill>
    </fill>
    <fill>
      <patternFill patternType="solid">
        <fgColor rgb="00FFF3CD"/>
      </patternFill>
    </fill>
    <fill>
      <patternFill patternType="solid">
        <fgColor rgb="00FFE082"/>
      </patternFill>
    </fill>
    <fill>
      <patternFill patternType="solid">
        <fgColor rgb="00FF8A65"/>
      </patternFill>
    </fill>
    <fill>
      <patternFill patternType="solid">
        <fgColor rgb="00C8A000"/>
      </patternFill>
    </fill>
    <fill>
      <patternFill patternType="solid">
        <fgColor rgb="009C27B0"/>
      </patternFill>
    </fill>
    <fill>
      <patternFill patternType="solid">
        <fgColor rgb="00FFFFFF"/>
      </patternFill>
    </fill>
    <fill>
      <patternFill patternType="solid">
        <fgColor rgb="00E8D5B7"/>
      </patternFill>
    </fill>
    <fill>
      <patternFill patternType="solid">
        <fgColor rgb="00D4B896"/>
      </patternFill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00ACC1"/>
      </patternFill>
    </fill>
    <fill>
      <patternFill patternType="solid">
        <fgColor rgb="00C8E6C9"/>
      </patternFill>
    </fill>
    <fill>
      <patternFill patternType="solid">
        <fgColor rgb="00D7CCC8"/>
      </patternFill>
    </fill>
    <fill>
      <patternFill patternType="solid">
        <fgColor rgb="00A1887F"/>
      </patternFill>
    </fill>
    <fill>
      <patternFill patternType="solid">
        <fgColor rgb="00BCAAA4"/>
      </patternFill>
    </fill>
    <fill>
      <patternFill patternType="solid">
        <fgColor rgb="00795548"/>
      </patternFill>
    </fill>
    <fill>
      <patternFill patternType="solid">
        <fgColor rgb="004E342E"/>
      </patternFill>
    </fill>
    <fill>
      <patternFill patternType="solid">
        <fgColor rgb="00C5CAE9"/>
      </patternFill>
    </fill>
    <fill>
      <patternFill patternType="solid">
        <fgColor rgb="007986CB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CE4EC"/>
      </patternFill>
    </fill>
    <fill>
      <patternFill patternType="solid">
        <fgColor rgb="00F48FB1"/>
      </patternFill>
    </fill>
    <fill>
      <patternFill patternType="solid">
        <fgColor rgb="00E8F5E9"/>
      </patternFill>
    </fill>
    <fill>
      <patternFill patternType="solid">
        <fgColor rgb="00F8BBD9"/>
      </patternFill>
    </fill>
    <fill>
      <patternFill patternType="solid">
        <fgColor rgb="00424242"/>
      </patternFill>
    </fill>
    <fill>
      <patternFill patternType="solid">
        <fgColor rgb="00757575"/>
      </patternFill>
    </fill>
    <fill>
      <patternFill patternType="solid">
        <fgColor rgb="000B5345"/>
      </patternFill>
    </fill>
    <fill>
      <patternFill patternType="solid">
        <fgColor rgb="000F172A"/>
      </patternFill>
    </fill>
    <fill>
      <patternFill patternType="solid">
        <fgColor rgb="001E4620"/>
      </patternFill>
    </fill>
    <fill>
      <patternFill patternType="solid">
        <fgColor rgb="00E2E8F0"/>
      </patternFill>
    </fill>
    <fill>
      <patternFill patternType="solid">
        <fgColor rgb="009D174D"/>
      </patternFill>
    </fill>
    <fill>
      <patternFill patternType="solid">
        <fgColor rgb="009A3412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left" vertical="center" wrapText="1"/>
    </xf>
    <xf numFmtId="0" fontId="3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left" vertical="center" wrapText="1"/>
    </xf>
    <xf numFmtId="0" fontId="2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left" vertical="center" wrapText="1"/>
    </xf>
    <xf numFmtId="0" fontId="3" fillId="30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left" vertical="center" wrapText="1"/>
    </xf>
    <xf numFmtId="0" fontId="3" fillId="31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left" vertical="center" wrapText="1"/>
    </xf>
    <xf numFmtId="0" fontId="2" fillId="32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left" vertical="center" wrapText="1"/>
    </xf>
    <xf numFmtId="0" fontId="4" fillId="33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left" vertical="center" wrapText="1"/>
    </xf>
    <xf numFmtId="0" fontId="4" fillId="34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left" vertical="center" wrapText="1"/>
    </xf>
    <xf numFmtId="0" fontId="2" fillId="35" borderId="1" applyAlignment="1" pivotButton="0" quotePrefix="0" xfId="0">
      <alignment horizontal="center" vertical="center"/>
    </xf>
    <xf numFmtId="0" fontId="2" fillId="36" borderId="1" applyAlignment="1" pivotButton="0" quotePrefix="0" xfId="0">
      <alignment horizontal="left" vertical="center" wrapText="1"/>
    </xf>
    <xf numFmtId="0" fontId="2" fillId="36" borderId="1" applyAlignment="1" pivotButton="0" quotePrefix="0" xfId="0">
      <alignment horizontal="center" vertical="center"/>
    </xf>
    <xf numFmtId="0" fontId="2" fillId="37" borderId="1" applyAlignment="1" pivotButton="0" quotePrefix="0" xfId="0">
      <alignment horizontal="left" vertical="center" wrapText="1"/>
    </xf>
    <xf numFmtId="0" fontId="4" fillId="37" borderId="1" applyAlignment="1" pivotButton="0" quotePrefix="0" xfId="0">
      <alignment horizontal="center" vertical="center"/>
    </xf>
    <xf numFmtId="0" fontId="2" fillId="38" borderId="1" applyAlignment="1" pivotButton="0" quotePrefix="0" xfId="0">
      <alignment horizontal="left" vertical="center" wrapText="1"/>
    </xf>
    <xf numFmtId="0" fontId="4" fillId="38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left" vertical="center" wrapText="1"/>
    </xf>
    <xf numFmtId="0" fontId="4" fillId="39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left" vertical="center" wrapText="1"/>
    </xf>
    <xf numFmtId="0" fontId="3" fillId="40" borderId="1" applyAlignment="1" pivotButton="0" quotePrefix="0" xfId="0">
      <alignment horizontal="center" vertical="center"/>
    </xf>
    <xf numFmtId="0" fontId="2" fillId="41" borderId="1" applyAlignment="1" pivotButton="0" quotePrefix="0" xfId="0">
      <alignment horizontal="left" vertical="center" wrapText="1"/>
    </xf>
    <xf numFmtId="0" fontId="3" fillId="41" borderId="1" applyAlignment="1" pivotButton="0" quotePrefix="0" xfId="0">
      <alignment horizontal="center" vertical="center"/>
    </xf>
    <xf numFmtId="0" fontId="2" fillId="42" borderId="1" applyAlignment="1" pivotButton="0" quotePrefix="0" xfId="0">
      <alignment horizontal="left" vertical="center" wrapText="1"/>
    </xf>
    <xf numFmtId="0" fontId="2" fillId="42" borderId="1" applyAlignment="1" pivotButton="0" quotePrefix="0" xfId="0">
      <alignment horizontal="center" vertical="center"/>
    </xf>
    <xf numFmtId="0" fontId="2" fillId="43" borderId="1" applyAlignment="1" pivotButton="0" quotePrefix="0" xfId="0">
      <alignment horizontal="left" vertical="center" wrapText="1"/>
    </xf>
    <xf numFmtId="0" fontId="2" fillId="43" borderId="1" applyAlignment="1" pivotButton="0" quotePrefix="0" xfId="0">
      <alignment horizontal="center" vertical="center"/>
    </xf>
    <xf numFmtId="0" fontId="2" fillId="44" borderId="1" applyAlignment="1" pivotButton="0" quotePrefix="0" xfId="0">
      <alignment horizontal="left" vertical="center" wrapText="1"/>
    </xf>
    <xf numFmtId="0" fontId="3" fillId="44" borderId="1" applyAlignment="1" pivotButton="0" quotePrefix="0" xfId="0">
      <alignment horizontal="center" vertical="center"/>
    </xf>
    <xf numFmtId="0" fontId="2" fillId="45" borderId="1" applyAlignment="1" pivotButton="0" quotePrefix="0" xfId="0">
      <alignment horizontal="left" vertical="center" wrapText="1"/>
    </xf>
    <xf numFmtId="0" fontId="3" fillId="45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left" vertical="center" wrapText="1"/>
    </xf>
    <xf numFmtId="0" fontId="4" fillId="46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left" vertical="center" wrapText="1"/>
    </xf>
    <xf numFmtId="0" fontId="4" fillId="4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10" fillId="0" borderId="1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49" borderId="0" applyAlignment="1" pivotButton="0" quotePrefix="0" xfId="0">
      <alignment horizontal="center" vertical="center"/>
    </xf>
    <xf numFmtId="0" fontId="16" fillId="50" borderId="0" applyAlignment="1" pivotButton="0" quotePrefix="0" xfId="0">
      <alignment horizontal="left" vertical="center" indent="1"/>
    </xf>
    <xf numFmtId="0" fontId="17" fillId="5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16" fillId="52" borderId="0" applyAlignment="1" pivotButton="0" quotePrefix="0" xfId="0">
      <alignment horizontal="left" vertical="center" indent="1"/>
    </xf>
    <xf numFmtId="0" fontId="16" fillId="53" borderId="0" applyAlignment="1" pivotButton="0" quotePrefix="0" xfId="0">
      <alignment horizontal="left" vertical="center" indent="1"/>
    </xf>
    <xf numFmtId="0" fontId="16" fillId="54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6" customWidth="1" min="4" max="4"/>
    <col width="12" customWidth="1" min="5" max="5"/>
    <col width="18" customWidth="1" min="6" max="6"/>
    <col width="22" customWidth="1" min="7" max="7"/>
    <col width="22" customWidth="1" min="8" max="8"/>
    <col width="24" customWidth="1" min="9" max="9"/>
    <col width="18" customWidth="1" min="10" max="10"/>
    <col width="30" customWidth="1" min="11" max="11"/>
    <col width="14" customWidth="1" min="12" max="12"/>
    <col width="20" customWidth="1" min="13" max="13"/>
    <col width="12" customWidth="1" min="14" max="14"/>
    <col width="20" customWidth="1" min="15" max="15"/>
    <col width="15" customWidth="1" min="16" max="16"/>
    <col width="28" customWidth="1" min="17" max="17"/>
    <col width="28" customWidth="1" min="18" max="18"/>
    <col width="30" customWidth="1" min="19" max="19"/>
    <col width="40" customWidth="1" min="20" max="20"/>
    <col width="35" customWidth="1" min="21" max="21"/>
    <col width="8" customWidth="1" min="22" max="22"/>
    <col width="10" customWidth="1" min="23" max="23"/>
    <col width="10" customWidth="1" min="24" max="24"/>
    <col width="10" customWidth="1" min="25" max="25"/>
    <col width="18" customWidth="1" min="26" max="26"/>
    <col width="13" customWidth="1" min="27" max="27"/>
    <col width="25" customWidth="1" min="28" max="28"/>
    <col width="25" customWidth="1" min="29" max="29"/>
    <col width="25" customWidth="1" min="30" max="30"/>
  </cols>
  <sheetData>
    <row r="1" ht="45" customHeight="1">
      <c r="A1" s="1" t="inlineStr">
        <is>
          <t>ID</t>
        </is>
      </c>
      <c r="B1" s="1" t="inlineStr">
        <is>
          <t>Nhóm phân khúc</t>
        </is>
      </c>
      <c r="C1" s="1" t="inlineStr">
        <is>
          <t>Mã Hệ (System Code)</t>
        </is>
      </c>
      <c r="D1" s="1" t="inlineStr">
        <is>
          <t>Hãng Sản Xuất</t>
        </is>
      </c>
      <c r="E1" s="1" t="inlineStr">
        <is>
          <t>Quốc Gia</t>
        </is>
      </c>
      <c r="F1" s="1" t="inlineStr">
        <is>
          <t>Tiêu Chuẩn</t>
        </is>
      </c>
      <c r="G1" s="1" t="inlineStr">
        <is>
          <t>Loại Cửa</t>
        </is>
      </c>
      <c r="H1" s="1" t="inlineStr">
        <is>
          <t>Kiểu Mở</t>
        </is>
      </c>
      <c r="I1" s="1" t="inlineStr">
        <is>
          <t>Loại Profile</t>
        </is>
      </c>
      <c r="J1" s="1" t="inlineStr">
        <is>
          <t>Công Năng</t>
        </is>
      </c>
      <c r="K1" s="1" t="inlineStr">
        <is>
          <t>Ứng Dụng Công Trình</t>
        </is>
      </c>
      <c r="L1" s="1" t="inlineStr">
        <is>
          <t>Độ Dày Nhôm (mm)</t>
        </is>
      </c>
      <c r="M1" s="1" t="inlineStr">
        <is>
          <t>Kính Tương Thích</t>
        </is>
      </c>
      <c r="N1" s="1" t="inlineStr">
        <is>
          <t>Kính Tối Đa</t>
        </is>
      </c>
      <c r="O1" s="1" t="inlineStr">
        <is>
          <t>Kích Thước Tối Đa (W×H)</t>
        </is>
      </c>
      <c r="P1" s="1" t="inlineStr">
        <is>
          <t>Tải Trọng Cánh (kg)</t>
        </is>
      </c>
      <c r="Q1" s="1" t="inlineStr">
        <is>
          <t>Chuẩn Phụ Kiện</t>
        </is>
      </c>
      <c r="R1" s="1" t="inlineStr">
        <is>
          <t>Gioăng &amp; Keo Lắp Đặt</t>
        </is>
      </c>
      <c r="S1" s="1" t="inlineStr">
        <is>
          <t>Bề Mặt &amp; Đặc Tính</t>
        </is>
      </c>
      <c r="T1" s="1" t="inlineStr">
        <is>
          <t>Ưu Điểm</t>
        </is>
      </c>
      <c r="U1" s="1" t="inlineStr">
        <is>
          <t>Nhược Điểm</t>
        </is>
      </c>
      <c r="V1" s="1" t="inlineStr">
        <is>
          <t>Có CAD</t>
        </is>
      </c>
      <c r="W1" s="1" t="inlineStr">
        <is>
          <t>Có Shopdrawing</t>
        </is>
      </c>
      <c r="X1" s="1" t="inlineStr">
        <is>
          <t>Có Catalogue</t>
        </is>
      </c>
      <c r="Y1" s="1" t="inlineStr">
        <is>
          <t>Có HD Lắp Đặt</t>
        </is>
      </c>
      <c r="Z1" s="1" t="inlineStr">
        <is>
          <t>Tình Trạng</t>
        </is>
      </c>
      <c r="AA1" s="1" t="inlineStr">
        <is>
          <t>Hoàn Thiện (%)</t>
        </is>
      </c>
      <c r="AB1" s="1" t="inlineStr">
        <is>
          <t>Link Website</t>
        </is>
      </c>
      <c r="AC1" s="1" t="inlineStr">
        <is>
          <t>Link Catalogue PDF</t>
        </is>
      </c>
      <c r="AD1" s="1" t="inlineStr">
        <is>
          <t>Link Bản Vẽ CAD</t>
        </is>
      </c>
      <c r="AE1" s="1" t="inlineStr">
        <is>
          <t>Link Bản Vẽ CAD</t>
        </is>
      </c>
    </row>
    <row r="2" ht="35" customHeight="1">
      <c r="A2" s="2" t="inlineStr">
        <is>
          <t>VP-001</t>
        </is>
      </c>
      <c r="B2" s="2" t="inlineStr">
        <is>
          <t>Phổ thông</t>
        </is>
      </c>
      <c r="C2" s="2" t="inlineStr">
        <is>
          <t>Việt Pháp 450</t>
        </is>
      </c>
      <c r="D2" s="2" t="inlineStr">
        <is>
          <t>Việt Pháp</t>
        </is>
      </c>
      <c r="E2" s="2" t="inlineStr">
        <is>
          <t>Việt Nam</t>
        </is>
      </c>
      <c r="F2" s="2" t="inlineStr">
        <is>
          <t>TCVN</t>
        </is>
      </c>
      <c r="G2" s="2" t="inlineStr">
        <is>
          <t>Cửa đi</t>
        </is>
      </c>
      <c r="H2" s="2" t="inlineStr">
        <is>
          <t>Mở quay</t>
        </is>
      </c>
      <c r="I2" s="2" t="inlineStr">
        <is>
          <t>Khung bản sập rời 450mm + Cánh</t>
        </is>
      </c>
      <c r="J2" s="2" t="inlineStr">
        <is>
          <t>Nội/Ngoại thất</t>
        </is>
      </c>
      <c r="K2" s="2" t="inlineStr">
        <is>
          <t>Nhà cấp 4, nhà phố giá rẻ, nhà xưởng</t>
        </is>
      </c>
      <c r="L2" s="2" t="n">
        <v>1.2</v>
      </c>
      <c r="M2" s="2" t="inlineStr">
        <is>
          <t>Kính đơn 5-10mm</t>
        </is>
      </c>
      <c r="N2" s="2" t="inlineStr">
        <is>
          <t>10mm</t>
        </is>
      </c>
      <c r="O2" s="2" t="inlineStr">
        <is>
          <t>1100×2200</t>
        </is>
      </c>
      <c r="P2" s="2" t="n">
        <v>80</v>
      </c>
      <c r="Q2" s="2" t="inlineStr">
        <is>
          <t>Chốt gạt Việt Pháp / Kinlong rãnh 22</t>
        </is>
      </c>
      <c r="R2" s="2" t="inlineStr">
        <is>
          <t>Gioăng EPDM đơn / Silicon Apollo</t>
        </is>
      </c>
      <c r="S2" s="2" t="inlineStr">
        <is>
          <t>Sơn tĩnh điện bóng/mờ</t>
        </is>
      </c>
      <c r="T2" s="2" t="inlineStr">
        <is>
          <t>Giá thành rẻ, phổ biến rộng rãi, cực kỳ dễ gia công bằng máy dập thường</t>
        </is>
      </c>
      <c r="U2" s="2" t="inlineStr">
        <is>
          <t>Bản cánh mỏng chống rung gió yếu, cách âm trung bình</t>
        </is>
      </c>
      <c r="V2" s="2" t="inlineStr">
        <is>
          <t>✓</t>
        </is>
      </c>
      <c r="W2" s="2" t="inlineStr">
        <is>
          <t>✗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Hoàn thành</t>
        </is>
      </c>
      <c r="AA2" s="3" t="n">
        <v>85</v>
      </c>
      <c r="AB2" s="2" t="inlineStr">
        <is>
          <t>https://vietphapshal.com.vn</t>
        </is>
      </c>
      <c r="AC2" s="2" t="inlineStr">
        <is>
          <t>https://nhomkinhdaiphuc.com/catalogue/catalogue-nhom-viet-phap-shal-18.html</t>
        </is>
      </c>
      <c r="AD2" s="2" t="inlineStr"/>
    </row>
    <row r="3" ht="35" customHeight="1">
      <c r="A3" s="2" t="inlineStr">
        <is>
          <t>VP-002</t>
        </is>
      </c>
      <c r="B3" s="2" t="inlineStr">
        <is>
          <t>Phổ thông</t>
        </is>
      </c>
      <c r="C3" s="2" t="inlineStr">
        <is>
          <t>Việt Pháp 4400</t>
        </is>
      </c>
      <c r="D3" s="2" t="inlineStr">
        <is>
          <t>Việt Pháp</t>
        </is>
      </c>
      <c r="E3" s="2" t="inlineStr">
        <is>
          <t>Việt Nam</t>
        </is>
      </c>
      <c r="F3" s="2" t="inlineStr">
        <is>
          <t>TCVN</t>
        </is>
      </c>
      <c r="G3" s="2" t="inlineStr">
        <is>
          <t>Cửa sổ</t>
        </is>
      </c>
      <c r="H3" s="2" t="inlineStr">
        <is>
          <t>Mở quay + Mở hất</t>
        </is>
      </c>
      <c r="I3" s="2" t="inlineStr">
        <is>
          <t>Khung bản nhỏ 4400mm + Cánh</t>
        </is>
      </c>
      <c r="J3" s="2" t="inlineStr">
        <is>
          <t>Nội/Ngoại thất</t>
        </is>
      </c>
      <c r="K3" s="2" t="inlineStr">
        <is>
          <t>Cửa sổ phụ nhà dân, vách ngăn phòng</t>
        </is>
      </c>
      <c r="L3" s="2" t="n">
        <v>1.1</v>
      </c>
      <c r="M3" s="2" t="inlineStr">
        <is>
          <t>Kính đơn 5-10mm</t>
        </is>
      </c>
      <c r="N3" s="2" t="inlineStr">
        <is>
          <t>10mm</t>
        </is>
      </c>
      <c r="O3" s="2" t="inlineStr">
        <is>
          <t>1000×1400</t>
        </is>
      </c>
      <c r="P3" s="2" t="n">
        <v>60</v>
      </c>
      <c r="Q3" s="2" t="inlineStr">
        <is>
          <t>Khớp chốt Việt Pháp / Kinlong</t>
        </is>
      </c>
      <c r="R3" s="2" t="inlineStr">
        <is>
          <t>Gioăng cao su chèn sập / Apollo</t>
        </is>
      </c>
      <c r="S3" s="2" t="inlineStr">
        <is>
          <t>Sơn tĩnh điện bóng/mờ</t>
        </is>
      </c>
      <c r="T3" s="2" t="inlineStr">
        <is>
          <t>Bản nhôm mỏng nhẹ, chi phí siêu rẻ, dễ gia công nhanh chóng</t>
        </is>
      </c>
      <c r="U3" s="2" t="inlineStr">
        <is>
          <t>Độ kín nước và chắn rung gió bão kém</t>
        </is>
      </c>
      <c r="V3" s="2" t="inlineStr">
        <is>
          <t>✓</t>
        </is>
      </c>
      <c r="W3" s="2" t="inlineStr">
        <is>
          <t>✗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Hoàn thành</t>
        </is>
      </c>
      <c r="AA3" s="3" t="n">
        <v>85</v>
      </c>
      <c r="AB3" s="2" t="inlineStr">
        <is>
          <t>https://vietphapshal.com.vn</t>
        </is>
      </c>
      <c r="AC3" s="2" t="inlineStr">
        <is>
          <t>https://nhomkinhdaiphuc.com/catalogue/catalogue-nhom-viet-phap-shal-18.html</t>
        </is>
      </c>
      <c r="AD3" s="2" t="inlineStr"/>
    </row>
    <row r="4" ht="35" customHeight="1">
      <c r="A4" s="2" t="inlineStr">
        <is>
          <t>VP-003</t>
        </is>
      </c>
      <c r="B4" s="2" t="inlineStr">
        <is>
          <t>Phổ thông</t>
        </is>
      </c>
      <c r="C4" s="2" t="inlineStr">
        <is>
          <t>Việt Pháp 2600</t>
        </is>
      </c>
      <c r="D4" s="2" t="inlineStr">
        <is>
          <t>Việt Pháp</t>
        </is>
      </c>
      <c r="E4" s="2" t="inlineStr">
        <is>
          <t>Việt Nam</t>
        </is>
      </c>
      <c r="F4" s="2" t="inlineStr">
        <is>
          <t>TCVN</t>
        </is>
      </c>
      <c r="G4" s="2" t="inlineStr">
        <is>
          <t>Cửa đi + Cửa sổ</t>
        </is>
      </c>
      <c r="H4" s="2" t="inlineStr">
        <is>
          <t>Trượt lùa (Sliding)</t>
        </is>
      </c>
      <c r="I4" s="2" t="inlineStr">
        <is>
          <t>Khung lùa 2600mm 2 ray</t>
        </is>
      </c>
      <c r="J4" s="2" t="inlineStr">
        <is>
          <t>Ngoại thất</t>
        </is>
      </c>
      <c r="K4" s="2" t="inlineStr">
        <is>
          <t>Căn hộ chung cư, nhà phố bình dân</t>
        </is>
      </c>
      <c r="L4" s="2" t="n">
        <v>1.1</v>
      </c>
      <c r="M4" s="2" t="inlineStr">
        <is>
          <t>Kính đơn 5-10mm</t>
        </is>
      </c>
      <c r="N4" s="2" t="inlineStr">
        <is>
          <t>10mm</t>
        </is>
      </c>
      <c r="O4" s="2" t="inlineStr">
        <is>
          <t>2400×2000</t>
        </is>
      </c>
      <c r="P4" s="2" t="n">
        <v>70</v>
      </c>
      <c r="Q4" s="2" t="inlineStr">
        <is>
          <t>Bánh xe đơn trượt &amp; khóa sập Việt Pháp</t>
        </is>
      </c>
      <c r="R4" s="2" t="inlineStr">
        <is>
          <t>Gioăng chèn nỉ mỏng</t>
        </is>
      </c>
      <c r="S4" s="2" t="inlineStr">
        <is>
          <t>Sơn tĩnh điện bóng/mờ</t>
        </is>
      </c>
      <c r="T4" s="2" t="inlineStr">
        <is>
          <t>Giá thành rẻ, tiết kiệm 100% diện tích không gian đóng mở</t>
        </is>
      </c>
      <c r="U4" s="2" t="inlineStr">
        <is>
          <t>Kết cấu mỏng nhẹ, trượt không đầm tay, ray nhôm dễ mòn</t>
        </is>
      </c>
      <c r="V4" s="2" t="inlineStr">
        <is>
          <t>✓</t>
        </is>
      </c>
      <c r="W4" s="2" t="inlineStr">
        <is>
          <t>✗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Hoàn thành</t>
        </is>
      </c>
      <c r="AA4" s="3" t="n">
        <v>85</v>
      </c>
      <c r="AB4" s="2" t="inlineStr">
        <is>
          <t>https://vietphapshal.com.vn</t>
        </is>
      </c>
      <c r="AC4" s="2" t="inlineStr">
        <is>
          <t>https://nhomkinhdaiphuc.com/catalogue/catalogue-nhom-viet-phap-shal-18.html</t>
        </is>
      </c>
      <c r="AD4" s="2" t="inlineStr"/>
    </row>
    <row r="5" ht="35" customHeight="1">
      <c r="A5" s="4" t="inlineStr">
        <is>
          <t>VP-004</t>
        </is>
      </c>
      <c r="B5" s="4" t="inlineStr">
        <is>
          <t>Tầm trung</t>
        </is>
      </c>
      <c r="C5" s="4" t="inlineStr">
        <is>
          <t>Shal 55</t>
        </is>
      </c>
      <c r="D5" s="4" t="inlineStr">
        <is>
          <t>Việt Pháp</t>
        </is>
      </c>
      <c r="E5" s="4" t="inlineStr">
        <is>
          <t>Việt Nam</t>
        </is>
      </c>
      <c r="F5" s="4" t="inlineStr">
        <is>
          <t>TCVN</t>
        </is>
      </c>
      <c r="G5" s="4" t="inlineStr">
        <is>
          <t>Cửa đi + Cửa sổ</t>
        </is>
      </c>
      <c r="H5" s="4" t="inlineStr">
        <is>
          <t>Mở quay</t>
        </is>
      </c>
      <c r="I5" s="4" t="inlineStr">
        <is>
          <t>Khung phẳng rãnh C 55mm</t>
        </is>
      </c>
      <c r="J5" s="4" t="inlineStr">
        <is>
          <t>Nội/Ngoại thất</t>
        </is>
      </c>
      <c r="K5" s="4" t="inlineStr">
        <is>
          <t>Nhà phố tầm trung, văn phòng công ty</t>
        </is>
      </c>
      <c r="L5" s="4" t="n">
        <v>1.2</v>
      </c>
      <c r="M5" s="4" t="inlineStr">
        <is>
          <t>Kính đơn 6-12mm / Kính hộp</t>
        </is>
      </c>
      <c r="N5" s="4" t="inlineStr">
        <is>
          <t>20mm</t>
        </is>
      </c>
      <c r="O5" s="4" t="inlineStr">
        <is>
          <t>1400×2400</t>
        </is>
      </c>
      <c r="P5" s="4" t="n">
        <v>100</v>
      </c>
      <c r="Q5" s="4" t="inlineStr">
        <is>
          <t>Phụ kiện PMA/Draho rãnh C Châu Âu</t>
        </is>
      </c>
      <c r="R5" s="4" t="inlineStr">
        <is>
          <t>Gioăng EPDM kép / Silicon Apollo</t>
        </is>
      </c>
      <c r="S5" s="4" t="inlineStr">
        <is>
          <t>Sơn tĩnh điện AkzoNobel</t>
        </is>
      </c>
      <c r="T5" s="4" t="inlineStr">
        <is>
          <t>Thiết kế phẳng phiu giống Xingfa hiện đại, khắc phục thẩm mỹ hệ 450</t>
        </is>
      </c>
      <c r="U5" s="4" t="inlineStr">
        <is>
          <t>Phân khúc cạnh tranh khốc liệt với nhôm cỏ trong nước</t>
        </is>
      </c>
      <c r="V5" s="4" t="inlineStr">
        <is>
          <t>✓</t>
        </is>
      </c>
      <c r="W5" s="4" t="inlineStr">
        <is>
          <t>✓</t>
        </is>
      </c>
      <c r="X5" s="4" t="inlineStr">
        <is>
          <t>✓</t>
        </is>
      </c>
      <c r="Y5" s="4" t="inlineStr">
        <is>
          <t>✓</t>
        </is>
      </c>
      <c r="Z5" s="4" t="inlineStr">
        <is>
          <t>Hoàn thành</t>
        </is>
      </c>
      <c r="AA5" s="5" t="n">
        <v>80</v>
      </c>
      <c r="AB5" s="4" t="inlineStr">
        <is>
          <t>https://vietphapshal.com.vn</t>
        </is>
      </c>
      <c r="AC5" s="4" t="inlineStr">
        <is>
          <t>https://nhomkinhdaiphuc.com/catalogue/catalogue-nhom-viet-phap-shal-18.html</t>
        </is>
      </c>
      <c r="AD5" s="4" t="inlineStr"/>
    </row>
    <row r="6" ht="35" customHeight="1">
      <c r="A6" s="6" t="inlineStr">
        <is>
          <t>VP-005</t>
        </is>
      </c>
      <c r="B6" s="6" t="inlineStr">
        <is>
          <t>Mặt dựng</t>
        </is>
      </c>
      <c r="C6" s="6" t="inlineStr">
        <is>
          <t>Việt Pháp 1100</t>
        </is>
      </c>
      <c r="D6" s="6" t="inlineStr">
        <is>
          <t>Việt Pháp</t>
        </is>
      </c>
      <c r="E6" s="6" t="inlineStr">
        <is>
          <t>Việt Nam</t>
        </is>
      </c>
      <c r="F6" s="6" t="inlineStr">
        <is>
          <t>TCVN</t>
        </is>
      </c>
      <c r="G6" s="6" t="inlineStr">
        <is>
          <t>Vách mặt dựng</t>
        </is>
      </c>
      <c r="H6" s="6" t="inlineStr">
        <is>
          <t>Cố định (Fixed Curtain Wall)</t>
        </is>
      </c>
      <c r="I6" s="6" t="inlineStr">
        <is>
          <t>Xương mặt dựng Stick 1100</t>
        </is>
      </c>
      <c r="J6" s="6" t="inlineStr">
        <is>
          <t>Ngoại thất</t>
        </is>
      </c>
      <c r="K6" s="6" t="inlineStr">
        <is>
          <t>Showroom, tòa nhà văn phòng trung tầng</t>
        </is>
      </c>
      <c r="L6" s="6" t="n">
        <v>1.5</v>
      </c>
      <c r="M6" s="6" t="inlineStr">
        <is>
          <t>Kính cường lực 10-12mm / Kính hộp</t>
        </is>
      </c>
      <c r="N6" s="6" t="inlineStr">
        <is>
          <t>24mm</t>
        </is>
      </c>
      <c r="O6" s="6" t="inlineStr">
        <is>
          <t>Không giới hạn</t>
        </is>
      </c>
      <c r="P6" s="6" t="n">
        <v>400</v>
      </c>
      <c r="Q6" s="6" t="inlineStr">
        <is>
          <t>Ke chịu lực &amp; bulong inox SUS304</t>
        </is>
      </c>
      <c r="R6" s="6" t="inlineStr">
        <is>
          <t>Silicon kết cấu chịu thời tiết</t>
        </is>
      </c>
      <c r="S6" s="6" t="inlineStr">
        <is>
          <t>Sơn tĩnh điện bảo hành 10 năm</t>
        </is>
      </c>
      <c r="T6" s="6" t="inlineStr">
        <is>
          <t>Thi công lắp dựng ngoài công trường đơn giản, chi phí hợp lý</t>
        </is>
      </c>
      <c r="U6" s="6" t="inlineStr">
        <is>
          <t>Độ kín nước phụ thuộc lớn vào chất lượng đi keo tại công trình</t>
        </is>
      </c>
      <c r="V6" s="6" t="inlineStr">
        <is>
          <t>✓</t>
        </is>
      </c>
      <c r="W6" s="6" t="inlineStr">
        <is>
          <t>✓</t>
        </is>
      </c>
      <c r="X6" s="6" t="inlineStr">
        <is>
          <t>✓</t>
        </is>
      </c>
      <c r="Y6" s="6" t="inlineStr">
        <is>
          <t>✓</t>
        </is>
      </c>
      <c r="Z6" s="6" t="inlineStr">
        <is>
          <t>Hoàn thành</t>
        </is>
      </c>
      <c r="AA6" s="7" t="n">
        <v>80</v>
      </c>
      <c r="AB6" s="6" t="inlineStr">
        <is>
          <t>https://vietphapshal.com.vn</t>
        </is>
      </c>
      <c r="AC6" s="6" t="inlineStr">
        <is>
          <t>https://nhomkinhdaiphuc.com/catalogue/catalogue-nhom-viet-phap-shal-18.html</t>
        </is>
      </c>
      <c r="AD6" s="6" t="inlineStr"/>
    </row>
    <row r="7" ht="35" customHeight="1">
      <c r="A7" s="8" t="inlineStr">
        <is>
          <t>VP-006</t>
        </is>
      </c>
      <c r="B7" s="8" t="inlineStr">
        <is>
          <t>Cao cấp Premium</t>
        </is>
      </c>
      <c r="C7" s="8" t="inlineStr">
        <is>
          <t>Shal Premium</t>
        </is>
      </c>
      <c r="D7" s="8" t="inlineStr">
        <is>
          <t>Việt Pháp</t>
        </is>
      </c>
      <c r="E7" s="8" t="inlineStr">
        <is>
          <t>Việt Nam</t>
        </is>
      </c>
      <c r="F7" s="8" t="inlineStr">
        <is>
          <t>TCVN</t>
        </is>
      </c>
      <c r="G7" s="8" t="inlineStr">
        <is>
          <t>Cửa đi + Cửa sổ</t>
        </is>
      </c>
      <c r="H7" s="8" t="inlineStr">
        <is>
          <t>Mở quay</t>
        </is>
      </c>
      <c r="I7" s="8" t="inlineStr">
        <is>
          <t>Khung rãnh C chuẩn Châu Âu</t>
        </is>
      </c>
      <c r="J7" s="8" t="inlineStr">
        <is>
          <t>Ngoại thất</t>
        </is>
      </c>
      <c r="K7" s="8" t="inlineStr">
        <is>
          <t>Biệt thự, căn hộ cao cấp ven biển</t>
        </is>
      </c>
      <c r="L7" s="8" t="n">
        <v>1.6</v>
      </c>
      <c r="M7" s="8" t="inlineStr">
        <is>
          <t>Kính đơn/hộp 8-32mm</t>
        </is>
      </c>
      <c r="N7" s="8" t="inlineStr">
        <is>
          <t>32mm</t>
        </is>
      </c>
      <c r="O7" s="8" t="inlineStr">
        <is>
          <t>1600×2800</t>
        </is>
      </c>
      <c r="P7" s="8" t="n">
        <v>150</v>
      </c>
      <c r="Q7" s="8" t="inlineStr">
        <is>
          <t>Phụ kiện CMECH / Roto rãnh C Châu Âu</t>
        </is>
      </c>
      <c r="R7" s="8" t="inlineStr">
        <is>
          <t>Gioăng EPDM đa khoang / Silicon Dow</t>
        </is>
      </c>
      <c r="S7" s="8" t="inlineStr">
        <is>
          <t>Sơn tĩnh điện bảo hành 30 năm</t>
        </is>
      </c>
      <c r="T7" s="8" t="inlineStr">
        <is>
          <t>Chất lượng sơn cao cấp bảo hành 30 năm chống muối biển, liên doanh Pháp</t>
        </is>
      </c>
      <c r="U7" s="8" t="inlineStr">
        <is>
          <t>Giá thành cao phân khúc biệt thự Luxury</t>
        </is>
      </c>
      <c r="V7" s="8" t="inlineStr">
        <is>
          <t>✓</t>
        </is>
      </c>
      <c r="W7" s="8" t="inlineStr">
        <is>
          <t>✓</t>
        </is>
      </c>
      <c r="X7" s="8" t="inlineStr">
        <is>
          <t>✓</t>
        </is>
      </c>
      <c r="Y7" s="8" t="inlineStr">
        <is>
          <t>✓</t>
        </is>
      </c>
      <c r="Z7" s="8" t="inlineStr">
        <is>
          <t>Hoàn thành</t>
        </is>
      </c>
      <c r="AA7" s="9" t="n">
        <v>80</v>
      </c>
      <c r="AB7" s="8" t="inlineStr">
        <is>
          <t>https://vietphapshal.com.vn</t>
        </is>
      </c>
      <c r="AC7" s="8" t="inlineStr">
        <is>
          <t>https://nhomkinhdaiphuc.com/catalogue/catalogue-nhom-viet-phap-shal-18.html</t>
        </is>
      </c>
      <c r="AD7" s="8" t="inlineStr"/>
    </row>
    <row r="8" ht="35" customHeight="1">
      <c r="A8" s="10" t="inlineStr">
        <is>
          <t>PM-001</t>
        </is>
      </c>
      <c r="B8" s="10" t="inlineStr">
        <is>
          <t>Phổ thông Vát cạnh</t>
        </is>
      </c>
      <c r="C8" s="10" t="inlineStr">
        <is>
          <t>PMA 55</t>
        </is>
      </c>
      <c r="D8" s="10" t="inlineStr">
        <is>
          <t>PMA</t>
        </is>
      </c>
      <c r="E8" s="10" t="inlineStr">
        <is>
          <t>Việt Nam</t>
        </is>
      </c>
      <c r="F8" s="10" t="inlineStr">
        <is>
          <t>TCVN</t>
        </is>
      </c>
      <c r="G8" s="10" t="inlineStr">
        <is>
          <t>Cửa đi + Cửa sổ</t>
        </is>
      </c>
      <c r="H8" s="10" t="inlineStr">
        <is>
          <t>Mở quay + Mở hất</t>
        </is>
      </c>
      <c r="I8" s="10" t="inlineStr">
        <is>
          <t>Khung vát cạnh 55mm + Cánh</t>
        </is>
      </c>
      <c r="J8" s="10" t="inlineStr">
        <is>
          <t>Nội/Ngoại thất</t>
        </is>
      </c>
      <c r="K8" s="10" t="inlineStr">
        <is>
          <t>Nhà phố phổ thông, chung cư, trường học</t>
        </is>
      </c>
      <c r="L8" s="10" t="n">
        <v>1.2</v>
      </c>
      <c r="M8" s="10" t="inlineStr">
        <is>
          <t>5-12mm</t>
        </is>
      </c>
      <c r="N8" s="10" t="inlineStr">
        <is>
          <t>12mm</t>
        </is>
      </c>
      <c r="O8" s="10" t="inlineStr">
        <is>
          <t>1200×2200</t>
        </is>
      </c>
      <c r="P8" s="10" t="n">
        <v>80</v>
      </c>
      <c r="Q8" s="10" t="inlineStr">
        <is>
          <t>Rãnh 22mm đồng bộ</t>
        </is>
      </c>
      <c r="R8" s="10" t="inlineStr">
        <is>
          <t>Gioăng EPDM đơn / Silicon Apollo</t>
        </is>
      </c>
      <c r="S8" s="10" t="inlineStr">
        <is>
          <t>Sơn tĩnh điện bóng/mờ</t>
        </is>
      </c>
      <c r="T8" s="10" t="inlineStr">
        <is>
          <t>Giá thành hợp lý, dễ gia công, linh kiện phổ thông, phù hợp nhà phố</t>
        </is>
      </c>
      <c r="U8" s="10" t="inlineStr">
        <is>
          <t>Không phải rãnh C, cách âm thấp hơn hệ cao cấp, không phù hợp cánh quá lớn</t>
        </is>
      </c>
      <c r="V8" s="10" t="inlineStr">
        <is>
          <t>✓</t>
        </is>
      </c>
      <c r="W8" s="10" t="inlineStr">
        <is>
          <t>✗</t>
        </is>
      </c>
      <c r="X8" s="10" t="inlineStr">
        <is>
          <t>✓</t>
        </is>
      </c>
      <c r="Y8" s="10" t="inlineStr">
        <is>
          <t>✓</t>
        </is>
      </c>
      <c r="Z8" s="10" t="inlineStr">
        <is>
          <t>Hoàn thành</t>
        </is>
      </c>
      <c r="AA8" s="11" t="n">
        <v>85</v>
      </c>
      <c r="AB8" s="10" t="inlineStr">
        <is>
          <t>https://pma.com.vn</t>
        </is>
      </c>
      <c r="AC8" s="10" t="inlineStr">
        <is>
          <t>https://nhomkinhdaiphuc.com/catalogue/catalogue-nhom-pma.html</t>
        </is>
      </c>
      <c r="AD8" s="10" t="inlineStr"/>
    </row>
    <row r="9" ht="35" customHeight="1">
      <c r="A9" s="12" t="inlineStr">
        <is>
          <t>PM-002</t>
        </is>
      </c>
      <c r="B9" s="12" t="inlineStr">
        <is>
          <t>Cao cấp Platinum</t>
        </is>
      </c>
      <c r="C9" s="12" t="inlineStr">
        <is>
          <t>PMA Platinum</t>
        </is>
      </c>
      <c r="D9" s="12" t="inlineStr">
        <is>
          <t>PMA</t>
        </is>
      </c>
      <c r="E9" s="12" t="inlineStr">
        <is>
          <t>Việt Nam</t>
        </is>
      </c>
      <c r="F9" s="12" t="inlineStr">
        <is>
          <t>TCVN</t>
        </is>
      </c>
      <c r="G9" s="12" t="inlineStr">
        <is>
          <t>Cửa đi + Cửa sổ</t>
        </is>
      </c>
      <c r="H9" s="12" t="inlineStr">
        <is>
          <t>Mở quay</t>
        </is>
      </c>
      <c r="I9" s="12" t="inlineStr">
        <is>
          <t>Phào kép nghệ thuật ôm khít khuôn cửa</t>
        </is>
      </c>
      <c r="J9" s="12" t="inlineStr">
        <is>
          <t>Nội/Ngoại thất</t>
        </is>
      </c>
      <c r="K9" s="12" t="inlineStr">
        <is>
          <t>Biệt thự vườn, biệt thự phố cao cấp</t>
        </is>
      </c>
      <c r="L9" s="12" t="n">
        <v>1.4</v>
      </c>
      <c r="M9" s="12" t="inlineStr">
        <is>
          <t>Kính đơn 8-12mm, kính hộp</t>
        </is>
      </c>
      <c r="N9" s="12" t="inlineStr">
        <is>
          <t>24mm</t>
        </is>
      </c>
      <c r="O9" s="12" t="inlineStr">
        <is>
          <t>1600×2800</t>
        </is>
      </c>
      <c r="P9" s="12" t="n">
        <v>150</v>
      </c>
      <c r="Q9" s="12" t="inlineStr">
        <is>
          <t>Rãnh C Châu Âu đồng bộ</t>
        </is>
      </c>
      <c r="R9" s="12" t="inlineStr">
        <is>
          <t>Gioăng EPDM đa khoang / Silicon Dow</t>
        </is>
      </c>
      <c r="S9" s="12" t="inlineStr">
        <is>
          <t>Sơn tĩnh điện cao cấp AkzoNobel</t>
        </is>
      </c>
      <c r="T9" s="12" t="inlineStr">
        <is>
          <t>Cánh phẳng, thiết kế hiện đại, phụ kiện đồng bộ, độ kín nước cao</t>
        </is>
      </c>
      <c r="U9" s="12" t="inlineStr">
        <is>
          <t>Chi phí cao, yêu cầu gia công chính xác</t>
        </is>
      </c>
      <c r="V9" s="12" t="inlineStr">
        <is>
          <t>✓</t>
        </is>
      </c>
      <c r="W9" s="12" t="inlineStr">
        <is>
          <t>✓</t>
        </is>
      </c>
      <c r="X9" s="12" t="inlineStr">
        <is>
          <t>✓</t>
        </is>
      </c>
      <c r="Y9" s="12" t="inlineStr">
        <is>
          <t>✓</t>
        </is>
      </c>
      <c r="Z9" s="12" t="inlineStr">
        <is>
          <t>Hoàn thành</t>
        </is>
      </c>
      <c r="AA9" s="13" t="n">
        <v>80</v>
      </c>
      <c r="AB9" s="12" t="inlineStr">
        <is>
          <t>https://pma.com.vn</t>
        </is>
      </c>
      <c r="AC9" s="12" t="inlineStr">
        <is>
          <t>https://nhomkinhdaiphuc.com/catalogue/catalogue-nhom-pma.html</t>
        </is>
      </c>
      <c r="AD9" s="12" t="inlineStr"/>
    </row>
    <row r="10" ht="35" customHeight="1">
      <c r="A10" s="14" t="inlineStr">
        <is>
          <t>PM-003</t>
        </is>
      </c>
      <c r="B10" s="14" t="inlineStr">
        <is>
          <t>Rãnh C Classic</t>
        </is>
      </c>
      <c r="C10" s="14" t="inlineStr">
        <is>
          <t>PMA Classic 58</t>
        </is>
      </c>
      <c r="D10" s="14" t="inlineStr">
        <is>
          <t>PMA</t>
        </is>
      </c>
      <c r="E10" s="14" t="inlineStr">
        <is>
          <t>Việt Nam</t>
        </is>
      </c>
      <c r="F10" s="14" t="inlineStr">
        <is>
          <t>TCVN</t>
        </is>
      </c>
      <c r="G10" s="14" t="inlineStr">
        <is>
          <t>Cửa đi + Cửa sổ</t>
        </is>
      </c>
      <c r="H10" s="14" t="inlineStr">
        <is>
          <t>Mở quay + Mở hất</t>
        </is>
      </c>
      <c r="I10" s="14" t="inlineStr">
        <is>
          <t>Khung rãnh C 58mm + Cánh</t>
        </is>
      </c>
      <c r="J10" s="14" t="inlineStr">
        <is>
          <t>Nội/Ngoại thất</t>
        </is>
      </c>
      <c r="K10" s="14" t="inlineStr">
        <is>
          <t>Căn hộ chung cư cao cấp, văn phòng</t>
        </is>
      </c>
      <c r="L10" s="14" t="n">
        <v>1.3</v>
      </c>
      <c r="M10" s="14" t="inlineStr">
        <is>
          <t>Kính đơn/hộp 5-28mm</t>
        </is>
      </c>
      <c r="N10" s="14" t="inlineStr">
        <is>
          <t>28mm</t>
        </is>
      </c>
      <c r="O10" s="14" t="inlineStr">
        <is>
          <t>1400×2600</t>
        </is>
      </c>
      <c r="P10" s="14" t="n">
        <v>100</v>
      </c>
      <c r="Q10" s="14" t="inlineStr">
        <is>
          <t>Rãnh C Châu Âu</t>
        </is>
      </c>
      <c r="R10" s="14" t="inlineStr">
        <is>
          <t>Gioăng EPDM đa khoang / Silicon Sika</t>
        </is>
      </c>
      <c r="S10" s="14" t="inlineStr">
        <is>
          <t>Sơn tĩnh điện bảo hành 10-15 năm</t>
        </is>
      </c>
      <c r="T10" s="14" t="inlineStr">
        <is>
          <t>Tương thích phụ kiện rãnh C Châu Âu, cách âm tốt</t>
        </is>
      </c>
      <c r="U10" s="14" t="inlineStr">
        <is>
          <t>Giá trung cấp</t>
        </is>
      </c>
      <c r="V10" s="14" t="inlineStr">
        <is>
          <t>✓</t>
        </is>
      </c>
      <c r="W10" s="14" t="inlineStr">
        <is>
          <t>✓</t>
        </is>
      </c>
      <c r="X10" s="14" t="inlineStr">
        <is>
          <t>✓</t>
        </is>
      </c>
      <c r="Y10" s="14" t="inlineStr">
        <is>
          <t>✓</t>
        </is>
      </c>
      <c r="Z10" s="14" t="inlineStr">
        <is>
          <t>Hoàn thành</t>
        </is>
      </c>
      <c r="AA10" s="15" t="n">
        <v>80</v>
      </c>
      <c r="AB10" s="14" t="inlineStr">
        <is>
          <t>https://pma.com.vn</t>
        </is>
      </c>
      <c r="AC10" s="14" t="inlineStr">
        <is>
          <t>https://nhomkinhdaiphuc.com/catalogue/catalogue-nhom-pma.html</t>
        </is>
      </c>
      <c r="AD10" s="14" t="inlineStr"/>
    </row>
    <row r="11" ht="35" customHeight="1">
      <c r="A11" s="14" t="inlineStr">
        <is>
          <t>PM-004</t>
        </is>
      </c>
      <c r="B11" s="14" t="inlineStr">
        <is>
          <t>Rãnh C Classic</t>
        </is>
      </c>
      <c r="C11" s="14" t="inlineStr">
        <is>
          <t>PMA 65</t>
        </is>
      </c>
      <c r="D11" s="14" t="inlineStr">
        <is>
          <t>PMA</t>
        </is>
      </c>
      <c r="E11" s="14" t="inlineStr">
        <is>
          <t>Việt Nam</t>
        </is>
      </c>
      <c r="F11" s="14" t="inlineStr">
        <is>
          <t>TCVN</t>
        </is>
      </c>
      <c r="G11" s="14" t="inlineStr">
        <is>
          <t>Cửa đi + Cửa sổ</t>
        </is>
      </c>
      <c r="H11" s="14" t="inlineStr">
        <is>
          <t>Mở quay</t>
        </is>
      </c>
      <c r="I11" s="14" t="inlineStr">
        <is>
          <t>Khung 65mm + Cánh bản lớn</t>
        </is>
      </c>
      <c r="J11" s="14" t="inlineStr">
        <is>
          <t>Ngoại thất</t>
        </is>
      </c>
      <c r="K11" s="14" t="inlineStr">
        <is>
          <t>Ứng dụng công nghiệp nặng, kết cấu chịu tải lớn</t>
        </is>
      </c>
      <c r="L11" s="14" t="n">
        <v>2</v>
      </c>
      <c r="M11" s="14" t="inlineStr">
        <is>
          <t>Kính đơn/hộp 6-30mm</t>
        </is>
      </c>
      <c r="N11" s="14" t="inlineStr">
        <is>
          <t>30mm</t>
        </is>
      </c>
      <c r="O11" s="14" t="inlineStr">
        <is>
          <t>1500×2600</t>
        </is>
      </c>
      <c r="P11" s="14" t="n">
        <v>120</v>
      </c>
      <c r="Q11" s="14" t="inlineStr">
        <is>
          <t>Rãnh C Châu Âu</t>
        </is>
      </c>
      <c r="R11" s="14" t="inlineStr">
        <is>
          <t>Gioăng EPDM đa khoang / Sika</t>
        </is>
      </c>
      <c r="S11" s="14" t="inlineStr">
        <is>
          <t>Sơn tĩnh điện bảo hành 10-15 năm</t>
        </is>
      </c>
      <c r="T11" s="14" t="inlineStr">
        <is>
          <t>Bản dày chắc khỏe hơn hệ 58, thích ứng tốt cho ứng dụng chịu lực vặn lớn</t>
        </is>
      </c>
      <c r="U11" s="14" t="inlineStr">
        <is>
          <t>Trọng lượng lớn hơn, giá nhôm thanh cao hơn</t>
        </is>
      </c>
      <c r="V11" s="14" t="inlineStr">
        <is>
          <t>✓</t>
        </is>
      </c>
      <c r="W11" s="14" t="inlineStr">
        <is>
          <t>✓</t>
        </is>
      </c>
      <c r="X11" s="14" t="inlineStr">
        <is>
          <t>✓</t>
        </is>
      </c>
      <c r="Y11" s="14" t="inlineStr">
        <is>
          <t>✓</t>
        </is>
      </c>
      <c r="Z11" s="14" t="inlineStr">
        <is>
          <t>Hoàn thành</t>
        </is>
      </c>
      <c r="AA11" s="15" t="n">
        <v>80</v>
      </c>
      <c r="AB11" s="14" t="inlineStr">
        <is>
          <t>https://pma.com.vn</t>
        </is>
      </c>
      <c r="AC11" s="14" t="inlineStr">
        <is>
          <t>https://nhomkinhdaiphuc.com/catalogue/catalogue-nhom-pma.html</t>
        </is>
      </c>
      <c r="AD11" s="14" t="inlineStr"/>
    </row>
    <row r="12" ht="35" customHeight="1">
      <c r="A12" s="14" t="inlineStr">
        <is>
          <t>PM-005</t>
        </is>
      </c>
      <c r="B12" s="14" t="inlineStr">
        <is>
          <t>Rãnh C Classic</t>
        </is>
      </c>
      <c r="C12" s="14" t="inlineStr">
        <is>
          <t>PMA 75</t>
        </is>
      </c>
      <c r="D12" s="14" t="inlineStr">
        <is>
          <t>PMA</t>
        </is>
      </c>
      <c r="E12" s="14" t="inlineStr">
        <is>
          <t>Việt Nam</t>
        </is>
      </c>
      <c r="F12" s="14" t="inlineStr">
        <is>
          <t>TCVN</t>
        </is>
      </c>
      <c r="G12" s="14" t="inlineStr">
        <is>
          <t>Cửa đi</t>
        </is>
      </c>
      <c r="H12" s="14" t="inlineStr">
        <is>
          <t>Mở quay</t>
        </is>
      </c>
      <c r="I12" s="14" t="inlineStr">
        <is>
          <t>Khung 75mm dày dặn</t>
        </is>
      </c>
      <c r="J12" s="14" t="inlineStr">
        <is>
          <t>Ngoại thất</t>
        </is>
      </c>
      <c r="K12" s="14" t="inlineStr">
        <is>
          <t>Hệ thống đóng tự động, khu vận chuyển công nghiệp nặng, biệt thự mặt phố chịu gió lớn</t>
        </is>
      </c>
      <c r="L12" s="14" t="n">
        <v>2.5</v>
      </c>
      <c r="M12" s="14" t="inlineStr">
        <is>
          <t>Kính hộp đến 32mm</t>
        </is>
      </c>
      <c r="N12" s="14" t="inlineStr">
        <is>
          <t>32mm</t>
        </is>
      </c>
      <c r="O12" s="14" t="inlineStr">
        <is>
          <t>1800×2800</t>
        </is>
      </c>
      <c r="P12" s="14" t="n">
        <v>150</v>
      </c>
      <c r="Q12" s="14" t="inlineStr">
        <is>
          <t>Rãnh C Châu Âu</t>
        </is>
      </c>
      <c r="R12" s="14" t="inlineStr">
        <is>
          <t>Gioăng EPDM kép chèn / Silicon Dow</t>
        </is>
      </c>
      <c r="S12" s="14" t="inlineStr">
        <is>
          <t>Sơn tĩnh điện bảo hành 15 năm</t>
        </is>
      </c>
      <c r="T12" s="14" t="inlineStr">
        <is>
          <t>Khả năng chịu áp lực tải trọng siêu nặng, chịu bão cấp cao ngoại thất</t>
        </is>
      </c>
      <c r="U12" s="14" t="inlineStr">
        <is>
          <t>Chi phí đầu tư cao, nặng</t>
        </is>
      </c>
      <c r="V12" s="14" t="inlineStr">
        <is>
          <t>✓</t>
        </is>
      </c>
      <c r="W12" s="14" t="inlineStr">
        <is>
          <t>✓</t>
        </is>
      </c>
      <c r="X12" s="14" t="inlineStr">
        <is>
          <t>✓</t>
        </is>
      </c>
      <c r="Y12" s="14" t="inlineStr">
        <is>
          <t>✓</t>
        </is>
      </c>
      <c r="Z12" s="14" t="inlineStr">
        <is>
          <t>Hoàn thành</t>
        </is>
      </c>
      <c r="AA12" s="15" t="n">
        <v>80</v>
      </c>
      <c r="AB12" s="14" t="inlineStr">
        <is>
          <t>https://pma.com.vn</t>
        </is>
      </c>
      <c r="AC12" s="14" t="inlineStr">
        <is>
          <t>https://nhomkinhdaiphuc.com/catalogue/catalogue-nhom-pma.html</t>
        </is>
      </c>
      <c r="AD12" s="14" t="inlineStr"/>
    </row>
    <row r="13" ht="35" customHeight="1">
      <c r="A13" s="16" t="inlineStr">
        <is>
          <t>PM-006</t>
        </is>
      </c>
      <c r="B13" s="16" t="inlineStr">
        <is>
          <t>Trượt lùa Trung cấp</t>
        </is>
      </c>
      <c r="C13" s="16" t="inlineStr">
        <is>
          <t>PMA 93</t>
        </is>
      </c>
      <c r="D13" s="16" t="inlineStr">
        <is>
          <t>PMA</t>
        </is>
      </c>
      <c r="E13" s="16" t="inlineStr">
        <is>
          <t>Việt Nam</t>
        </is>
      </c>
      <c r="F13" s="16" t="inlineStr">
        <is>
          <t>TCVN</t>
        </is>
      </c>
      <c r="G13" s="16" t="inlineStr">
        <is>
          <t>Cửa đi</t>
        </is>
      </c>
      <c r="H13" s="16" t="inlineStr">
        <is>
          <t>Trượt lùa (Sliding)</t>
        </is>
      </c>
      <c r="I13" s="16" t="inlineStr">
        <is>
          <t>Khung lùa 93mm 2 ray/3 ray</t>
        </is>
      </c>
      <c r="J13" s="16" t="inlineStr">
        <is>
          <t>Ngoại thất</t>
        </is>
      </c>
      <c r="K13" s="16" t="inlineStr">
        <is>
          <t>Căn hộ, văn phòng, nhà phố</t>
        </is>
      </c>
      <c r="L13" s="16" t="n">
        <v>1.4</v>
      </c>
      <c r="M13" s="16" t="inlineStr">
        <is>
          <t>Kính đơn/hộp 6-20mm</t>
        </is>
      </c>
      <c r="N13" s="16" t="inlineStr">
        <is>
          <t>20mm</t>
        </is>
      </c>
      <c r="O13" s="16" t="inlineStr">
        <is>
          <t>3000×2400</t>
        </is>
      </c>
      <c r="P13" s="16" t="n">
        <v>100</v>
      </c>
      <c r="Q13" s="16" t="inlineStr">
        <is>
          <t>Bánh xe trượt PMA đồng bộ</t>
        </is>
      </c>
      <c r="R13" s="16" t="inlineStr">
        <is>
          <t>Gioăng EPDM kép / Apollo A500</t>
        </is>
      </c>
      <c r="S13" s="16" t="inlineStr">
        <is>
          <t>Sơn tĩnh điện bóng/mờ</t>
        </is>
      </c>
      <c r="T13" s="16" t="inlineStr">
        <is>
          <t>Giá bình dân, tối ưu diện tích không gian đóng mở</t>
        </is>
      </c>
      <c r="U13" s="16" t="inlineStr">
        <is>
          <t>Độ kín khít cách âm ở mức trung bình</t>
        </is>
      </c>
      <c r="V13" s="16" t="inlineStr">
        <is>
          <t>✓</t>
        </is>
      </c>
      <c r="W13" s="16" t="inlineStr">
        <is>
          <t>✗</t>
        </is>
      </c>
      <c r="X13" s="16" t="inlineStr">
        <is>
          <t>✓</t>
        </is>
      </c>
      <c r="Y13" s="16" t="inlineStr">
        <is>
          <t>✓</t>
        </is>
      </c>
      <c r="Z13" s="16" t="inlineStr">
        <is>
          <t>Hoàn thành</t>
        </is>
      </c>
      <c r="AA13" s="17" t="n">
        <v>80</v>
      </c>
      <c r="AB13" s="16" t="inlineStr">
        <is>
          <t>https://pma.com.vn</t>
        </is>
      </c>
      <c r="AC13" s="16" t="inlineStr">
        <is>
          <t>https://nhomkinhdaiphuc.com/catalogue/catalogue-nhom-pma.html</t>
        </is>
      </c>
      <c r="AD13" s="16" t="inlineStr"/>
    </row>
    <row r="14" ht="35" customHeight="1">
      <c r="A14" s="16" t="inlineStr">
        <is>
          <t>PM-007</t>
        </is>
      </c>
      <c r="B14" s="16" t="inlineStr">
        <is>
          <t>Trượt lùa Trung cấp</t>
        </is>
      </c>
      <c r="C14" s="16" t="inlineStr">
        <is>
          <t>PMA 95</t>
        </is>
      </c>
      <c r="D14" s="16" t="inlineStr">
        <is>
          <t>PMA</t>
        </is>
      </c>
      <c r="E14" s="16" t="inlineStr">
        <is>
          <t>Việt Nam</t>
        </is>
      </c>
      <c r="F14" s="16" t="inlineStr">
        <is>
          <t>TCVN</t>
        </is>
      </c>
      <c r="G14" s="16" t="inlineStr">
        <is>
          <t>Cửa đi</t>
        </is>
      </c>
      <c r="H14" s="16" t="inlineStr">
        <is>
          <t>Trượt lùa (Sliding)</t>
        </is>
      </c>
      <c r="I14" s="16" t="inlineStr">
        <is>
          <t>Khung lùa 95mm dày dặn</t>
        </is>
      </c>
      <c r="J14" s="16" t="inlineStr">
        <is>
          <t>Ngoại thất</t>
        </is>
      </c>
      <c r="K14" s="16" t="inlineStr">
        <is>
          <t>Nhà phố, căn hộ cao cấp</t>
        </is>
      </c>
      <c r="L14" s="16" t="n">
        <v>1.6</v>
      </c>
      <c r="M14" s="16" t="inlineStr">
        <is>
          <t>Kính đơn/hộp 6-24mm</t>
        </is>
      </c>
      <c r="N14" s="16" t="inlineStr">
        <is>
          <t>24mm</t>
        </is>
      </c>
      <c r="O14" s="16" t="inlineStr">
        <is>
          <t>4000×2400</t>
        </is>
      </c>
      <c r="P14" s="16" t="n">
        <v>120</v>
      </c>
      <c r="Q14" s="16" t="inlineStr">
        <is>
          <t>Bánh xe Hopo / PMA chịu tải</t>
        </is>
      </c>
      <c r="R14" s="16" t="inlineStr">
        <is>
          <t>Gioăng EPDM kép / Silicon Dow</t>
        </is>
      </c>
      <c r="S14" s="16" t="inlineStr">
        <is>
          <t>Sơn tĩnh điện AkzoNobel</t>
        </is>
      </c>
      <c r="T14" s="16" t="inlineStr">
        <is>
          <t>Cứng vững chống gió giật tốt hơn lùa 93, trượt đầm tay</t>
        </is>
      </c>
      <c r="U14" s="16" t="inlineStr">
        <is>
          <t>Chi phí phụ kiện cao hơn</t>
        </is>
      </c>
      <c r="V14" s="16" t="inlineStr">
        <is>
          <t>✓</t>
        </is>
      </c>
      <c r="W14" s="16" t="inlineStr">
        <is>
          <t>✓</t>
        </is>
      </c>
      <c r="X14" s="16" t="inlineStr">
        <is>
          <t>✓</t>
        </is>
      </c>
      <c r="Y14" s="16" t="inlineStr">
        <is>
          <t>✓</t>
        </is>
      </c>
      <c r="Z14" s="16" t="inlineStr">
        <is>
          <t>Hoàn thành</t>
        </is>
      </c>
      <c r="AA14" s="17" t="n">
        <v>80</v>
      </c>
      <c r="AB14" s="16" t="inlineStr">
        <is>
          <t>https://pma.com.vn</t>
        </is>
      </c>
      <c r="AC14" s="16" t="inlineStr">
        <is>
          <t>https://nhomkinhdaiphuc.com/catalogue/catalogue-nhom-pma.html</t>
        </is>
      </c>
      <c r="AD14" s="16" t="inlineStr"/>
    </row>
    <row r="15" ht="35" customHeight="1">
      <c r="A15" s="18" t="inlineStr">
        <is>
          <t>PM-008</t>
        </is>
      </c>
      <c r="B15" s="18" t="inlineStr">
        <is>
          <t>Trượt lùa Cao cấp</t>
        </is>
      </c>
      <c r="C15" s="18" t="inlineStr">
        <is>
          <t>PMA 115</t>
        </is>
      </c>
      <c r="D15" s="18" t="inlineStr">
        <is>
          <t>PMA</t>
        </is>
      </c>
      <c r="E15" s="18" t="inlineStr">
        <is>
          <t>Việt Nam</t>
        </is>
      </c>
      <c r="F15" s="18" t="inlineStr">
        <is>
          <t>TCVN</t>
        </is>
      </c>
      <c r="G15" s="18" t="inlineStr">
        <is>
          <t>Cửa đi</t>
        </is>
      </c>
      <c r="H15" s="18" t="inlineStr">
        <is>
          <t>Trượt lùa 3 ray có lưới chống muỗi</t>
        </is>
      </c>
      <c r="I15" s="18" t="inlineStr">
        <is>
          <t>Khung 3 ray 115mm + ray lưới</t>
        </is>
      </c>
      <c r="J15" s="18" t="inlineStr">
        <is>
          <t>Ngoại thất</t>
        </is>
      </c>
      <c r="K15" s="18" t="inlineStr">
        <is>
          <t>Biệt thự vườn, biệt thự ven sông</t>
        </is>
      </c>
      <c r="L15" s="18" t="n">
        <v>1.8</v>
      </c>
      <c r="M15" s="18" t="inlineStr">
        <is>
          <t>Kính đơn/hộp 6-24mm</t>
        </is>
      </c>
      <c r="N15" s="18" t="inlineStr">
        <is>
          <t>24mm</t>
        </is>
      </c>
      <c r="O15" s="18" t="inlineStr">
        <is>
          <t>5000×2600</t>
        </is>
      </c>
      <c r="P15" s="18" t="n">
        <v>150</v>
      </c>
      <c r="Q15" s="18" t="inlineStr">
        <is>
          <t>Ray inox chặn nỉ / bánh xe chịu lực</t>
        </is>
      </c>
      <c r="R15" s="18" t="inlineStr">
        <is>
          <t>Gioăng EPDM chèn lưới</t>
        </is>
      </c>
      <c r="S15" s="18" t="inlineStr">
        <is>
          <t>Sơn tĩnh điện AkzoNobel</t>
        </is>
      </c>
      <c r="T15" s="18" t="inlineStr">
        <is>
          <t>Tích hợp sẵn ray lưới chống côn trùng đồng bộ, thoáng mát</t>
        </is>
      </c>
      <c r="U15" s="18" t="inlineStr">
        <is>
          <t>Chiếm nhiều diện tích độ dày tường khi lắp</t>
        </is>
      </c>
      <c r="V15" s="18" t="inlineStr">
        <is>
          <t>✓</t>
        </is>
      </c>
      <c r="W15" s="18" t="inlineStr">
        <is>
          <t>✓</t>
        </is>
      </c>
      <c r="X15" s="18" t="inlineStr">
        <is>
          <t>✓</t>
        </is>
      </c>
      <c r="Y15" s="18" t="inlineStr">
        <is>
          <t>✓</t>
        </is>
      </c>
      <c r="Z15" s="18" t="inlineStr">
        <is>
          <t>Hoàn thành</t>
        </is>
      </c>
      <c r="AA15" s="19" t="n">
        <v>80</v>
      </c>
      <c r="AB15" s="18" t="inlineStr">
        <is>
          <t>https://pma.com.vn</t>
        </is>
      </c>
      <c r="AC15" s="18" t="inlineStr">
        <is>
          <t>https://nhomkinhdaiphuc.com/catalogue/catalogue-nhom-pma.html</t>
        </is>
      </c>
      <c r="AD15" s="18" t="inlineStr"/>
    </row>
    <row r="16" ht="35" customHeight="1">
      <c r="A16" s="20" t="inlineStr">
        <is>
          <t>PM-009</t>
        </is>
      </c>
      <c r="B16" s="20" t="inlineStr">
        <is>
          <t>Lift &amp; Slide Cao cấp</t>
        </is>
      </c>
      <c r="C16" s="20" t="inlineStr">
        <is>
          <t>PMA Lift &amp; Slide</t>
        </is>
      </c>
      <c r="D16" s="20" t="inlineStr">
        <is>
          <t>PMA</t>
        </is>
      </c>
      <c r="E16" s="20" t="inlineStr">
        <is>
          <t>Việt Nam</t>
        </is>
      </c>
      <c r="F16" s="20" t="inlineStr">
        <is>
          <t>TCVN</t>
        </is>
      </c>
      <c r="G16" s="20" t="inlineStr">
        <is>
          <t>Cửa đi</t>
        </is>
      </c>
      <c r="H16" s="20" t="inlineStr">
        <is>
          <t>Trượt nâng (Lift &amp; Slide)</t>
        </is>
      </c>
      <c r="I16" s="20" t="inlineStr">
        <is>
          <t>Khung trượt nâng bản dày</t>
        </is>
      </c>
      <c r="J16" s="20" t="inlineStr">
        <is>
          <t>Ngoại thất</t>
        </is>
      </c>
      <c r="K16" s="20" t="inlineStr">
        <is>
          <t>Biệt thự sát biển, penthouses, resort</t>
        </is>
      </c>
      <c r="L16" s="20" t="n">
        <v>2</v>
      </c>
      <c r="M16" s="20" t="inlineStr">
        <is>
          <t>Kính hộp cách âm 24-32mm</t>
        </is>
      </c>
      <c r="N16" s="20" t="inlineStr">
        <is>
          <t>32mm</t>
        </is>
      </c>
      <c r="O16" s="20" t="inlineStr">
        <is>
          <t>6000×2800</t>
        </is>
      </c>
      <c r="P16" s="20" t="n">
        <v>300</v>
      </c>
      <c r="Q16" s="20" t="inlineStr">
        <is>
          <t>Bánh xe nâng hạ &amp; tay gạt Sobinco/Hopo</t>
        </is>
      </c>
      <c r="R16" s="20" t="inlineStr">
        <is>
          <t>Gioăng nén phẳng mặt sàn</t>
        </is>
      </c>
      <c r="S16" s="20" t="inlineStr">
        <is>
          <t>Sơn tĩnh điện bảo hành 15 năm</t>
        </is>
      </c>
      <c r="T16" s="20" t="inlineStr">
        <is>
          <t>Nén gioăng kín khít tuyệt đối cách âm tốt, trượt nâng chịu tải lớn 300kg</t>
        </is>
      </c>
      <c r="U16" s="20" t="inlineStr">
        <is>
          <t>Chi phí phụ kiện nâng hạ nhập khẩu rất đắt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  <c r="Y16" s="20" t="inlineStr">
        <is>
          <t>✓</t>
        </is>
      </c>
      <c r="Z16" s="20" t="inlineStr">
        <is>
          <t>Hoàn thành</t>
        </is>
      </c>
      <c r="AA16" s="21" t="n">
        <v>80</v>
      </c>
      <c r="AB16" s="20" t="inlineStr">
        <is>
          <t>https://pma.com.vn</t>
        </is>
      </c>
      <c r="AC16" s="20" t="inlineStr">
        <is>
          <t>https://nhomkinhdaiphuc.com/catalogue/catalogue-nhom-pma.html</t>
        </is>
      </c>
      <c r="AD16" s="20" t="inlineStr"/>
    </row>
    <row r="17" ht="35" customHeight="1">
      <c r="A17" s="22" t="inlineStr">
        <is>
          <t>PM-010</t>
        </is>
      </c>
      <c r="B17" s="22" t="inlineStr">
        <is>
          <t>Slim Ngoại thất Cao cấp</t>
        </is>
      </c>
      <c r="C17" s="22" t="inlineStr">
        <is>
          <t>PMA Slim</t>
        </is>
      </c>
      <c r="D17" s="22" t="inlineStr">
        <is>
          <t>PMA</t>
        </is>
      </c>
      <c r="E17" s="22" t="inlineStr">
        <is>
          <t>Việt Nam</t>
        </is>
      </c>
      <c r="F17" s="22" t="inlineStr">
        <is>
          <t>TCVN</t>
        </is>
      </c>
      <c r="G17" s="22" t="inlineStr">
        <is>
          <t>Cửa đi</t>
        </is>
      </c>
      <c r="H17" s="22" t="inlineStr">
        <is>
          <t>Trượt lùa Slim Panorama (Sliding)</t>
        </is>
      </c>
      <c r="I17" s="22" t="inlineStr">
        <is>
          <t>Khung cánh siêu mỏng ray inox</t>
        </is>
      </c>
      <c r="J17" s="22" t="inlineStr">
        <is>
          <t>Nội/Ngoại thất</t>
        </is>
      </c>
      <c r="K17" s="22" t="inlineStr">
        <is>
          <t>Vách ngăn phòng khách, cửa ban công biệt thự</t>
        </is>
      </c>
      <c r="L17" s="22" t="n">
        <v>1.6</v>
      </c>
      <c r="M17" s="22" t="inlineStr">
        <is>
          <t>Kính cường lực 8-12mm / Kính hộp</t>
        </is>
      </c>
      <c r="N17" s="22" t="inlineStr">
        <is>
          <t>24mm</t>
        </is>
      </c>
      <c r="O17" s="22" t="inlineStr">
        <is>
          <t>4000×2600</t>
        </is>
      </c>
      <c r="P17" s="22" t="n">
        <v>100</v>
      </c>
      <c r="Q17" s="22" t="inlineStr">
        <is>
          <t>Ray inox SUS316L + bánh xe giảm chấn</t>
        </is>
      </c>
      <c r="R17" s="22" t="inlineStr">
        <is>
          <t>Gioăng chèn nỉ mỏng</t>
        </is>
      </c>
      <c r="S17" s="22" t="inlineStr">
        <is>
          <t>Sơn tĩnh điện mờ</t>
        </is>
      </c>
      <c r="T17" s="22" t="inlineStr">
        <is>
          <t>Thiết kế tối giản cánh cực mảnh, tăng 95% diện tích kính lấy view</t>
        </is>
      </c>
      <c r="U17" s="22" t="inlineStr">
        <is>
          <t>Chống bão gió ngoài trời hạn chế, phù hợp trong nhà</t>
        </is>
      </c>
      <c r="V17" s="22" t="inlineStr">
        <is>
          <t>✓</t>
        </is>
      </c>
      <c r="W17" s="22" t="inlineStr">
        <is>
          <t>✗</t>
        </is>
      </c>
      <c r="X17" s="22" t="inlineStr">
        <is>
          <t>✓</t>
        </is>
      </c>
      <c r="Y17" s="22" t="inlineStr">
        <is>
          <t>✓</t>
        </is>
      </c>
      <c r="Z17" s="22" t="inlineStr">
        <is>
          <t>Hoàn thành</t>
        </is>
      </c>
      <c r="AA17" s="23" t="n">
        <v>80</v>
      </c>
      <c r="AB17" s="22" t="inlineStr">
        <is>
          <t>https://pma.com.vn</t>
        </is>
      </c>
      <c r="AC17" s="22" t="inlineStr">
        <is>
          <t>https://nhomkinhdaiphuc.com/catalogue/catalogue-nhom-pma.html</t>
        </is>
      </c>
      <c r="AD17" s="22" t="inlineStr"/>
    </row>
    <row r="18" ht="35" customHeight="1">
      <c r="A18" s="24" t="inlineStr">
        <is>
          <t>PM-011</t>
        </is>
      </c>
      <c r="B18" s="24" t="inlineStr">
        <is>
          <t>Cầu cách nhiệt Cao cấp</t>
        </is>
      </c>
      <c r="C18" s="24" t="inlineStr">
        <is>
          <t>PMA Thermal 65</t>
        </is>
      </c>
      <c r="D18" s="24" t="inlineStr">
        <is>
          <t>PMA</t>
        </is>
      </c>
      <c r="E18" s="24" t="inlineStr">
        <is>
          <t>Việt Nam</t>
        </is>
      </c>
      <c r="F18" s="24" t="inlineStr">
        <is>
          <t>TCVN</t>
        </is>
      </c>
      <c r="G18" s="24" t="inlineStr">
        <is>
          <t>Cửa đi + Cửa sổ</t>
        </is>
      </c>
      <c r="H18" s="24" t="inlineStr">
        <is>
          <t>Mở quay (Casement)</t>
        </is>
      </c>
      <c r="I18" s="24" t="inlineStr">
        <is>
          <t>Khung cách nhiệt 65mm có cầu PA66</t>
        </is>
      </c>
      <c r="J18" s="24" t="inlineStr">
        <is>
          <t>Ngoại thất</t>
        </is>
      </c>
      <c r="K18" s="24" t="inlineStr">
        <is>
          <t>Biệt thự, phòng ngủ hướng Tây nắng nóng</t>
        </is>
      </c>
      <c r="L18" s="24" t="n">
        <v>1.4</v>
      </c>
      <c r="M18" s="24" t="inlineStr">
        <is>
          <t>Kính hộp Low-E cách nhiệt 24-32mm</t>
        </is>
      </c>
      <c r="N18" s="24" t="inlineStr">
        <is>
          <t>32mm</t>
        </is>
      </c>
      <c r="O18" s="24" t="inlineStr">
        <is>
          <t>1400×2400</t>
        </is>
      </c>
      <c r="P18" s="24" t="n">
        <v>120</v>
      </c>
      <c r="Q18" s="24" t="inlineStr">
        <is>
          <t>Phụ kiện CMECH / Roto rãnh C Châu Âu</t>
        </is>
      </c>
      <c r="R18" s="24" t="inlineStr">
        <is>
          <t>Gioăng EPDM đa khoang trung tâm / Silicon Dow</t>
        </is>
      </c>
      <c r="S18" s="24" t="inlineStr">
        <is>
          <t>Sơn tĩnh điện bảo hành 15 năm</t>
        </is>
      </c>
      <c r="T18" s="24" t="inlineStr">
        <is>
          <t>Cầu cách nhiệt dải Polyamide cản nóng 30%, cách âm 38dB vượt trội</t>
        </is>
      </c>
      <c r="U18" s="24" t="inlineStr">
        <is>
          <t>Gia công góc cắt cần ke keo cấu trúc phức tạp</t>
        </is>
      </c>
      <c r="V18" s="24" t="inlineStr">
        <is>
          <t>✓</t>
        </is>
      </c>
      <c r="W18" s="24" t="inlineStr">
        <is>
          <t>✓</t>
        </is>
      </c>
      <c r="X18" s="24" t="inlineStr">
        <is>
          <t>✓</t>
        </is>
      </c>
      <c r="Y18" s="24" t="inlineStr">
        <is>
          <t>✓</t>
        </is>
      </c>
      <c r="Z18" s="24" t="inlineStr">
        <is>
          <t>Hoàn thành</t>
        </is>
      </c>
      <c r="AA18" s="25" t="n">
        <v>80</v>
      </c>
      <c r="AB18" s="24" t="inlineStr">
        <is>
          <t>https://pma.com.vn</t>
        </is>
      </c>
      <c r="AC18" s="24" t="inlineStr">
        <is>
          <t>https://nhomkinhdaiphuc.com/catalogue/catalogue-nhom-pma.html</t>
        </is>
      </c>
      <c r="AD18" s="24" t="inlineStr"/>
    </row>
    <row r="19" ht="35" customHeight="1">
      <c r="A19" s="26" t="inlineStr">
        <is>
          <t>PM-012</t>
        </is>
      </c>
      <c r="B19" s="26" t="inlineStr">
        <is>
          <t>Cầu cách nhiệt Siêu cao cấp</t>
        </is>
      </c>
      <c r="C19" s="26" t="inlineStr">
        <is>
          <t>PMA Thermal 75</t>
        </is>
      </c>
      <c r="D19" s="26" t="inlineStr">
        <is>
          <t>PMA</t>
        </is>
      </c>
      <c r="E19" s="26" t="inlineStr">
        <is>
          <t>Việt Nam</t>
        </is>
      </c>
      <c r="F19" s="26" t="inlineStr">
        <is>
          <t>TCVN</t>
        </is>
      </c>
      <c r="G19" s="26" t="inlineStr">
        <is>
          <t>Cửa đi + Cửa sổ</t>
        </is>
      </c>
      <c r="H19" s="26" t="inlineStr">
        <is>
          <t>Mở quay (Casement)</t>
        </is>
      </c>
      <c r="I19" s="26" t="inlineStr">
        <is>
          <t>Khung cách nhiệt bản lớn 75mm</t>
        </is>
      </c>
      <c r="J19" s="26" t="inlineStr">
        <is>
          <t>Ngoại thất</t>
        </is>
      </c>
      <c r="K19" s="26" t="inlineStr">
        <is>
          <t>Biệt thự Luxury, resort cao cấp</t>
        </is>
      </c>
      <c r="L19" s="26" t="n">
        <v>2</v>
      </c>
      <c r="M19" s="26" t="inlineStr">
        <is>
          <t>Kính hộp cách âm hộp 28-36mm</t>
        </is>
      </c>
      <c r="N19" s="26" t="inlineStr">
        <is>
          <t>36mm</t>
        </is>
      </c>
      <c r="O19" s="26" t="inlineStr">
        <is>
          <t>1600×2800</t>
        </is>
      </c>
      <c r="P19" s="26" t="n">
        <v>150</v>
      </c>
      <c r="Q19" s="26" t="inlineStr">
        <is>
          <t>Phụ kiện Sobinco (Bỉ) chống cạy RC2</t>
        </is>
      </c>
      <c r="R19" s="26" t="inlineStr">
        <is>
          <t>Gioăng đúc xốp trung tâm</t>
        </is>
      </c>
      <c r="S19" s="26" t="inlineStr">
        <is>
          <t>Sơn tĩnh điện bảo hành 15 năm AkzoNobel</t>
        </is>
      </c>
      <c r="T19" s="26" t="inlineStr">
        <is>
          <t>Khả năng cách âm tối đa đạt trên 40dB, cản nhiệt cao nhất thị trường</t>
        </is>
      </c>
      <c r="U19" s="26" t="inlineStr">
        <is>
          <t>Giá thành đắt đỏ phân khúc Luxury</t>
        </is>
      </c>
      <c r="V19" s="26" t="inlineStr">
        <is>
          <t>✓</t>
        </is>
      </c>
      <c r="W19" s="26" t="inlineStr">
        <is>
          <t>✓</t>
        </is>
      </c>
      <c r="X19" s="26" t="inlineStr">
        <is>
          <t>✓</t>
        </is>
      </c>
      <c r="Y19" s="26" t="inlineStr">
        <is>
          <t>✓</t>
        </is>
      </c>
      <c r="Z19" s="26" t="inlineStr">
        <is>
          <t>Hoàn thành</t>
        </is>
      </c>
      <c r="AA19" s="27" t="n">
        <v>80</v>
      </c>
      <c r="AB19" s="26" t="inlineStr">
        <is>
          <t>https://pma.com.vn</t>
        </is>
      </c>
      <c r="AC19" s="26" t="inlineStr">
        <is>
          <t>https://nhomkinhdaiphuc.com/catalogue/catalogue-nhom-pma.html</t>
        </is>
      </c>
      <c r="AD19" s="26" t="inlineStr"/>
    </row>
    <row r="20" ht="35" customHeight="1">
      <c r="A20" s="28" t="inlineStr">
        <is>
          <t>PM-013</t>
        </is>
      </c>
      <c r="B20" s="28" t="inlineStr">
        <is>
          <t>Curtain Wall Stick</t>
        </is>
      </c>
      <c r="C20" s="28" t="inlineStr">
        <is>
          <t>PMA Curtain Wall</t>
        </is>
      </c>
      <c r="D20" s="28" t="inlineStr">
        <is>
          <t>PMA</t>
        </is>
      </c>
      <c r="E20" s="28" t="inlineStr">
        <is>
          <t>Việt Nam</t>
        </is>
      </c>
      <c r="F20" s="28" t="inlineStr">
        <is>
          <t>TCVN</t>
        </is>
      </c>
      <c r="G20" s="28" t="inlineStr">
        <is>
          <t>Vách mặt dựng</t>
        </is>
      </c>
      <c r="H20" s="28" t="inlineStr">
        <is>
          <t>Cố định (Fixed Curtain Wall)</t>
        </is>
      </c>
      <c r="I20" s="28" t="inlineStr">
        <is>
          <t>Profile xương mặt dựng Stick</t>
        </is>
      </c>
      <c r="J20" s="28" t="inlineStr">
        <is>
          <t>Ngoại thất</t>
        </is>
      </c>
      <c r="K20" s="28" t="inlineStr">
        <is>
          <t>Tòa nhà văn phòng, showroom mặt tiền</t>
        </is>
      </c>
      <c r="L20" s="28" t="n">
        <v>2</v>
      </c>
      <c r="M20" s="28" t="inlineStr">
        <is>
          <t>Kính hộp phản quang / Low-E 24-32mm</t>
        </is>
      </c>
      <c r="N20" s="28" t="inlineStr">
        <is>
          <t>32mm</t>
        </is>
      </c>
      <c r="O20" s="28" t="inlineStr">
        <is>
          <t>Không giới hạn</t>
        </is>
      </c>
      <c r="P20" s="28" t="n">
        <v>500</v>
      </c>
      <c r="Q20" s="28" t="inlineStr">
        <is>
          <t>Kẹp kính kết cấu chìm/nổi</t>
        </is>
      </c>
      <c r="R20" s="28" t="inlineStr">
        <is>
          <t>Silicon kết cấu Dow Corning 895</t>
        </is>
      </c>
      <c r="S20" s="28" t="inlineStr">
        <is>
          <t>Anodized, PVDF</t>
        </is>
      </c>
      <c r="T20" s="28" t="inlineStr">
        <is>
          <t>Chịu áp lực gió giật bão tốt, thẩm mỹ hiện đại lấy sáng tối đa</t>
        </is>
      </c>
      <c r="U20" s="28" t="inlineStr">
        <is>
          <t>Thi công giàn giáo cao tầng bên ngoài phức tạp</t>
        </is>
      </c>
      <c r="V20" s="28" t="inlineStr">
        <is>
          <t>✓</t>
        </is>
      </c>
      <c r="W20" s="28" t="inlineStr">
        <is>
          <t>✓</t>
        </is>
      </c>
      <c r="X20" s="28" t="inlineStr">
        <is>
          <t>✓</t>
        </is>
      </c>
      <c r="Y20" s="28" t="inlineStr">
        <is>
          <t>✓</t>
        </is>
      </c>
      <c r="Z20" s="28" t="inlineStr">
        <is>
          <t>Hoàn thành</t>
        </is>
      </c>
      <c r="AA20" s="29" t="n">
        <v>80</v>
      </c>
      <c r="AB20" s="28" t="inlineStr">
        <is>
          <t>https://pma.com.vn</t>
        </is>
      </c>
      <c r="AC20" s="28" t="inlineStr">
        <is>
          <t>https://nhomkinhdaiphuc.com/catalogue/catalogue-nhom-pma.html</t>
        </is>
      </c>
      <c r="AD20" s="28" t="inlineStr"/>
    </row>
    <row r="21" ht="35" customHeight="1">
      <c r="A21" s="2" t="inlineStr">
        <is>
          <t>PM-014</t>
        </is>
      </c>
      <c r="B21" s="2" t="inlineStr">
        <is>
          <t>Phổ thông</t>
        </is>
      </c>
      <c r="C21" s="2" t="inlineStr">
        <is>
          <t>PMA Railing</t>
        </is>
      </c>
      <c r="D21" s="2" t="inlineStr">
        <is>
          <t>PMA</t>
        </is>
      </c>
      <c r="E21" s="2" t="inlineStr">
        <is>
          <t>Việt Nam</t>
        </is>
      </c>
      <c r="F21" s="2" t="inlineStr">
        <is>
          <t>TCVN</t>
        </is>
      </c>
      <c r="G21" s="2" t="inlineStr">
        <is>
          <t>Lan can</t>
        </is>
      </c>
      <c r="H21" s="2" t="inlineStr">
        <is>
          <t>Lắp ghép cố định (Railing)</t>
        </is>
      </c>
      <c r="I21" s="2" t="inlineStr">
        <is>
          <t>Profile lan can hợp kim nhôm</t>
        </is>
      </c>
      <c r="J21" s="2" t="inlineStr">
        <is>
          <t>Ngoại thất</t>
        </is>
      </c>
      <c r="K21" s="2" t="inlineStr">
        <is>
          <t>Lan can ban công biệt thự, chung cư</t>
        </is>
      </c>
      <c r="L21" s="2" t="n">
        <v>1.5</v>
      </c>
      <c r="M21" s="2" t="inlineStr">
        <is>
          <t>Không dùng kính / Kính cường lực 10-12mm</t>
        </is>
      </c>
      <c r="N21" s="2" t="inlineStr">
        <is>
          <t>12mm</t>
        </is>
      </c>
      <c r="O21" s="2" t="inlineStr">
        <is>
          <t>Không giới hạn</t>
        </is>
      </c>
      <c r="P21" s="2" t="n">
        <v>100</v>
      </c>
      <c r="Q21" s="2" t="inlineStr">
        <is>
          <t>Ốc vít inox SUS304 lắp ghép modul</t>
        </is>
      </c>
      <c r="R21" s="2" t="inlineStr">
        <is>
          <t>Gioăng đệm nhựa chặn chân</t>
        </is>
      </c>
      <c r="S21" s="2" t="inlineStr">
        <is>
          <t>Sơn tĩnh điện AkzoNobel</t>
        </is>
      </c>
      <c r="T21" s="2" t="inlineStr">
        <is>
          <t>Không rỉ sét muối mặn han rỉ, lắp đặt nhanh gọn, đồng bộ biệt thự</t>
        </is>
      </c>
      <c r="U21" s="2" t="inlineStr">
        <is>
          <t>Kiểu dáng định hình sẵn ít tùy biến hoa văn cổ điển</t>
        </is>
      </c>
      <c r="V21" s="2" t="inlineStr">
        <is>
          <t>✓</t>
        </is>
      </c>
      <c r="W21" s="2" t="inlineStr">
        <is>
          <t>✗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Hoàn thành</t>
        </is>
      </c>
      <c r="AA21" s="30" t="n">
        <v>75</v>
      </c>
      <c r="AB21" s="2" t="inlineStr">
        <is>
          <t>https://pma.com.vn</t>
        </is>
      </c>
      <c r="AC21" s="2" t="inlineStr">
        <is>
          <t>https://nhomkinhdaiphuc.com/catalogue/catalogue-nhom-pma.html</t>
        </is>
      </c>
      <c r="AD21" s="2" t="inlineStr"/>
    </row>
    <row r="22" ht="35" customHeight="1">
      <c r="A22" s="2" t="inlineStr">
        <is>
          <t>PM-015</t>
        </is>
      </c>
      <c r="B22" s="2" t="inlineStr">
        <is>
          <t>Phổ thông</t>
        </is>
      </c>
      <c r="C22" s="2" t="inlineStr">
        <is>
          <t>PMA Partition</t>
        </is>
      </c>
      <c r="D22" s="2" t="inlineStr">
        <is>
          <t>PMA</t>
        </is>
      </c>
      <c r="E22" s="2" t="inlineStr">
        <is>
          <t>Việt Nam</t>
        </is>
      </c>
      <c r="F22" s="2" t="inlineStr">
        <is>
          <t>TCVN</t>
        </is>
      </c>
      <c r="G22" s="2" t="inlineStr">
        <is>
          <t>Vách ngăn</t>
        </is>
      </c>
      <c r="H22" s="2" t="inlineStr">
        <is>
          <t>Cố định + Cửa lùa văn phòng</t>
        </is>
      </c>
      <c r="I22" s="2" t="inlineStr">
        <is>
          <t>Profile vách ngăn mỏng</t>
        </is>
      </c>
      <c r="J22" s="2" t="inlineStr">
        <is>
          <t>Nội thất</t>
        </is>
      </c>
      <c r="K22" s="2" t="inlineStr">
        <is>
          <t>Văn phòng làm việc, vách ngăn nhà xưởng</t>
        </is>
      </c>
      <c r="L22" s="2" t="n">
        <v>1</v>
      </c>
      <c r="M22" s="2" t="inlineStr">
        <is>
          <t>Kính đơn 5-10mm / Tấm alu nhôm</t>
        </is>
      </c>
      <c r="N22" s="2" t="inlineStr">
        <is>
          <t>10mm</t>
        </is>
      </c>
      <c r="O22" s="2" t="inlineStr">
        <is>
          <t>Không giới hạn</t>
        </is>
      </c>
      <c r="P22" s="2" t="n">
        <v>50</v>
      </c>
      <c r="Q22" s="2" t="inlineStr">
        <is>
          <t>Ke nhảy / Ke ma thuật liên kết góc</t>
        </is>
      </c>
      <c r="R22" s="2" t="inlineStr">
        <is>
          <t>Gioăng chèn nỉ / Silicon Apollo</t>
        </is>
      </c>
      <c r="S22" s="2" t="inlineStr">
        <is>
          <t>Sơn tĩnh điện bóng/mờ</t>
        </is>
      </c>
      <c r="T22" s="2" t="inlineStr">
        <is>
          <t>Lắp đặt tháo dỡ cực nhanh, chi phí siêu rẻ phân chia phòng làm việc</t>
        </is>
      </c>
      <c r="U22" s="2" t="inlineStr">
        <is>
          <t>Khả năng cách âm thấp, kết cấu chịu tải kém</t>
        </is>
      </c>
      <c r="V22" s="2" t="inlineStr">
        <is>
          <t>✓</t>
        </is>
      </c>
      <c r="W22" s="2" t="inlineStr">
        <is>
          <t>✗</t>
        </is>
      </c>
      <c r="X22" s="2" t="inlineStr">
        <is>
          <t>✓</t>
        </is>
      </c>
      <c r="Y22" s="2" t="inlineStr">
        <is>
          <t>✓</t>
        </is>
      </c>
      <c r="Z22" s="2" t="inlineStr">
        <is>
          <t>Hoàn thành</t>
        </is>
      </c>
      <c r="AA22" s="3" t="n">
        <v>80</v>
      </c>
      <c r="AB22" s="2" t="inlineStr">
        <is>
          <t>https://pma.com.vn</t>
        </is>
      </c>
      <c r="AC22" s="2" t="inlineStr">
        <is>
          <t>https://nhomkinhdaiphuc.com/catalogue/catalogue-nhom-pma.html</t>
        </is>
      </c>
      <c r="AD22" s="2" t="inlineStr"/>
    </row>
    <row r="23" ht="35" customHeight="1">
      <c r="A23" s="2" t="inlineStr">
        <is>
          <t>PM-016</t>
        </is>
      </c>
      <c r="B23" s="2" t="inlineStr">
        <is>
          <t>Phổ thông</t>
        </is>
      </c>
      <c r="C23" s="2" t="inlineStr">
        <is>
          <t>PMA 50</t>
        </is>
      </c>
      <c r="D23" s="2" t="inlineStr">
        <is>
          <t>PMA</t>
        </is>
      </c>
      <c r="E23" s="2" t="inlineStr">
        <is>
          <t>Việt Nam</t>
        </is>
      </c>
      <c r="F23" s="2" t="inlineStr">
        <is>
          <t>TCVN</t>
        </is>
      </c>
      <c r="G23" s="2" t="inlineStr">
        <is>
          <t>Cửa sổ + Cửa đi nhẹ + Vách ngăn</t>
        </is>
      </c>
      <c r="H23" s="2" t="inlineStr">
        <is>
          <t>Mở quay + Cố định</t>
        </is>
      </c>
      <c r="I23" s="2" t="inlineStr">
        <is>
          <t>Khung nhôm 50mm nhỏ gọn</t>
        </is>
      </c>
      <c r="J23" s="2" t="inlineStr">
        <is>
          <t>Nội/Ngoại thất</t>
        </is>
      </c>
      <c r="K23" s="2" t="inlineStr">
        <is>
          <t>Cửa phòng tắm, vách toilet, cửa sổ phụ nhà dân</t>
        </is>
      </c>
      <c r="L23" s="2" t="n">
        <v>1.2</v>
      </c>
      <c r="M23" s="2" t="inlineStr">
        <is>
          <t>Kính đơn 5-10mm / Kính chèn nỉ</t>
        </is>
      </c>
      <c r="N23" s="2" t="inlineStr">
        <is>
          <t>10mm</t>
        </is>
      </c>
      <c r="O23" s="2" t="inlineStr">
        <is>
          <t>1000×2000</t>
        </is>
      </c>
      <c r="P23" s="2" t="n">
        <v>60</v>
      </c>
      <c r="Q23" s="2" t="inlineStr">
        <is>
          <t>Phụ kiện PMA đồng bộ nhẹ</t>
        </is>
      </c>
      <c r="R23" s="2" t="inlineStr">
        <is>
          <t>Gioăng EPDM đơn / Silicon Apollo</t>
        </is>
      </c>
      <c r="S23" s="2" t="inlineStr">
        <is>
          <t>Sơn tĩnh điện bóng/mờ</t>
        </is>
      </c>
      <c r="T23" s="2" t="inlineStr">
        <is>
          <t>Nhỏ gọn linh hoạt, chi phí cực kỳ tối ưu, dễ lắp ráp</t>
        </is>
      </c>
      <c r="U23" s="2" t="inlineStr">
        <is>
          <t>Chịu gió ngoài trời yếu, không chịu tải kính hộp lớn</t>
        </is>
      </c>
      <c r="V23" s="2" t="inlineStr">
        <is>
          <t>✓</t>
        </is>
      </c>
      <c r="W23" s="2" t="inlineStr">
        <is>
          <t>✗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Hoàn thành</t>
        </is>
      </c>
      <c r="AA23" s="3" t="n">
        <v>80</v>
      </c>
      <c r="AB23" s="2" t="inlineStr">
        <is>
          <t>https://pma.com.vn</t>
        </is>
      </c>
      <c r="AC23" s="2" t="inlineStr">
        <is>
          <t>https://nhomkinhdaiphuc.com/catalogue/catalogue-nhom-pma.html</t>
        </is>
      </c>
      <c r="AD23" s="2" t="inlineStr"/>
    </row>
    <row r="24" ht="35" customHeight="1">
      <c r="A24" s="2" t="inlineStr">
        <is>
          <t>PM-017</t>
        </is>
      </c>
      <c r="B24" s="2" t="inlineStr">
        <is>
          <t>Phổ thông</t>
        </is>
      </c>
      <c r="C24" s="2" t="inlineStr">
        <is>
          <t>PMA 63</t>
        </is>
      </c>
      <c r="D24" s="2" t="inlineStr">
        <is>
          <t>PMA</t>
        </is>
      </c>
      <c r="E24" s="2" t="inlineStr">
        <is>
          <t>Việt Nam</t>
        </is>
      </c>
      <c r="F24" s="2" t="inlineStr">
        <is>
          <t>TCVN</t>
        </is>
      </c>
      <c r="G24" s="2" t="inlineStr">
        <is>
          <t>Cửa đi + Cửa sổ lớn</t>
        </is>
      </c>
      <c r="H24" s="2" t="inlineStr">
        <is>
          <t>Mở quay</t>
        </is>
      </c>
      <c r="I24" s="2" t="inlineStr">
        <is>
          <t>Khung bao tăng cứng</t>
        </is>
      </c>
      <c r="J24" s="2" t="inlineStr">
        <is>
          <t>Ngoại thất</t>
        </is>
      </c>
      <c r="K24" s="2" t="inlineStr">
        <is>
          <t>Khuôn viên cửa sổ lớn chịu gió, cửa cổng sân vườn biệt thự</t>
        </is>
      </c>
      <c r="L24" s="2" t="n">
        <v>1.5</v>
      </c>
      <c r="M24" s="2" t="inlineStr">
        <is>
          <t>Kính đơn/hộp 6-24mm</t>
        </is>
      </c>
      <c r="N24" s="2" t="inlineStr">
        <is>
          <t>24mm</t>
        </is>
      </c>
      <c r="O24" s="2" t="inlineStr">
        <is>
          <t>1400×2400</t>
        </is>
      </c>
      <c r="P24" s="2" t="n">
        <v>100</v>
      </c>
      <c r="Q24" s="2" t="inlineStr">
        <is>
          <t>Phụ kiện PMA đồng bộ chịu tải</t>
        </is>
      </c>
      <c r="R24" s="2" t="inlineStr">
        <is>
          <t>Gioăng EPDM kép chống dột</t>
        </is>
      </c>
      <c r="S24" s="2" t="inlineStr">
        <is>
          <t>Sơn tĩnh điện AkzoNobel</t>
        </is>
      </c>
      <c r="T24" s="2" t="inlineStr">
        <is>
          <t>Khung cánh lớn chắc khỏe chống rung chống võng, thích ứng gió giật</t>
        </is>
      </c>
      <c r="U24" s="2" t="inlineStr">
        <is>
          <t>Cần kỹ thuật lắp ráp chống sệ cánh cửa lớn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Hoàn thành</t>
        </is>
      </c>
      <c r="AA24" s="3" t="n">
        <v>80</v>
      </c>
      <c r="AB24" s="2" t="inlineStr">
        <is>
          <t>https://pma.com.vn</t>
        </is>
      </c>
      <c r="AC24" s="2" t="inlineStr">
        <is>
          <t>https://nhomkinhdaiphuc.com/catalogue/catalogue-nhom-pma.html</t>
        </is>
      </c>
      <c r="AD24" s="2" t="inlineStr"/>
    </row>
    <row r="25" ht="35" customHeight="1">
      <c r="A25" s="2" t="inlineStr">
        <is>
          <t>PM-018</t>
        </is>
      </c>
      <c r="B25" s="2" t="inlineStr">
        <is>
          <t>Phổ thông</t>
        </is>
      </c>
      <c r="C25" s="2" t="inlineStr">
        <is>
          <t>PMA 72</t>
        </is>
      </c>
      <c r="D25" s="2" t="inlineStr">
        <is>
          <t>PMA</t>
        </is>
      </c>
      <c r="E25" s="2" t="inlineStr">
        <is>
          <t>Việt Nam</t>
        </is>
      </c>
      <c r="F25" s="2" t="inlineStr">
        <is>
          <t>TCVN</t>
        </is>
      </c>
      <c r="G25" s="2" t="inlineStr">
        <is>
          <t>Cửa đi kích thước lớn</t>
        </is>
      </c>
      <c r="H25" s="2" t="inlineStr">
        <is>
          <t>Mở quay</t>
        </is>
      </c>
      <c r="I25" s="2" t="inlineStr">
        <is>
          <t>Khung bao dày bản lớn</t>
        </is>
      </c>
      <c r="J25" s="2" t="inlineStr">
        <is>
          <t>Ngoại thất</t>
        </is>
      </c>
      <c r="K25" s="2" t="inlineStr">
        <is>
          <t>Cửa chính mở rộng, cửa ban công khẩu độ lớn biệt thự biển</t>
        </is>
      </c>
      <c r="L25" s="2" t="n">
        <v>2</v>
      </c>
      <c r="M25" s="2" t="inlineStr">
        <is>
          <t>Kính cường lực 10-15mm / Kính hộp</t>
        </is>
      </c>
      <c r="N25" s="2" t="inlineStr">
        <is>
          <t>28mm</t>
        </is>
      </c>
      <c r="O25" s="2" t="inlineStr">
        <is>
          <t>1800×2800</t>
        </is>
      </c>
      <c r="P25" s="2" t="n">
        <v>150</v>
      </c>
      <c r="Q25" s="2" t="inlineStr">
        <is>
          <t>Bản lề cối chịu lực &amp; khóa đa điểm</t>
        </is>
      </c>
      <c r="R25" s="2" t="inlineStr">
        <is>
          <t>Gioăng đúc xốp kép / Sika</t>
        </is>
      </c>
      <c r="S25" s="2" t="inlineStr">
        <is>
          <t>Sơn tĩnh điện AkzoNobel bảo hành 15 năm</t>
        </is>
      </c>
      <c r="T25" s="2" t="inlineStr">
        <is>
          <t>Thanh profile cực dày chống rung chấn, vững chãi đóng mở khẩu độ rộng</t>
        </is>
      </c>
      <c r="U25" s="2" t="inlineStr">
        <is>
          <t>Cánh nặng nề, chi phí phụ kiện kim khí lớn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Hoàn thành</t>
        </is>
      </c>
      <c r="AA25" s="3" t="n">
        <v>80</v>
      </c>
      <c r="AB25" s="2" t="inlineStr">
        <is>
          <t>https://pma.com.vn</t>
        </is>
      </c>
      <c r="AC25" s="2" t="inlineStr">
        <is>
          <t>https://nhomkinhdaiphuc.com/catalogue/catalogue-nhom-pma.html</t>
        </is>
      </c>
      <c r="AD25" s="2" t="inlineStr"/>
    </row>
    <row r="26" ht="35" customHeight="1">
      <c r="A26" s="31" t="inlineStr">
        <is>
          <t>KG-001</t>
        </is>
      </c>
      <c r="B26" s="31" t="inlineStr">
        <is>
          <t>Xếp trượt Cao cấp</t>
        </is>
      </c>
      <c r="C26" s="31" t="inlineStr">
        <is>
          <t>Kogen Slim 50/68</t>
        </is>
      </c>
      <c r="D26" s="31" t="inlineStr">
        <is>
          <t>Kogen</t>
        </is>
      </c>
      <c r="E26" s="31" t="inlineStr">
        <is>
          <t>Đức/Việt Nam</t>
        </is>
      </c>
      <c r="F26" s="31" t="inlineStr">
        <is>
          <t>EN Châu Âu</t>
        </is>
      </c>
      <c r="G26" s="31" t="inlineStr">
        <is>
          <t>Cửa đi</t>
        </is>
      </c>
      <c r="H26" s="31" t="inlineStr">
        <is>
          <t>Xếp trượt ẩn bản lề (Hidden Hinge)</t>
        </is>
      </c>
      <c r="I26" s="31" t="inlineStr">
        <is>
          <t>Khung mỏng rãnh C ẩn bản lề</t>
        </is>
      </c>
      <c r="J26" s="31" t="inlineStr">
        <is>
          <t>Ngoại thất</t>
        </is>
      </c>
      <c r="K26" s="31" t="inlineStr">
        <is>
          <t>Biệt thự, penthouse, resort</t>
        </is>
      </c>
      <c r="L26" s="31" t="n">
        <v>1.6</v>
      </c>
      <c r="M26" s="31" t="inlineStr">
        <is>
          <t>Kính đơn 8-12mm, kính hộp</t>
        </is>
      </c>
      <c r="N26" s="31" t="inlineStr">
        <is>
          <t>28mm</t>
        </is>
      </c>
      <c r="O26" s="31" t="inlineStr">
        <is>
          <t>5000×2800</t>
        </is>
      </c>
      <c r="P26" s="31" t="n">
        <v>80</v>
      </c>
      <c r="Q26" s="31" t="inlineStr">
        <is>
          <t>Rãnh C Châu Âu đồng bộ Kogen</t>
        </is>
      </c>
      <c r="R26" s="31" t="inlineStr">
        <is>
          <t>Gioăng EPDM đa khoang / Silicon Dow</t>
        </is>
      </c>
      <c r="S26" s="31" t="inlineStr">
        <is>
          <t>Sơn tĩnh điện hạt mịn chống UV</t>
        </is>
      </c>
      <c r="T26" s="31" t="inlineStr">
        <is>
          <t>Bản lề ẩn hoàn toàn khi đóng tạo bề mặt phẳng tinh tế Bauhaus</t>
        </is>
      </c>
      <c r="U26" s="31" t="inlineStr">
        <is>
          <t>Gia công cần dưỡng chuyên dụng khoét bản lề ẩn</t>
        </is>
      </c>
      <c r="V26" s="31" t="inlineStr">
        <is>
          <t>✓</t>
        </is>
      </c>
      <c r="W26" s="31" t="inlineStr">
        <is>
          <t>✓</t>
        </is>
      </c>
      <c r="X26" s="31" t="inlineStr">
        <is>
          <t>✓</t>
        </is>
      </c>
      <c r="Y26" s="31" t="inlineStr">
        <is>
          <t>✓</t>
        </is>
      </c>
      <c r="Z26" s="31" t="inlineStr">
        <is>
          <t>Hoàn thành</t>
        </is>
      </c>
      <c r="AA26" s="32" t="n">
        <v>85</v>
      </c>
      <c r="AB26" s="31" t="inlineStr">
        <is>
          <t>https://kogen.vn</t>
        </is>
      </c>
      <c r="AC26" s="31" t="inlineStr"/>
      <c r="AD26" s="31" t="inlineStr"/>
    </row>
    <row r="27" ht="35" customHeight="1">
      <c r="A27" s="22" t="inlineStr">
        <is>
          <t>KG-002</t>
        </is>
      </c>
      <c r="B27" s="22" t="inlineStr">
        <is>
          <t>Slim Ngoại thất Cao cấp</t>
        </is>
      </c>
      <c r="C27" s="22" t="inlineStr">
        <is>
          <t>Kogen Slim Lùa</t>
        </is>
      </c>
      <c r="D27" s="22" t="inlineStr">
        <is>
          <t>Kogen</t>
        </is>
      </c>
      <c r="E27" s="22" t="inlineStr">
        <is>
          <t>Đức/Việt Nam</t>
        </is>
      </c>
      <c r="F27" s="22" t="inlineStr">
        <is>
          <t>EN Châu Âu</t>
        </is>
      </c>
      <c r="G27" s="22" t="inlineStr">
        <is>
          <t>Cửa đi</t>
        </is>
      </c>
      <c r="H27" s="22" t="inlineStr">
        <is>
          <t>Trượt lùa (Sliding Panorama)</t>
        </is>
      </c>
      <c r="I27" s="22" t="inlineStr">
        <is>
          <t>Khung cánh siêu mỏng ray inox</t>
        </is>
      </c>
      <c r="J27" s="22" t="inlineStr">
        <is>
          <t>Ngoại thất</t>
        </is>
      </c>
      <c r="K27" s="22" t="inlineStr">
        <is>
          <t>Biệt thự hướng biển, ban công panorama</t>
        </is>
      </c>
      <c r="L27" s="22" t="n">
        <v>2</v>
      </c>
      <c r="M27" s="22" t="inlineStr">
        <is>
          <t>Kính cường lực 10-15mm, kính hộp</t>
        </is>
      </c>
      <c r="N27" s="22" t="inlineStr">
        <is>
          <t>32mm</t>
        </is>
      </c>
      <c r="O27" s="22" t="inlineStr">
        <is>
          <t>6000×3000</t>
        </is>
      </c>
      <c r="P27" s="22" t="n">
        <v>150</v>
      </c>
      <c r="Q27" s="22" t="inlineStr">
        <is>
          <t>Ray inox SUS316L + Bánh xe chịu tải</t>
        </is>
      </c>
      <c r="R27" s="22" t="inlineStr">
        <is>
          <t>Gioăng EPDM kép / Dow Corning</t>
        </is>
      </c>
      <c r="S27" s="22" t="inlineStr">
        <is>
          <t>Sơn tĩnh điện hạt mịn màu xám ghi</t>
        </is>
      </c>
      <c r="T27" s="22" t="inlineStr">
        <is>
          <t>Cánh siêu mảnh tối đa hóa tầm nhìn panorama, ray inox trượt rất nhẹ</t>
        </is>
      </c>
      <c r="U27" s="22" t="inlineStr">
        <is>
          <t>Chống gió bão cấp trung bình</t>
        </is>
      </c>
      <c r="V27" s="22" t="inlineStr">
        <is>
          <t>✓</t>
        </is>
      </c>
      <c r="W27" s="22" t="inlineStr">
        <is>
          <t>✓</t>
        </is>
      </c>
      <c r="X27" s="22" t="inlineStr">
        <is>
          <t>✓</t>
        </is>
      </c>
      <c r="Y27" s="22" t="inlineStr">
        <is>
          <t>✓</t>
        </is>
      </c>
      <c r="Z27" s="22" t="inlineStr">
        <is>
          <t>Hoàn thành</t>
        </is>
      </c>
      <c r="AA27" s="23" t="n">
        <v>85</v>
      </c>
      <c r="AB27" s="22" t="inlineStr">
        <is>
          <t>https://kogen.vn</t>
        </is>
      </c>
      <c r="AC27" s="22" t="inlineStr"/>
      <c r="AD27" s="22" t="inlineStr"/>
    </row>
    <row r="28" ht="35" customHeight="1">
      <c r="A28" s="33" t="inlineStr">
        <is>
          <t>KG-003</t>
        </is>
      </c>
      <c r="B28" s="33" t="inlineStr">
        <is>
          <t>Anodized Cao cấp</t>
        </is>
      </c>
      <c r="C28" s="33" t="inlineStr">
        <is>
          <t>Kogen 60 Đa khoang</t>
        </is>
      </c>
      <c r="D28" s="33" t="inlineStr">
        <is>
          <t>Kogen</t>
        </is>
      </c>
      <c r="E28" s="33" t="inlineStr">
        <is>
          <t>Đức/Việt Nam</t>
        </is>
      </c>
      <c r="F28" s="33" t="inlineStr">
        <is>
          <t>EN</t>
        </is>
      </c>
      <c r="G28" s="33" t="inlineStr">
        <is>
          <t>Cửa đi + Cửa sổ</t>
        </is>
      </c>
      <c r="H28" s="33" t="inlineStr">
        <is>
          <t>Mở quay (Casement)</t>
        </is>
      </c>
      <c r="I28" s="33" t="inlineStr">
        <is>
          <t>Khung 60mm đa khoang rãnh C</t>
        </is>
      </c>
      <c r="J28" s="33" t="inlineStr">
        <is>
          <t>Ngoại thất</t>
        </is>
      </c>
      <c r="K28" s="33" t="inlineStr">
        <is>
          <t>Nhà phố hiện đại, biệt thự</t>
        </is>
      </c>
      <c r="L28" s="33" t="n">
        <v>1.6</v>
      </c>
      <c r="M28" s="33" t="inlineStr">
        <is>
          <t>Kính đơn/hộp 5-28mm</t>
        </is>
      </c>
      <c r="N28" s="33" t="inlineStr">
        <is>
          <t>28mm</t>
        </is>
      </c>
      <c r="O28" s="33" t="inlineStr">
        <is>
          <t>1400×2600</t>
        </is>
      </c>
      <c r="P28" s="33" t="n">
        <v>100</v>
      </c>
      <c r="Q28" s="33" t="inlineStr">
        <is>
          <t>Rãnh C Châu Âu</t>
        </is>
      </c>
      <c r="R28" s="33" t="inlineStr">
        <is>
          <t>Gioăng EPDM đa khoang / Silicon Sika</t>
        </is>
      </c>
      <c r="S28" s="33" t="inlineStr">
        <is>
          <t>Sơn tĩnh điện hạt mịn màu ghi</t>
        </is>
      </c>
      <c r="T28" s="33" t="inlineStr">
        <is>
          <t>Cấu trúc đa khoang chịu lực cực tốt, cách âm 35dB, rãnh C Châu Âu</t>
        </is>
      </c>
      <c r="U28" s="33" t="inlineStr">
        <is>
          <t>Không có cầu cách nhiệt trong hệ này</t>
        </is>
      </c>
      <c r="V28" s="33" t="inlineStr">
        <is>
          <t>✓</t>
        </is>
      </c>
      <c r="W28" s="33" t="inlineStr">
        <is>
          <t>✓</t>
        </is>
      </c>
      <c r="X28" s="33" t="inlineStr">
        <is>
          <t>✓</t>
        </is>
      </c>
      <c r="Y28" s="33" t="inlineStr">
        <is>
          <t>✓</t>
        </is>
      </c>
      <c r="Z28" s="33" t="inlineStr">
        <is>
          <t>Hoàn thành</t>
        </is>
      </c>
      <c r="AA28" s="34" t="n">
        <v>80</v>
      </c>
      <c r="AB28" s="33" t="inlineStr">
        <is>
          <t>https://kogen.vn</t>
        </is>
      </c>
      <c r="AC28" s="33" t="inlineStr"/>
      <c r="AD28" s="33" t="inlineStr"/>
    </row>
    <row r="29" ht="35" customHeight="1">
      <c r="A29" s="35" t="inlineStr">
        <is>
          <t>VR-001</t>
        </is>
      </c>
      <c r="B29" s="35" t="inlineStr">
        <is>
          <t>Anodized Phổ thông</t>
        </is>
      </c>
      <c r="C29" s="35" t="inlineStr">
        <is>
          <t>VRA55</t>
        </is>
      </c>
      <c r="D29" s="35" t="inlineStr">
        <is>
          <t>Viralwindow</t>
        </is>
      </c>
      <c r="E29" s="35" t="inlineStr">
        <is>
          <t>Việt Nam</t>
        </is>
      </c>
      <c r="F29" s="35" t="inlineStr">
        <is>
          <t>TCVN 5826</t>
        </is>
      </c>
      <c r="G29" s="35" t="inlineStr">
        <is>
          <t>Cửa đi + Cửa sổ</t>
        </is>
      </c>
      <c r="H29" s="35" t="inlineStr">
        <is>
          <t>Mở quay (Casement)</t>
        </is>
      </c>
      <c r="I29" s="35" t="inlineStr">
        <is>
          <t>Khung 55mm + Cánh</t>
        </is>
      </c>
      <c r="J29" s="35" t="inlineStr">
        <is>
          <t>Nội/Ngoại thất</t>
        </is>
      </c>
      <c r="K29" s="35" t="inlineStr">
        <is>
          <t>Nhà phố, chung cư phổ thông</t>
        </is>
      </c>
      <c r="L29" s="35" t="n">
        <v>1.4</v>
      </c>
      <c r="M29" s="35" t="inlineStr">
        <is>
          <t>5-12mm</t>
        </is>
      </c>
      <c r="N29" s="35" t="inlineStr">
        <is>
          <t>12mm</t>
        </is>
      </c>
      <c r="O29" s="35" t="inlineStr">
        <is>
          <t>1200×2400</t>
        </is>
      </c>
      <c r="P29" s="35" t="n">
        <v>80</v>
      </c>
      <c r="Q29" s="35" t="inlineStr">
        <is>
          <t>Rãnh 22mm</t>
        </is>
      </c>
      <c r="R29" s="35" t="inlineStr">
        <is>
          <t>Gioăng EPDM đơn / Keo PU + Silicon</t>
        </is>
      </c>
      <c r="S29" s="35" t="inlineStr">
        <is>
          <t>Sơn KCC 20 năm – đa màu</t>
        </is>
      </c>
      <c r="T29" s="35" t="inlineStr">
        <is>
          <t>Giá cạnh tranh, đa dạng màu sắc, phổ biến miền Nam</t>
        </is>
      </c>
      <c r="U29" s="35" t="inlineStr">
        <is>
          <t>Profile mỏng, không phù hợp cửa rộng lớn</t>
        </is>
      </c>
      <c r="V29" s="35" t="inlineStr">
        <is>
          <t>✓</t>
        </is>
      </c>
      <c r="W29" s="35" t="inlineStr">
        <is>
          <t>✓</t>
        </is>
      </c>
      <c r="X29" s="35" t="inlineStr">
        <is>
          <t>✓</t>
        </is>
      </c>
      <c r="Y29" s="35" t="inlineStr">
        <is>
          <t>✓</t>
        </is>
      </c>
      <c r="Z29" s="35" t="inlineStr">
        <is>
          <t>Hoàn thành</t>
        </is>
      </c>
      <c r="AA29" s="36" t="n">
        <v>90</v>
      </c>
      <c r="AB29" s="35" t="inlineStr">
        <is>
          <t>https://viralwindow.com</t>
        </is>
      </c>
      <c r="AC29" s="35" t="inlineStr"/>
      <c r="AD29" s="35" t="inlineStr"/>
    </row>
    <row r="30" ht="35" customHeight="1">
      <c r="A30" s="37" t="inlineStr">
        <is>
          <t>VR-002</t>
        </is>
      </c>
      <c r="B30" s="37" t="inlineStr">
        <is>
          <t>Anodized Trung cấp</t>
        </is>
      </c>
      <c r="C30" s="37" t="inlineStr">
        <is>
          <t>VRA64</t>
        </is>
      </c>
      <c r="D30" s="37" t="inlineStr">
        <is>
          <t>Viralwindow</t>
        </is>
      </c>
      <c r="E30" s="37" t="inlineStr">
        <is>
          <t>Việt Nam</t>
        </is>
      </c>
      <c r="F30" s="37" t="inlineStr">
        <is>
          <t>TCVN 5826</t>
        </is>
      </c>
      <c r="G30" s="37" t="inlineStr">
        <is>
          <t>Cửa sổ</t>
        </is>
      </c>
      <c r="H30" s="37" t="inlineStr">
        <is>
          <t>Trượt lùa (Sliding)</t>
        </is>
      </c>
      <c r="I30" s="37" t="inlineStr">
        <is>
          <t>Khung 66×42mm + Cánh 70×28mm</t>
        </is>
      </c>
      <c r="J30" s="37" t="inlineStr">
        <is>
          <t>Ngoại thất</t>
        </is>
      </c>
      <c r="K30" s="37" t="inlineStr">
        <is>
          <t>Nhà phố, chung cư</t>
        </is>
      </c>
      <c r="L30" s="37" t="n">
        <v>1.3</v>
      </c>
      <c r="M30" s="37" t="inlineStr">
        <is>
          <t>5-10mm</t>
        </is>
      </c>
      <c r="N30" s="37" t="inlineStr">
        <is>
          <t>10mm</t>
        </is>
      </c>
      <c r="O30" s="37" t="inlineStr">
        <is>
          <t>2400×1800</t>
        </is>
      </c>
      <c r="P30" s="37" t="n">
        <v>80</v>
      </c>
      <c r="Q30" s="37" t="inlineStr">
        <is>
          <t>Rãnh 22mm</t>
        </is>
      </c>
      <c r="R30" s="37" t="inlineStr">
        <is>
          <t>Gioăng EPDM / Silicon</t>
        </is>
      </c>
      <c r="S30" s="37" t="inlineStr">
        <is>
          <t>Sơn tĩnh điện đa màu</t>
        </is>
      </c>
      <c r="T30" s="37" t="inlineStr">
        <is>
          <t>Trượt nhẹ, giá tốt</t>
        </is>
      </c>
      <c r="U30" s="37" t="inlineStr">
        <is>
          <t>Kín khít trung bình</t>
        </is>
      </c>
      <c r="V30" s="37" t="inlineStr">
        <is>
          <t>✓</t>
        </is>
      </c>
      <c r="W30" s="37" t="inlineStr">
        <is>
          <t>✗</t>
        </is>
      </c>
      <c r="X30" s="37" t="inlineStr">
        <is>
          <t>✓</t>
        </is>
      </c>
      <c r="Y30" s="37" t="inlineStr">
        <is>
          <t>✓</t>
        </is>
      </c>
      <c r="Z30" s="37" t="inlineStr">
        <is>
          <t>Hoàn thành</t>
        </is>
      </c>
      <c r="AA30" s="38" t="n">
        <v>80</v>
      </c>
      <c r="AB30" s="37" t="inlineStr">
        <is>
          <t>https://viralwindow.com</t>
        </is>
      </c>
      <c r="AC30" s="37" t="inlineStr"/>
      <c r="AD30" s="37" t="inlineStr"/>
    </row>
    <row r="31" ht="35" customHeight="1">
      <c r="A31" s="37" t="inlineStr">
        <is>
          <t>VR-003</t>
        </is>
      </c>
      <c r="B31" s="37" t="inlineStr">
        <is>
          <t>Anodized Trung cấp</t>
        </is>
      </c>
      <c r="C31" s="37" t="inlineStr">
        <is>
          <t>VRA94</t>
        </is>
      </c>
      <c r="D31" s="37" t="inlineStr">
        <is>
          <t>Viralwindow</t>
        </is>
      </c>
      <c r="E31" s="37" t="inlineStr">
        <is>
          <t>Việt Nam</t>
        </is>
      </c>
      <c r="F31" s="37" t="inlineStr">
        <is>
          <t>TCVN 5826</t>
        </is>
      </c>
      <c r="G31" s="37" t="inlineStr">
        <is>
          <t>Cửa đi</t>
        </is>
      </c>
      <c r="H31" s="37" t="inlineStr">
        <is>
          <t>Trượt lùa (Sliding)</t>
        </is>
      </c>
      <c r="I31" s="37" t="inlineStr">
        <is>
          <t>Khung 94×44mm + Cánh 80×34mm</t>
        </is>
      </c>
      <c r="J31" s="37" t="inlineStr">
        <is>
          <t>Ngoại thất</t>
        </is>
      </c>
      <c r="K31" s="37" t="inlineStr">
        <is>
          <t>Nhà phố, biệt thự</t>
        </is>
      </c>
      <c r="L31" s="37" t="n">
        <v>1.4</v>
      </c>
      <c r="M31" s="37" t="inlineStr">
        <is>
          <t>6.38-30mm</t>
        </is>
      </c>
      <c r="N31" s="37" t="inlineStr">
        <is>
          <t>30mm</t>
        </is>
      </c>
      <c r="O31" s="37" t="inlineStr">
        <is>
          <t>4000×2600</t>
        </is>
      </c>
      <c r="P31" s="37" t="n">
        <v>150</v>
      </c>
      <c r="Q31" s="37" t="inlineStr">
        <is>
          <t>Rãnh C (Euro Groove)</t>
        </is>
      </c>
      <c r="R31" s="37" t="inlineStr">
        <is>
          <t>Gioăng EPDM kép / Silicon Dow Corning</t>
        </is>
      </c>
      <c r="S31" s="37" t="inlineStr">
        <is>
          <t>Sơn KCC, anodized</t>
        </is>
      </c>
      <c r="T31" s="37" t="inlineStr">
        <is>
          <t>Phù hợp cửa lùa rộng, cánh chứa kính hộp</t>
        </is>
      </c>
      <c r="U31" s="37" t="inlineStr">
        <is>
          <t>Cần bảo trì bánh xe</t>
        </is>
      </c>
      <c r="V31" s="37" t="inlineStr">
        <is>
          <t>✓</t>
        </is>
      </c>
      <c r="W31" s="37" t="inlineStr">
        <is>
          <t>✓</t>
        </is>
      </c>
      <c r="X31" s="37" t="inlineStr">
        <is>
          <t>✓</t>
        </is>
      </c>
      <c r="Y31" s="37" t="inlineStr">
        <is>
          <t>✓</t>
        </is>
      </c>
      <c r="Z31" s="37" t="inlineStr">
        <is>
          <t>Hoàn thành</t>
        </is>
      </c>
      <c r="AA31" s="38" t="n">
        <v>85</v>
      </c>
      <c r="AB31" s="37" t="inlineStr">
        <is>
          <t>https://viralwindow.com</t>
        </is>
      </c>
      <c r="AC31" s="37" t="inlineStr"/>
      <c r="AD31" s="37" t="inlineStr"/>
    </row>
    <row r="32" ht="35" customHeight="1">
      <c r="A32" s="33" t="inlineStr">
        <is>
          <t>VR-004</t>
        </is>
      </c>
      <c r="B32" s="33" t="inlineStr">
        <is>
          <t>Anodized Cao cấp</t>
        </is>
      </c>
      <c r="C32" s="33" t="inlineStr">
        <is>
          <t>VRE65 (Cửa sổ)</t>
        </is>
      </c>
      <c r="D32" s="33" t="inlineStr">
        <is>
          <t>Viralwindow</t>
        </is>
      </c>
      <c r="E32" s="33" t="inlineStr">
        <is>
          <t>Việt Nam</t>
        </is>
      </c>
      <c r="F32" s="33" t="inlineStr">
        <is>
          <t>TCVN</t>
        </is>
      </c>
      <c r="G32" s="33" t="inlineStr">
        <is>
          <t>Cửa sổ</t>
        </is>
      </c>
      <c r="H32" s="33" t="inlineStr">
        <is>
          <t>Mở quay + Mở hất (Casement/Tilt-Turn)</t>
        </is>
      </c>
      <c r="I32" s="33" t="inlineStr">
        <is>
          <t>Khung 65×62mm + Cánh 90×75mm</t>
        </is>
      </c>
      <c r="J32" s="33" t="inlineStr">
        <is>
          <t>Ngoại thất</t>
        </is>
      </c>
      <c r="K32" s="33" t="inlineStr">
        <is>
          <t>Biệt thự, nhà phố cao cấp</t>
        </is>
      </c>
      <c r="L32" s="33" t="n">
        <v>1.8</v>
      </c>
      <c r="M32" s="33" t="inlineStr">
        <is>
          <t>6.38-37mm</t>
        </is>
      </c>
      <c r="N32" s="33" t="inlineStr">
        <is>
          <t>37mm</t>
        </is>
      </c>
      <c r="O32" s="33" t="inlineStr">
        <is>
          <t>1600×2800</t>
        </is>
      </c>
      <c r="P32" s="33" t="n">
        <v>150</v>
      </c>
      <c r="Q32" s="33" t="inlineStr">
        <is>
          <t>Rãnh C Châu Âu</t>
        </is>
      </c>
      <c r="R32" s="33" t="inlineStr">
        <is>
          <t>Gioăng EPDM đa khoang / Dow Corning</t>
        </is>
      </c>
      <c r="S32" s="33" t="inlineStr">
        <is>
          <t>Anodized ED, sơn AkzoNobel</t>
        </is>
      </c>
      <c r="T32" s="33" t="inlineStr">
        <is>
          <t>Hệ Châu Âu chất lượng cao, phụ kiện CMECH nguyên bộ</t>
        </is>
      </c>
      <c r="U32" s="33" t="inlineStr">
        <is>
          <t>Giá cao hơn VRA</t>
        </is>
      </c>
      <c r="V32" s="33" t="inlineStr">
        <is>
          <t>✓</t>
        </is>
      </c>
      <c r="W32" s="33" t="inlineStr">
        <is>
          <t>✓</t>
        </is>
      </c>
      <c r="X32" s="33" t="inlineStr">
        <is>
          <t>✓</t>
        </is>
      </c>
      <c r="Y32" s="33" t="inlineStr">
        <is>
          <t>✓</t>
        </is>
      </c>
      <c r="Z32" s="33" t="inlineStr">
        <is>
          <t>Hoàn thành</t>
        </is>
      </c>
      <c r="AA32" s="34" t="n">
        <v>90</v>
      </c>
      <c r="AB32" s="33" t="inlineStr">
        <is>
          <t>https://viralwindow.com</t>
        </is>
      </c>
      <c r="AC32" s="33" t="inlineStr"/>
      <c r="AD32" s="33" t="inlineStr"/>
    </row>
    <row r="33" ht="35" customHeight="1">
      <c r="A33" s="33" t="inlineStr">
        <is>
          <t>VR-005</t>
        </is>
      </c>
      <c r="B33" s="33" t="inlineStr">
        <is>
          <t>Anodized Cao cấp</t>
        </is>
      </c>
      <c r="C33" s="33" t="inlineStr">
        <is>
          <t>VRE65 (Cửa đi)</t>
        </is>
      </c>
      <c r="D33" s="33" t="inlineStr">
        <is>
          <t>Viralwindow</t>
        </is>
      </c>
      <c r="E33" s="33" t="inlineStr">
        <is>
          <t>Việt Nam</t>
        </is>
      </c>
      <c r="F33" s="33" t="inlineStr">
        <is>
          <t>TCVN</t>
        </is>
      </c>
      <c r="G33" s="33" t="inlineStr">
        <is>
          <t>Cửa đi</t>
        </is>
      </c>
      <c r="H33" s="33" t="inlineStr">
        <is>
          <t>Mở quay (Casement)</t>
        </is>
      </c>
      <c r="I33" s="33" t="inlineStr">
        <is>
          <t>Khung 65×70mm + Cánh 97×75mm</t>
        </is>
      </c>
      <c r="J33" s="33" t="inlineStr">
        <is>
          <t>Ngoại thất</t>
        </is>
      </c>
      <c r="K33" s="33" t="inlineStr">
        <is>
          <t>Biệt thự, nhà phố cao cấp</t>
        </is>
      </c>
      <c r="L33" s="33" t="n">
        <v>1.8</v>
      </c>
      <c r="M33" s="33" t="inlineStr">
        <is>
          <t>6.38-37mm</t>
        </is>
      </c>
      <c r="N33" s="33" t="inlineStr">
        <is>
          <t>37mm</t>
        </is>
      </c>
      <c r="O33" s="33" t="inlineStr">
        <is>
          <t>1400×2800</t>
        </is>
      </c>
      <c r="P33" s="33" t="n">
        <v>180</v>
      </c>
      <c r="Q33" s="33" t="inlineStr">
        <is>
          <t>Rãnh C Châu Âu</t>
        </is>
      </c>
      <c r="R33" s="33" t="inlineStr">
        <is>
          <t>Gioăng EPDM đa khoang / Dow Corning</t>
        </is>
      </c>
      <c r="S33" s="33" t="inlineStr">
        <is>
          <t>Anodized ED, PVDF</t>
        </is>
      </c>
      <c r="T33" s="33" t="inlineStr">
        <is>
          <t>Cứng vững, chứa kính hộp lớn, profile thanh lịch</t>
        </is>
      </c>
      <c r="U33" s="33" t="inlineStr">
        <is>
          <t>Giá trung-cao</t>
        </is>
      </c>
      <c r="V33" s="33" t="inlineStr">
        <is>
          <t>✓</t>
        </is>
      </c>
      <c r="W33" s="33" t="inlineStr">
        <is>
          <t>✓</t>
        </is>
      </c>
      <c r="X33" s="33" t="inlineStr">
        <is>
          <t>✓</t>
        </is>
      </c>
      <c r="Y33" s="33" t="inlineStr">
        <is>
          <t>✓</t>
        </is>
      </c>
      <c r="Z33" s="33" t="inlineStr">
        <is>
          <t>Hoàn thành</t>
        </is>
      </c>
      <c r="AA33" s="34" t="n">
        <v>90</v>
      </c>
      <c r="AB33" s="33" t="inlineStr">
        <is>
          <t>https://viralwindow.com</t>
        </is>
      </c>
      <c r="AC33" s="33" t="inlineStr"/>
      <c r="AD33" s="33" t="inlineStr"/>
    </row>
    <row r="34" ht="35" customHeight="1">
      <c r="A34" s="33" t="inlineStr">
        <is>
          <t>VR-006</t>
        </is>
      </c>
      <c r="B34" s="33" t="inlineStr">
        <is>
          <t>Anodized Cao cấp</t>
        </is>
      </c>
      <c r="C34" s="33" t="inlineStr">
        <is>
          <t>VRE120</t>
        </is>
      </c>
      <c r="D34" s="33" t="inlineStr">
        <is>
          <t>Viralwindow</t>
        </is>
      </c>
      <c r="E34" s="33" t="inlineStr">
        <is>
          <t>Việt Nam</t>
        </is>
      </c>
      <c r="F34" s="33" t="inlineStr">
        <is>
          <t>TCVN</t>
        </is>
      </c>
      <c r="G34" s="33" t="inlineStr">
        <is>
          <t>Cửa đi</t>
        </is>
      </c>
      <c r="H34" s="33" t="inlineStr">
        <is>
          <t>Trượt lùa 2 ray (Sliding)</t>
        </is>
      </c>
      <c r="I34" s="33" t="inlineStr">
        <is>
          <t>Khung 120×38mm + Cánh 47×95mm</t>
        </is>
      </c>
      <c r="J34" s="33" t="inlineStr">
        <is>
          <t>Ngoại thất</t>
        </is>
      </c>
      <c r="K34" s="33" t="inlineStr">
        <is>
          <t>Biệt thự, ban công rộng</t>
        </is>
      </c>
      <c r="L34" s="33" t="n">
        <v>2</v>
      </c>
      <c r="M34" s="33" t="inlineStr">
        <is>
          <t>6.38-34mm</t>
        </is>
      </c>
      <c r="N34" s="33" t="inlineStr">
        <is>
          <t>34mm</t>
        </is>
      </c>
      <c r="O34" s="33" t="inlineStr">
        <is>
          <t>5000×2600</t>
        </is>
      </c>
      <c r="P34" s="33" t="n">
        <v>200</v>
      </c>
      <c r="Q34" s="33" t="inlineStr">
        <is>
          <t>Rãnh C Châu Âu</t>
        </is>
      </c>
      <c r="R34" s="33" t="inlineStr">
        <is>
          <t>Gioăng EPDM kép / Silicon Dow Corning</t>
        </is>
      </c>
      <c r="S34" s="33" t="inlineStr">
        <is>
          <t>Anodized ED chống muối biển</t>
        </is>
      </c>
      <c r="T34" s="33" t="inlineStr">
        <is>
          <t>Trượt lùa 2 ray, cánh rộng, kính hộp lớn, bền bỉ biển</t>
        </is>
      </c>
      <c r="U34" s="33" t="inlineStr">
        <is>
          <t>Nặng, cần ray thẳng tuyệt đối</t>
        </is>
      </c>
      <c r="V34" s="33" t="inlineStr">
        <is>
          <t>✓</t>
        </is>
      </c>
      <c r="W34" s="33" t="inlineStr">
        <is>
          <t>✓</t>
        </is>
      </c>
      <c r="X34" s="33" t="inlineStr">
        <is>
          <t>✓</t>
        </is>
      </c>
      <c r="Y34" s="33" t="inlineStr">
        <is>
          <t>✓</t>
        </is>
      </c>
      <c r="Z34" s="33" t="inlineStr">
        <is>
          <t>Hoàn thành</t>
        </is>
      </c>
      <c r="AA34" s="34" t="n">
        <v>85</v>
      </c>
      <c r="AB34" s="33" t="inlineStr">
        <is>
          <t>https://viralwindow.com</t>
        </is>
      </c>
      <c r="AC34" s="33" t="inlineStr"/>
      <c r="AD34" s="33" t="inlineStr"/>
    </row>
    <row r="35" ht="35" customHeight="1">
      <c r="A35" s="33" t="inlineStr">
        <is>
          <t>VR-007</t>
        </is>
      </c>
      <c r="B35" s="33" t="inlineStr">
        <is>
          <t>Anodized Cao cấp</t>
        </is>
      </c>
      <c r="C35" s="33" t="inlineStr">
        <is>
          <t>VRE180</t>
        </is>
      </c>
      <c r="D35" s="33" t="inlineStr">
        <is>
          <t>Viralwindow</t>
        </is>
      </c>
      <c r="E35" s="33" t="inlineStr">
        <is>
          <t>Việt Nam</t>
        </is>
      </c>
      <c r="F35" s="33" t="inlineStr">
        <is>
          <t>TCVN</t>
        </is>
      </c>
      <c r="G35" s="33" t="inlineStr">
        <is>
          <t>Cửa đi</t>
        </is>
      </c>
      <c r="H35" s="33" t="inlineStr">
        <is>
          <t>Trượt lùa 3 ray (Sliding)</t>
        </is>
      </c>
      <c r="I35" s="33" t="inlineStr">
        <is>
          <t>Khung 180mm + Cánh 3 ray</t>
        </is>
      </c>
      <c r="J35" s="33" t="inlineStr">
        <is>
          <t>Ngoại thất</t>
        </is>
      </c>
      <c r="K35" s="33" t="inlineStr">
        <is>
          <t>Biệt thự, resort cao cấp</t>
        </is>
      </c>
      <c r="L35" s="33" t="n">
        <v>2</v>
      </c>
      <c r="M35" s="33" t="inlineStr">
        <is>
          <t>Kính hộp đến 36mm</t>
        </is>
      </c>
      <c r="N35" s="33" t="inlineStr">
        <is>
          <t>36mm</t>
        </is>
      </c>
      <c r="O35" s="33" t="inlineStr">
        <is>
          <t>7000×2800</t>
        </is>
      </c>
      <c r="P35" s="33" t="n">
        <v>250</v>
      </c>
      <c r="Q35" s="33" t="inlineStr">
        <is>
          <t>Rãnh C Châu Âu</t>
        </is>
      </c>
      <c r="R35" s="33" t="inlineStr">
        <is>
          <t>Gioăng EPDM 3 lớp / Silicon</t>
        </is>
      </c>
      <c r="S35" s="33" t="inlineStr">
        <is>
          <t>Anodized ED</t>
        </is>
      </c>
      <c r="T35" s="33" t="inlineStr">
        <is>
          <t>Mở 3 cánh song song, không gian rộng tối đa</t>
        </is>
      </c>
      <c r="U35" s="33" t="inlineStr">
        <is>
          <t>Chi phí lắp đặt cao</t>
        </is>
      </c>
      <c r="V35" s="33" t="inlineStr">
        <is>
          <t>✓</t>
        </is>
      </c>
      <c r="W35" s="33" t="inlineStr">
        <is>
          <t>✓</t>
        </is>
      </c>
      <c r="X35" s="33" t="inlineStr">
        <is>
          <t>✓</t>
        </is>
      </c>
      <c r="Y35" s="33" t="inlineStr">
        <is>
          <t>✓</t>
        </is>
      </c>
      <c r="Z35" s="33" t="inlineStr">
        <is>
          <t>Hoàn thành</t>
        </is>
      </c>
      <c r="AA35" s="34" t="n">
        <v>80</v>
      </c>
      <c r="AB35" s="33" t="inlineStr">
        <is>
          <t>https://viralwindow.com</t>
        </is>
      </c>
      <c r="AC35" s="33" t="inlineStr"/>
      <c r="AD35" s="33" t="inlineStr"/>
    </row>
    <row r="36" ht="35" customHeight="1">
      <c r="A36" s="39" t="inlineStr">
        <is>
          <t>VR-008</t>
        </is>
      </c>
      <c r="B36" s="39" t="inlineStr">
        <is>
          <t>Thủy lực Siêu cao cấp</t>
        </is>
      </c>
      <c r="C36" s="39" t="inlineStr">
        <is>
          <t>VRE Thủy lực</t>
        </is>
      </c>
      <c r="D36" s="39" t="inlineStr">
        <is>
          <t>Viralwindow</t>
        </is>
      </c>
      <c r="E36" s="39" t="inlineStr">
        <is>
          <t>Việt Nam</t>
        </is>
      </c>
      <c r="F36" s="39" t="inlineStr">
        <is>
          <t>TCVN</t>
        </is>
      </c>
      <c r="G36" s="39" t="inlineStr">
        <is>
          <t>Cửa đi</t>
        </is>
      </c>
      <c r="H36" s="39" t="inlineStr">
        <is>
          <t>Thủy lực (Hydraulic / Zero Gravity)</t>
        </is>
      </c>
      <c r="I36" s="39" t="inlineStr">
        <is>
          <t>Khung siêu nặng + Piston thủy lực</t>
        </is>
      </c>
      <c r="J36" s="39" t="inlineStr">
        <is>
          <t>Ngoại thất</t>
        </is>
      </c>
      <c r="K36" s="39" t="inlineStr">
        <is>
          <t>Biệt thự siêu sang, villa resort</t>
        </is>
      </c>
      <c r="L36" s="39" t="n">
        <v>2</v>
      </c>
      <c r="M36" s="39" t="inlineStr">
        <is>
          <t>Kính hộp 36-50mm / Kính cường lực 15-19mm</t>
        </is>
      </c>
      <c r="N36" s="39" t="inlineStr">
        <is>
          <t>19mm</t>
        </is>
      </c>
      <c r="O36" s="39" t="inlineStr">
        <is>
          <t>3500×3500</t>
        </is>
      </c>
      <c r="P36" s="39" t="n">
        <v>800</v>
      </c>
      <c r="Q36" s="39" t="inlineStr">
        <is>
          <t>Thủy lực Biloba/DICTATOR</t>
        </is>
      </c>
      <c r="R36" s="39" t="inlineStr">
        <is>
          <t>Keo SG + EPDM giả thép</t>
        </is>
      </c>
      <c r="S36" s="39" t="inlineStr">
        <is>
          <t>Anodized ED vàng 24K, đồng đỏ</t>
        </is>
      </c>
      <c r="T36" s="39" t="inlineStr">
        <is>
          <t>Cửa siêu rộng, đóng mở bằng một ngón tay nhờ piston thủy lực</t>
        </is>
      </c>
      <c r="U36" s="39" t="inlineStr">
        <is>
          <t>Giá 300tr-1 tỷ/bộ, thi công phức tạp</t>
        </is>
      </c>
      <c r="V36" s="39" t="inlineStr">
        <is>
          <t>✓</t>
        </is>
      </c>
      <c r="W36" s="39" t="inlineStr">
        <is>
          <t>✓</t>
        </is>
      </c>
      <c r="X36" s="39" t="inlineStr">
        <is>
          <t>✓</t>
        </is>
      </c>
      <c r="Y36" s="39" t="inlineStr">
        <is>
          <t>✓</t>
        </is>
      </c>
      <c r="Z36" s="39" t="inlineStr">
        <is>
          <t>Hoàn thành</t>
        </is>
      </c>
      <c r="AA36" s="40" t="n">
        <v>85</v>
      </c>
      <c r="AB36" s="39" t="inlineStr">
        <is>
          <t>https://viralwindow.com</t>
        </is>
      </c>
      <c r="AC36" s="39" t="inlineStr"/>
      <c r="AD36" s="39" t="inlineStr"/>
    </row>
    <row r="37" ht="35" customHeight="1">
      <c r="A37" s="20" t="inlineStr">
        <is>
          <t>VR-009</t>
        </is>
      </c>
      <c r="B37" s="20" t="inlineStr">
        <is>
          <t>Lift &amp; Slide Cao cấp</t>
        </is>
      </c>
      <c r="C37" s="20" t="inlineStr">
        <is>
          <t>VRE Lift Slide</t>
        </is>
      </c>
      <c r="D37" s="20" t="inlineStr">
        <is>
          <t>Viralwindow</t>
        </is>
      </c>
      <c r="E37" s="20" t="inlineStr">
        <is>
          <t>Việt Nam</t>
        </is>
      </c>
      <c r="F37" s="20" t="inlineStr">
        <is>
          <t>TCVN</t>
        </is>
      </c>
      <c r="G37" s="20" t="inlineStr">
        <is>
          <t>Cửa đi</t>
        </is>
      </c>
      <c r="H37" s="20" t="inlineStr">
        <is>
          <t>Trượt nâng (Lift &amp; Slide)</t>
        </is>
      </c>
      <c r="I37" s="20" t="inlineStr">
        <is>
          <t>Khung + Cánh + Ray đặc biệt</t>
        </is>
      </c>
      <c r="J37" s="20" t="inlineStr">
        <is>
          <t>Ngoại thất</t>
        </is>
      </c>
      <c r="K37" s="20" t="inlineStr">
        <is>
          <t>Biệt thự, lối ra sân vườn</t>
        </is>
      </c>
      <c r="L37" s="20" t="n">
        <v>2</v>
      </c>
      <c r="M37" s="20" t="inlineStr">
        <is>
          <t>Kính hộp 24-48mm</t>
        </is>
      </c>
      <c r="N37" s="20" t="inlineStr">
        <is>
          <t>19mm</t>
        </is>
      </c>
      <c r="O37" s="20" t="inlineStr">
        <is>
          <t>6000×2800</t>
        </is>
      </c>
      <c r="P37" s="20" t="n">
        <v>400</v>
      </c>
      <c r="Q37" s="20" t="inlineStr">
        <is>
          <t>Roto NT / Siegenia LSS</t>
        </is>
      </c>
      <c r="R37" s="20" t="inlineStr">
        <is>
          <t>Gioăng EPDM đa khoang / Dow Corning</t>
        </is>
      </c>
      <c r="S37" s="20" t="inlineStr">
        <is>
          <t>Anodized, sơn tĩnh điện</t>
        </is>
      </c>
      <c r="T37" s="20" t="inlineStr">
        <is>
          <t>Kín hoàn toàn khi đóng, mở nhẹ dù cánh cực nặng</t>
        </is>
      </c>
      <c r="U37" s="20" t="inlineStr">
        <is>
          <t>Giá cao, ray thẳng tuyệt đối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  <c r="Y37" s="20" t="inlineStr">
        <is>
          <t>✓</t>
        </is>
      </c>
      <c r="Z37" s="20" t="inlineStr">
        <is>
          <t>Hoàn thành</t>
        </is>
      </c>
      <c r="AA37" s="21" t="n">
        <v>80</v>
      </c>
      <c r="AB37" s="20" t="inlineStr">
        <is>
          <t>https://viralwindow.com</t>
        </is>
      </c>
      <c r="AC37" s="20" t="inlineStr"/>
      <c r="AD37" s="20" t="inlineStr"/>
    </row>
    <row r="38" ht="35" customHeight="1">
      <c r="A38" s="31" t="inlineStr">
        <is>
          <t>VR-010</t>
        </is>
      </c>
      <c r="B38" s="31" t="inlineStr">
        <is>
          <t>Xếp trượt Cao cấp</t>
        </is>
      </c>
      <c r="C38" s="31" t="inlineStr">
        <is>
          <t>VRE Bi-fold</t>
        </is>
      </c>
      <c r="D38" s="31" t="inlineStr">
        <is>
          <t>Viralwindow</t>
        </is>
      </c>
      <c r="E38" s="31" t="inlineStr">
        <is>
          <t>Việt Nam</t>
        </is>
      </c>
      <c r="F38" s="31" t="inlineStr">
        <is>
          <t>TCVN</t>
        </is>
      </c>
      <c r="G38" s="31" t="inlineStr">
        <is>
          <t>Cửa đi</t>
        </is>
      </c>
      <c r="H38" s="31" t="inlineStr">
        <is>
          <t>Xếp trượt (Bi-fold Folding)</t>
        </is>
      </c>
      <c r="I38" s="31" t="inlineStr">
        <is>
          <t>Cánh xếp gấp + Bản lề xếp + Ray trên</t>
        </is>
      </c>
      <c r="J38" s="31" t="inlineStr">
        <is>
          <t>Ngoại thất</t>
        </is>
      </c>
      <c r="K38" s="31" t="inlineStr">
        <is>
          <t>Biệt thự, nhà hàng, lối ra sân</t>
        </is>
      </c>
      <c r="L38" s="31" t="n">
        <v>1.8</v>
      </c>
      <c r="M38" s="31" t="inlineStr">
        <is>
          <t>Kính cường lực 8-12mm</t>
        </is>
      </c>
      <c r="N38" s="31" t="inlineStr">
        <is>
          <t>12mm</t>
        </is>
      </c>
      <c r="O38" s="31" t="inlineStr">
        <is>
          <t>5000×2600</t>
        </is>
      </c>
      <c r="P38" s="31" t="n">
        <v>40</v>
      </c>
      <c r="Q38" s="31" t="inlineStr">
        <is>
          <t>Roto Fold / Hopo Bi-fold</t>
        </is>
      </c>
      <c r="R38" s="31" t="inlineStr">
        <is>
          <t>Gioăng EPDM / Silicon</t>
        </is>
      </c>
      <c r="S38" s="31" t="inlineStr">
        <is>
          <t>Sơn tĩnh điện, anodized</t>
        </is>
      </c>
      <c r="T38" s="31" t="inlineStr">
        <is>
          <t>Mở toàn bộ không gian, xếp gọn về một phía</t>
        </is>
      </c>
      <c r="U38" s="31" t="inlineStr">
        <is>
          <t>Kín khít kém nhất, cần bảo trì</t>
        </is>
      </c>
      <c r="V38" s="31" t="inlineStr">
        <is>
          <t>✓</t>
        </is>
      </c>
      <c r="W38" s="31" t="inlineStr">
        <is>
          <t>✗</t>
        </is>
      </c>
      <c r="X38" s="31" t="inlineStr">
        <is>
          <t>✓</t>
        </is>
      </c>
      <c r="Y38" s="31" t="inlineStr">
        <is>
          <t>✓</t>
        </is>
      </c>
      <c r="Z38" s="31" t="inlineStr">
        <is>
          <t>Đang nghiên cứu</t>
        </is>
      </c>
      <c r="AA38" s="41" t="n">
        <v>60</v>
      </c>
      <c r="AB38" s="31" t="inlineStr">
        <is>
          <t>https://viralwindow.com</t>
        </is>
      </c>
      <c r="AC38" s="31" t="inlineStr"/>
      <c r="AD38" s="31" t="inlineStr"/>
    </row>
    <row r="39" ht="35" customHeight="1">
      <c r="A39" s="37" t="inlineStr">
        <is>
          <t>CV-001</t>
        </is>
      </c>
      <c r="B39" s="37" t="inlineStr">
        <is>
          <t>Anodized Trung cấp</t>
        </is>
      </c>
      <c r="C39" s="37" t="inlineStr">
        <is>
          <t>AW55 IN/OU</t>
        </is>
      </c>
      <c r="D39" s="37" t="inlineStr">
        <is>
          <t>Civro</t>
        </is>
      </c>
      <c r="E39" s="37" t="inlineStr">
        <is>
          <t>Việt Nam</t>
        </is>
      </c>
      <c r="F39" s="37" t="inlineStr">
        <is>
          <t>EN 12207/12210</t>
        </is>
      </c>
      <c r="G39" s="37" t="inlineStr">
        <is>
          <t>Cửa sổ</t>
        </is>
      </c>
      <c r="H39" s="37" t="inlineStr">
        <is>
          <t>Mở quay vào/ra (Casement IN/OUT)</t>
        </is>
      </c>
      <c r="I39" s="37" t="inlineStr">
        <is>
          <t>Khung 55mm cầu PA66</t>
        </is>
      </c>
      <c r="J39" s="37" t="inlineStr">
        <is>
          <t>Ngoại thất</t>
        </is>
      </c>
      <c r="K39" s="37" t="inlineStr">
        <is>
          <t>Nhà phố, chung cư trung cấp</t>
        </is>
      </c>
      <c r="L39" s="37" t="n">
        <v>1.5</v>
      </c>
      <c r="M39" s="37" t="inlineStr">
        <is>
          <t>5-10mm</t>
        </is>
      </c>
      <c r="N39" s="37" t="inlineStr">
        <is>
          <t>10mm</t>
        </is>
      </c>
      <c r="O39" s="37" t="inlineStr">
        <is>
          <t>1200×2200</t>
        </is>
      </c>
      <c r="P39" s="37" t="n">
        <v>80</v>
      </c>
      <c r="Q39" s="37" t="inlineStr">
        <is>
          <t>Rãnh C Euro Groove</t>
        </is>
      </c>
      <c r="R39" s="37" t="inlineStr">
        <is>
          <t>Gioăng EPDM 3 lớp / Silicon Dow</t>
        </is>
      </c>
      <c r="S39" s="37" t="inlineStr">
        <is>
          <t>MED xi mạ độc quyền + Sơn tĩnh điện</t>
        </is>
      </c>
      <c r="T39" s="37" t="inlineStr">
        <is>
          <t>Hệ châu Âu giá Việt Nam, xi mạ MED không phai màu</t>
        </is>
      </c>
      <c r="U39" s="37" t="inlineStr">
        <is>
          <t>Ít tùy chọn màu sắc hơn hệ 65</t>
        </is>
      </c>
      <c r="V39" s="37" t="inlineStr">
        <is>
          <t>✓</t>
        </is>
      </c>
      <c r="W39" s="37" t="inlineStr">
        <is>
          <t>✓</t>
        </is>
      </c>
      <c r="X39" s="37" t="inlineStr">
        <is>
          <t>✓</t>
        </is>
      </c>
      <c r="Y39" s="37" t="inlineStr">
        <is>
          <t>✓</t>
        </is>
      </c>
      <c r="Z39" s="37" t="inlineStr">
        <is>
          <t>Hoàn thành</t>
        </is>
      </c>
      <c r="AA39" s="38" t="n">
        <v>85</v>
      </c>
      <c r="AB39" s="37" t="inlineStr">
        <is>
          <t>https://civrowindow.com</t>
        </is>
      </c>
      <c r="AC39" s="37" t="inlineStr"/>
      <c r="AD39" s="37" t="inlineStr"/>
    </row>
    <row r="40" ht="35" customHeight="1">
      <c r="A40" s="33" t="inlineStr">
        <is>
          <t>CV-002</t>
        </is>
      </c>
      <c r="B40" s="33" t="inlineStr">
        <is>
          <t>Anodized Cao cấp</t>
        </is>
      </c>
      <c r="C40" s="33" t="inlineStr">
        <is>
          <t>AW65 IN/OU</t>
        </is>
      </c>
      <c r="D40" s="33" t="inlineStr">
        <is>
          <t>Civro</t>
        </is>
      </c>
      <c r="E40" s="33" t="inlineStr">
        <is>
          <t>Việt Nam</t>
        </is>
      </c>
      <c r="F40" s="33" t="inlineStr">
        <is>
          <t>EN 12207/12210</t>
        </is>
      </c>
      <c r="G40" s="33" t="inlineStr">
        <is>
          <t>Cửa sổ</t>
        </is>
      </c>
      <c r="H40" s="33" t="inlineStr">
        <is>
          <t>Mở quay vào/ra (Casement IN/OUT)</t>
        </is>
      </c>
      <c r="I40" s="33" t="inlineStr">
        <is>
          <t>Khung 65mm cầu PA66</t>
        </is>
      </c>
      <c r="J40" s="33" t="inlineStr">
        <is>
          <t>Ngoại thất</t>
        </is>
      </c>
      <c r="K40" s="33" t="inlineStr">
        <is>
          <t>Biệt thự, văn phòng cao cấp</t>
        </is>
      </c>
      <c r="L40" s="33" t="n">
        <v>1.8</v>
      </c>
      <c r="M40" s="33" t="inlineStr">
        <is>
          <t>8-14mm / Kính hộp 20-32mm</t>
        </is>
      </c>
      <c r="N40" s="33" t="inlineStr">
        <is>
          <t>14mm</t>
        </is>
      </c>
      <c r="O40" s="33" t="inlineStr">
        <is>
          <t>1600×2800</t>
        </is>
      </c>
      <c r="P40" s="33" t="n">
        <v>150</v>
      </c>
      <c r="Q40" s="33" t="inlineStr">
        <is>
          <t>Rãnh C Châu Âu – tương thích Roto/Siegenia/Maco</t>
        </is>
      </c>
      <c r="R40" s="33" t="inlineStr">
        <is>
          <t>Gioăng EPDM đa khoang 3 lớp / Dow Corning 795</t>
        </is>
      </c>
      <c r="S40" s="33" t="inlineStr">
        <is>
          <t>MED xi mạ 2 màu trong/ngoài, PVDF</t>
        </is>
      </c>
      <c r="T40" s="33" t="inlineStr">
        <is>
          <t>Cứng vững, cách âm 38dB, bảo mật RC2, phụ kiện Châu Âu đầy đủ</t>
        </is>
      </c>
      <c r="U40" s="33" t="inlineStr">
        <is>
          <t>Giá trung-cao, cần thợ chuyên nghiệp</t>
        </is>
      </c>
      <c r="V40" s="33" t="inlineStr">
        <is>
          <t>✓</t>
        </is>
      </c>
      <c r="W40" s="33" t="inlineStr">
        <is>
          <t>✓</t>
        </is>
      </c>
      <c r="X40" s="33" t="inlineStr">
        <is>
          <t>✓</t>
        </is>
      </c>
      <c r="Y40" s="33" t="inlineStr">
        <is>
          <t>✓</t>
        </is>
      </c>
      <c r="Z40" s="33" t="inlineStr">
        <is>
          <t>Hoàn thành</t>
        </is>
      </c>
      <c r="AA40" s="34" t="n">
        <v>90</v>
      </c>
      <c r="AB40" s="33" t="inlineStr">
        <is>
          <t>https://civrowindow.com</t>
        </is>
      </c>
      <c r="AC40" s="33" t="inlineStr"/>
      <c r="AD40" s="33" t="inlineStr"/>
    </row>
    <row r="41" ht="35" customHeight="1">
      <c r="A41" s="42" t="inlineStr">
        <is>
          <t>CV-003</t>
        </is>
      </c>
      <c r="B41" s="42" t="inlineStr">
        <is>
          <t>Anodized Siêu cao cấp</t>
        </is>
      </c>
      <c r="C41" s="42" t="inlineStr">
        <is>
          <t>AW75 IN/OU</t>
        </is>
      </c>
      <c r="D41" s="42" t="inlineStr">
        <is>
          <t>Civro</t>
        </is>
      </c>
      <c r="E41" s="42" t="inlineStr">
        <is>
          <t>Việt Nam</t>
        </is>
      </c>
      <c r="F41" s="42" t="inlineStr">
        <is>
          <t>EN 12207/12210</t>
        </is>
      </c>
      <c r="G41" s="42" t="inlineStr">
        <is>
          <t>Cửa sổ</t>
        </is>
      </c>
      <c r="H41" s="42" t="inlineStr">
        <is>
          <t>Mở quay + Mở hất (Casement + Awning)</t>
        </is>
      </c>
      <c r="I41" s="42" t="inlineStr">
        <is>
          <t>Khung 75mm cầu PA66 dày</t>
        </is>
      </c>
      <c r="J41" s="42" t="inlineStr">
        <is>
          <t>Ngoại thất</t>
        </is>
      </c>
      <c r="K41" s="42" t="inlineStr">
        <is>
          <t>Biệt thự cao cấp, khách sạn resort 5 sao</t>
        </is>
      </c>
      <c r="L41" s="42" t="n">
        <v>2</v>
      </c>
      <c r="M41" s="42" t="inlineStr">
        <is>
          <t>10-14mm / Kính hộp 24-36mm</t>
        </is>
      </c>
      <c r="N41" s="42" t="inlineStr">
        <is>
          <t>16mm</t>
        </is>
      </c>
      <c r="O41" s="42" t="inlineStr">
        <is>
          <t>2000×3000</t>
        </is>
      </c>
      <c r="P41" s="42" t="n">
        <v>200</v>
      </c>
      <c r="Q41" s="42" t="inlineStr">
        <is>
          <t>Rãnh C Châu Âu cao cấp</t>
        </is>
      </c>
      <c r="R41" s="42" t="inlineStr">
        <is>
          <t>Gioăng EPDM 4 lớp / Dow Corning 791</t>
        </is>
      </c>
      <c r="S41" s="42" t="inlineStr">
        <is>
          <t>MED xi mạ 2 màu, PVDF 2 lớp, wood finish</t>
        </is>
      </c>
      <c r="T41" s="42" t="inlineStr">
        <is>
          <t>Profile dày nhất dòng Civro, cách âm vượt trội, Passive House chuẩn Châu Âu</t>
        </is>
      </c>
      <c r="U41" s="42" t="inlineStr">
        <is>
          <t>Giá rất cao, thi công phức tạp</t>
        </is>
      </c>
      <c r="V41" s="42" t="inlineStr">
        <is>
          <t>✓</t>
        </is>
      </c>
      <c r="W41" s="42" t="inlineStr">
        <is>
          <t>✓</t>
        </is>
      </c>
      <c r="X41" s="42" t="inlineStr">
        <is>
          <t>✓</t>
        </is>
      </c>
      <c r="Y41" s="42" t="inlineStr">
        <is>
          <t>✓</t>
        </is>
      </c>
      <c r="Z41" s="42" t="inlineStr">
        <is>
          <t>Hoàn thành</t>
        </is>
      </c>
      <c r="AA41" s="43" t="n">
        <v>85</v>
      </c>
      <c r="AB41" s="42" t="inlineStr">
        <is>
          <t>https://civrowindow.com</t>
        </is>
      </c>
      <c r="AC41" s="42" t="inlineStr"/>
      <c r="AD41" s="42" t="inlineStr"/>
    </row>
    <row r="42" ht="35" customHeight="1">
      <c r="A42" s="33" t="inlineStr">
        <is>
          <t>CV-004</t>
        </is>
      </c>
      <c r="B42" s="33" t="inlineStr">
        <is>
          <t>Anodized Cao cấp</t>
        </is>
      </c>
      <c r="C42" s="33" t="inlineStr">
        <is>
          <t>AD55 IN/OU</t>
        </is>
      </c>
      <c r="D42" s="33" t="inlineStr">
        <is>
          <t>Civro</t>
        </is>
      </c>
      <c r="E42" s="33" t="inlineStr">
        <is>
          <t>Việt Nam</t>
        </is>
      </c>
      <c r="F42" s="33" t="inlineStr">
        <is>
          <t>EN 14351-1</t>
        </is>
      </c>
      <c r="G42" s="33" t="inlineStr">
        <is>
          <t>Cửa đi</t>
        </is>
      </c>
      <c r="H42" s="33" t="inlineStr">
        <is>
          <t>Mở quay vào/ra (Casement IN/OUT)</t>
        </is>
      </c>
      <c r="I42" s="33" t="inlineStr">
        <is>
          <t>Khung cửa đi 55mm cầu PA66</t>
        </is>
      </c>
      <c r="J42" s="33" t="inlineStr">
        <is>
          <t>Ngoại thất</t>
        </is>
      </c>
      <c r="K42" s="33" t="inlineStr">
        <is>
          <t>Nhà phố, văn phòng</t>
        </is>
      </c>
      <c r="L42" s="33" t="n">
        <v>1.5</v>
      </c>
      <c r="M42" s="33" t="inlineStr">
        <is>
          <t>5-10mm</t>
        </is>
      </c>
      <c r="N42" s="33" t="inlineStr">
        <is>
          <t>10mm</t>
        </is>
      </c>
      <c r="O42" s="33" t="inlineStr">
        <is>
          <t>1200×2400</t>
        </is>
      </c>
      <c r="P42" s="33" t="n">
        <v>180</v>
      </c>
      <c r="Q42" s="33" t="inlineStr">
        <is>
          <t>Rãnh C Euro Groove</t>
        </is>
      </c>
      <c r="R42" s="33" t="inlineStr">
        <is>
          <t>Gioăng EPDM 3 lớp / Silicon Dow</t>
        </is>
      </c>
      <c r="S42" s="33" t="inlineStr">
        <is>
          <t>MED xi mạ độc quyền</t>
        </is>
      </c>
      <c r="T42" s="33" t="inlineStr">
        <is>
          <t>Cửa đi hệ Châu Âu giá tốt, cách âm tốt</t>
        </is>
      </c>
      <c r="U42" s="33" t="inlineStr">
        <is>
          <t>Ít hệ chuyên dụng hơn AD65</t>
        </is>
      </c>
      <c r="V42" s="33" t="inlineStr">
        <is>
          <t>✓</t>
        </is>
      </c>
      <c r="W42" s="33" t="inlineStr">
        <is>
          <t>✓</t>
        </is>
      </c>
      <c r="X42" s="33" t="inlineStr">
        <is>
          <t>✓</t>
        </is>
      </c>
      <c r="Y42" s="33" t="inlineStr">
        <is>
          <t>✓</t>
        </is>
      </c>
      <c r="Z42" s="33" t="inlineStr">
        <is>
          <t>Hoàn thành</t>
        </is>
      </c>
      <c r="AA42" s="34" t="n">
        <v>80</v>
      </c>
      <c r="AB42" s="33" t="inlineStr">
        <is>
          <t>https://civrowindow.com</t>
        </is>
      </c>
      <c r="AC42" s="33" t="inlineStr"/>
      <c r="AD42" s="33" t="inlineStr"/>
    </row>
    <row r="43" ht="35" customHeight="1">
      <c r="A43" s="33" t="inlineStr">
        <is>
          <t>CV-005</t>
        </is>
      </c>
      <c r="B43" s="33" t="inlineStr">
        <is>
          <t>Anodized Cao cấp</t>
        </is>
      </c>
      <c r="C43" s="33" t="inlineStr">
        <is>
          <t>AD65 IN/OU</t>
        </is>
      </c>
      <c r="D43" s="33" t="inlineStr">
        <is>
          <t>Civro</t>
        </is>
      </c>
      <c r="E43" s="33" t="inlineStr">
        <is>
          <t>Việt Nam</t>
        </is>
      </c>
      <c r="F43" s="33" t="inlineStr">
        <is>
          <t>EN 14351-1</t>
        </is>
      </c>
      <c r="G43" s="33" t="inlineStr">
        <is>
          <t>Cửa đi</t>
        </is>
      </c>
      <c r="H43" s="33" t="inlineStr">
        <is>
          <t>Mở quay vào/ra (Casement IN/OUT)</t>
        </is>
      </c>
      <c r="I43" s="33" t="inlineStr">
        <is>
          <t>Khung cửa đi 65mm cầu PA66</t>
        </is>
      </c>
      <c r="J43" s="33" t="inlineStr">
        <is>
          <t>Ngoại thất</t>
        </is>
      </c>
      <c r="K43" s="33" t="inlineStr">
        <is>
          <t>Biệt thự, văn phòng cao cấp</t>
        </is>
      </c>
      <c r="L43" s="33" t="n">
        <v>1.8</v>
      </c>
      <c r="M43" s="33" t="inlineStr">
        <is>
          <t>6-14mm / Kính hộp 20-32mm</t>
        </is>
      </c>
      <c r="N43" s="33" t="inlineStr">
        <is>
          <t>14mm</t>
        </is>
      </c>
      <c r="O43" s="33" t="inlineStr">
        <is>
          <t>1400×2800</t>
        </is>
      </c>
      <c r="P43" s="33" t="n">
        <v>180</v>
      </c>
      <c r="Q43" s="33" t="inlineStr">
        <is>
          <t>Rãnh C Châu Âu</t>
        </is>
      </c>
      <c r="R43" s="33" t="inlineStr">
        <is>
          <t>Gioăng EPDM đa khoang / Dow Corning</t>
        </is>
      </c>
      <c r="S43" s="33" t="inlineStr">
        <is>
          <t>MED xi mạ độc quyền, PVDF</t>
        </is>
      </c>
      <c r="T43" s="33" t="inlineStr">
        <is>
          <t>Cứng vững, cách âm vượt trội, phù hợp cửa đi đơn 2 cánh lớn</t>
        </is>
      </c>
      <c r="U43" s="33" t="inlineStr">
        <is>
          <t>Giá cao</t>
        </is>
      </c>
      <c r="V43" s="33" t="inlineStr">
        <is>
          <t>✓</t>
        </is>
      </c>
      <c r="W43" s="33" t="inlineStr">
        <is>
          <t>✓</t>
        </is>
      </c>
      <c r="X43" s="33" t="inlineStr">
        <is>
          <t>✓</t>
        </is>
      </c>
      <c r="Y43" s="33" t="inlineStr">
        <is>
          <t>✓</t>
        </is>
      </c>
      <c r="Z43" s="33" t="inlineStr">
        <is>
          <t>Hoàn thành</t>
        </is>
      </c>
      <c r="AA43" s="34" t="n">
        <v>90</v>
      </c>
      <c r="AB43" s="33" t="inlineStr">
        <is>
          <t>https://civrowindow.com</t>
        </is>
      </c>
      <c r="AC43" s="33" t="inlineStr"/>
      <c r="AD43" s="33" t="inlineStr"/>
    </row>
    <row r="44" ht="35" customHeight="1">
      <c r="A44" s="42" t="inlineStr">
        <is>
          <t>CV-006</t>
        </is>
      </c>
      <c r="B44" s="42" t="inlineStr">
        <is>
          <t>Anodized Siêu cao cấp</t>
        </is>
      </c>
      <c r="C44" s="42" t="inlineStr">
        <is>
          <t>AD65 IN_HB/OU_HB</t>
        </is>
      </c>
      <c r="D44" s="42" t="inlineStr">
        <is>
          <t>Civro</t>
        </is>
      </c>
      <c r="E44" s="42" t="inlineStr">
        <is>
          <t>Việt Nam</t>
        </is>
      </c>
      <c r="F44" s="42" t="inlineStr">
        <is>
          <t>EN 14351-1</t>
        </is>
      </c>
      <c r="G44" s="42" t="inlineStr">
        <is>
          <t>Cửa đi</t>
        </is>
      </c>
      <c r="H44" s="42" t="inlineStr">
        <is>
          <t>Mở quay – Đố ngang lớn (Panorama Door)</t>
        </is>
      </c>
      <c r="I44" s="42" t="inlineStr">
        <is>
          <t>Khung 65mm + Đố ngang bản rộng</t>
        </is>
      </c>
      <c r="J44" s="42" t="inlineStr">
        <is>
          <t>Ngoại thất</t>
        </is>
      </c>
      <c r="K44" s="42" t="inlineStr">
        <is>
          <t>Biệt thự siêu cao cấp, sảnh khách sạn</t>
        </is>
      </c>
      <c r="L44" s="42" t="n">
        <v>2</v>
      </c>
      <c r="M44" s="42" t="inlineStr">
        <is>
          <t>6-14mm / Kính hộp lớn</t>
        </is>
      </c>
      <c r="N44" s="42" t="inlineStr">
        <is>
          <t>14mm</t>
        </is>
      </c>
      <c r="O44" s="42" t="inlineStr">
        <is>
          <t>2000×3200</t>
        </is>
      </c>
      <c r="P44" s="42" t="n">
        <v>250</v>
      </c>
      <c r="Q44" s="42" t="inlineStr">
        <is>
          <t>Rãnh C đặc biệt panorama</t>
        </is>
      </c>
      <c r="R44" s="42" t="inlineStr">
        <is>
          <t>Gioăng EPDM 4 lớp / Dow Corning 795</t>
        </is>
      </c>
      <c r="S44" s="42" t="inlineStr">
        <is>
          <t>MED xi mạ độc quyền, PVDF 2 lớp</t>
        </is>
      </c>
      <c r="T44" s="42" t="inlineStr">
        <is>
          <t>Đố ngang siêu rộng tạo cửa panorama, thẩm mỹ đỉnh cao</t>
        </is>
      </c>
      <c r="U44" s="42" t="inlineStr">
        <is>
          <t>Thiết kế kết cấu phức tạp</t>
        </is>
      </c>
      <c r="V44" s="42" t="inlineStr">
        <is>
          <t>✓</t>
        </is>
      </c>
      <c r="W44" s="42" t="inlineStr">
        <is>
          <t>✓</t>
        </is>
      </c>
      <c r="X44" s="42" t="inlineStr">
        <is>
          <t>✓</t>
        </is>
      </c>
      <c r="Y44" s="42" t="inlineStr">
        <is>
          <t>✓</t>
        </is>
      </c>
      <c r="Z44" s="42" t="inlineStr">
        <is>
          <t>Đang nghiên cứu</t>
        </is>
      </c>
      <c r="AA44" s="44" t="n">
        <v>70</v>
      </c>
      <c r="AB44" s="42" t="inlineStr">
        <is>
          <t>https://civrowindow.com</t>
        </is>
      </c>
      <c r="AC44" s="42" t="inlineStr"/>
      <c r="AD44" s="42" t="inlineStr"/>
    </row>
    <row r="45" ht="35" customHeight="1">
      <c r="A45" s="42" t="inlineStr">
        <is>
          <t>CV-007</t>
        </is>
      </c>
      <c r="B45" s="42" t="inlineStr">
        <is>
          <t>Anodized Siêu cao cấp</t>
        </is>
      </c>
      <c r="C45" s="42" t="inlineStr">
        <is>
          <t>AD75 IN/OU</t>
        </is>
      </c>
      <c r="D45" s="42" t="inlineStr">
        <is>
          <t>Civro</t>
        </is>
      </c>
      <c r="E45" s="42" t="inlineStr">
        <is>
          <t>Việt Nam</t>
        </is>
      </c>
      <c r="F45" s="42" t="inlineStr">
        <is>
          <t>EN 14351-1</t>
        </is>
      </c>
      <c r="G45" s="42" t="inlineStr">
        <is>
          <t>Cửa đi</t>
        </is>
      </c>
      <c r="H45" s="42" t="inlineStr">
        <is>
          <t>Mở quay vào/ra (Casement IN/OUT)</t>
        </is>
      </c>
      <c r="I45" s="42" t="inlineStr">
        <is>
          <t>Khung cửa đi 75mm siêu dày cầu PA66</t>
        </is>
      </c>
      <c r="J45" s="42" t="inlineStr">
        <is>
          <t>Ngoại thất</t>
        </is>
      </c>
      <c r="K45" s="42" t="inlineStr">
        <is>
          <t>Biệt thự siêu sang, resort 5 sao</t>
        </is>
      </c>
      <c r="L45" s="42" t="n">
        <v>2</v>
      </c>
      <c r="M45" s="42" t="inlineStr">
        <is>
          <t>10-16mm / Kính hộp lớn</t>
        </is>
      </c>
      <c r="N45" s="42" t="inlineStr">
        <is>
          <t>16mm</t>
        </is>
      </c>
      <c r="O45" s="42" t="inlineStr">
        <is>
          <t>2000×3200</t>
        </is>
      </c>
      <c r="P45" s="42" t="n">
        <v>250</v>
      </c>
      <c r="Q45" s="42" t="inlineStr">
        <is>
          <t>Rãnh C Châu Âu siêu cao cấp</t>
        </is>
      </c>
      <c r="R45" s="42" t="inlineStr">
        <is>
          <t>Gioăng EPDM 5 lớp / Dow Corning</t>
        </is>
      </c>
      <c r="S45" s="42" t="inlineStr">
        <is>
          <t>MED xi mạ, PVDF 2 lớp, wood-look</t>
        </is>
      </c>
      <c r="T45" s="42" t="inlineStr">
        <is>
          <t>Profile 75mm dày nhất, cách âm cao nhất dòng Civro</t>
        </is>
      </c>
      <c r="U45" s="42" t="inlineStr">
        <is>
          <t>Giá rất cao</t>
        </is>
      </c>
      <c r="V45" s="42" t="inlineStr">
        <is>
          <t>✓</t>
        </is>
      </c>
      <c r="W45" s="42" t="inlineStr">
        <is>
          <t>✓</t>
        </is>
      </c>
      <c r="X45" s="42" t="inlineStr">
        <is>
          <t>✓</t>
        </is>
      </c>
      <c r="Y45" s="42" t="inlineStr">
        <is>
          <t>✓</t>
        </is>
      </c>
      <c r="Z45" s="42" t="inlineStr">
        <is>
          <t>Hoàn thành</t>
        </is>
      </c>
      <c r="AA45" s="43" t="n">
        <v>85</v>
      </c>
      <c r="AB45" s="42" t="inlineStr">
        <is>
          <t>https://civrowindow.com</t>
        </is>
      </c>
      <c r="AC45" s="42" t="inlineStr"/>
      <c r="AD45" s="42" t="inlineStr"/>
    </row>
    <row r="46" ht="35" customHeight="1">
      <c r="A46" s="18" t="inlineStr">
        <is>
          <t>CV-008</t>
        </is>
      </c>
      <c r="B46" s="18" t="inlineStr">
        <is>
          <t>Trượt lùa Cao cấp</t>
        </is>
      </c>
      <c r="C46" s="18" t="inlineStr">
        <is>
          <t>CSD110</t>
        </is>
      </c>
      <c r="D46" s="18" t="inlineStr">
        <is>
          <t>Civro</t>
        </is>
      </c>
      <c r="E46" s="18" t="inlineStr">
        <is>
          <t>Việt Nam</t>
        </is>
      </c>
      <c r="F46" s="18" t="inlineStr">
        <is>
          <t>EN 13830</t>
        </is>
      </c>
      <c r="G46" s="18" t="inlineStr">
        <is>
          <t>Cửa đi</t>
        </is>
      </c>
      <c r="H46" s="18" t="inlineStr">
        <is>
          <t>Trượt lùa (Sliding)</t>
        </is>
      </c>
      <c r="I46" s="18" t="inlineStr">
        <is>
          <t>Khung CSD 110mm + Cánh + Ray inox</t>
        </is>
      </c>
      <c r="J46" s="18" t="inlineStr">
        <is>
          <t>Ngoại thất</t>
        </is>
      </c>
      <c r="K46" s="18" t="inlineStr">
        <is>
          <t>Biệt thự, lối ra ban công sân hồ bơi</t>
        </is>
      </c>
      <c r="L46" s="18" t="n">
        <v>2</v>
      </c>
      <c r="M46" s="18" t="inlineStr">
        <is>
          <t>10-15mm / Kính hộp 24-36mm</t>
        </is>
      </c>
      <c r="N46" s="18" t="inlineStr">
        <is>
          <t>15mm</t>
        </is>
      </c>
      <c r="O46" s="18" t="inlineStr">
        <is>
          <t>4000×2600</t>
        </is>
      </c>
      <c r="P46" s="18" t="n">
        <v>200</v>
      </c>
      <c r="Q46" s="18" t="inlineStr">
        <is>
          <t>Ray inox SUS316L</t>
        </is>
      </c>
      <c r="R46" s="18" t="inlineStr">
        <is>
          <t>Gioăng EPDM kép / Silicon cấu trúc</t>
        </is>
      </c>
      <c r="S46" s="18" t="inlineStr">
        <is>
          <t>MED xi mạ, PVDF</t>
        </is>
      </c>
      <c r="T46" s="18" t="inlineStr">
        <is>
          <t>Phù hợp biệt thự biển, chịu muối, trượt êm ray inox</t>
        </is>
      </c>
      <c r="U46" s="18" t="inlineStr">
        <is>
          <t>Nặng, cần tường rộng để cánh trượt vào</t>
        </is>
      </c>
      <c r="V46" s="18" t="inlineStr">
        <is>
          <t>✓</t>
        </is>
      </c>
      <c r="W46" s="18" t="inlineStr">
        <is>
          <t>✓</t>
        </is>
      </c>
      <c r="X46" s="18" t="inlineStr">
        <is>
          <t>✓</t>
        </is>
      </c>
      <c r="Y46" s="18" t="inlineStr">
        <is>
          <t>✓</t>
        </is>
      </c>
      <c r="Z46" s="18" t="inlineStr">
        <is>
          <t>Hoàn thành</t>
        </is>
      </c>
      <c r="AA46" s="19" t="n">
        <v>80</v>
      </c>
      <c r="AB46" s="18" t="inlineStr">
        <is>
          <t>https://civrowindow.com</t>
        </is>
      </c>
      <c r="AC46" s="18" t="inlineStr"/>
      <c r="AD46" s="18" t="inlineStr"/>
    </row>
    <row r="47" ht="35" customHeight="1">
      <c r="A47" s="18" t="inlineStr">
        <is>
          <t>CV-009</t>
        </is>
      </c>
      <c r="B47" s="18" t="inlineStr">
        <is>
          <t>Trượt lùa Cao cấp</t>
        </is>
      </c>
      <c r="C47" s="18" t="inlineStr">
        <is>
          <t>CSD120</t>
        </is>
      </c>
      <c r="D47" s="18" t="inlineStr">
        <is>
          <t>Civro</t>
        </is>
      </c>
      <c r="E47" s="18" t="inlineStr">
        <is>
          <t>Việt Nam</t>
        </is>
      </c>
      <c r="F47" s="18" t="inlineStr">
        <is>
          <t>EN 13830</t>
        </is>
      </c>
      <c r="G47" s="18" t="inlineStr">
        <is>
          <t>Cửa đi</t>
        </is>
      </c>
      <c r="H47" s="18" t="inlineStr">
        <is>
          <t>Trượt lùa (Sliding)</t>
        </is>
      </c>
      <c r="I47" s="18" t="inlineStr">
        <is>
          <t>Khung CSD 120mm + Cánh + Ray inox</t>
        </is>
      </c>
      <c r="J47" s="18" t="inlineStr">
        <is>
          <t>Ngoại thất</t>
        </is>
      </c>
      <c r="K47" s="18" t="inlineStr">
        <is>
          <t>Biệt thự cao cấp, resort</t>
        </is>
      </c>
      <c r="L47" s="18" t="n">
        <v>2</v>
      </c>
      <c r="M47" s="18" t="inlineStr">
        <is>
          <t>10-15mm / Kính hộp 24-36mm</t>
        </is>
      </c>
      <c r="N47" s="18" t="inlineStr">
        <is>
          <t>15mm</t>
        </is>
      </c>
      <c r="O47" s="18" t="inlineStr">
        <is>
          <t>5000×2800</t>
        </is>
      </c>
      <c r="P47" s="18" t="n">
        <v>250</v>
      </c>
      <c r="Q47" s="18" t="inlineStr">
        <is>
          <t>Ray inox SUS316L</t>
        </is>
      </c>
      <c r="R47" s="18" t="inlineStr">
        <is>
          <t>Gioăng EPDM kép / Silicon cấu trúc</t>
        </is>
      </c>
      <c r="S47" s="18" t="inlineStr">
        <is>
          <t>MED xi mạ, PVDF</t>
        </is>
      </c>
      <c r="T47" s="18" t="inlineStr">
        <is>
          <t>Cánh lùa rộng hơn CSD110, phù hợp không gian mở rộng</t>
        </is>
      </c>
      <c r="U47" s="18" t="inlineStr">
        <is>
          <t>Chi phí cao</t>
        </is>
      </c>
      <c r="V47" s="18" t="inlineStr">
        <is>
          <t>✓</t>
        </is>
      </c>
      <c r="W47" s="18" t="inlineStr">
        <is>
          <t>✓</t>
        </is>
      </c>
      <c r="X47" s="18" t="inlineStr">
        <is>
          <t>✓</t>
        </is>
      </c>
      <c r="Y47" s="18" t="inlineStr">
        <is>
          <t>✓</t>
        </is>
      </c>
      <c r="Z47" s="18" t="inlineStr">
        <is>
          <t>Hoàn thành</t>
        </is>
      </c>
      <c r="AA47" s="19" t="n">
        <v>80</v>
      </c>
      <c r="AB47" s="18" t="inlineStr">
        <is>
          <t>https://civrowindow.com</t>
        </is>
      </c>
      <c r="AC47" s="18" t="inlineStr"/>
      <c r="AD47" s="18" t="inlineStr"/>
    </row>
    <row r="48" ht="35" customHeight="1">
      <c r="A48" s="45" t="inlineStr">
        <is>
          <t>CV-010</t>
        </is>
      </c>
      <c r="B48" s="45" t="inlineStr">
        <is>
          <t>Lift &amp; Slide Siêu cao cấp</t>
        </is>
      </c>
      <c r="C48" s="45" t="inlineStr">
        <is>
          <t>Civro Lift Slide</t>
        </is>
      </c>
      <c r="D48" s="45" t="inlineStr">
        <is>
          <t>Civro</t>
        </is>
      </c>
      <c r="E48" s="45" t="inlineStr">
        <is>
          <t>Việt Nam</t>
        </is>
      </c>
      <c r="F48" s="45" t="inlineStr">
        <is>
          <t>EN 13830/12208</t>
        </is>
      </c>
      <c r="G48" s="45" t="inlineStr">
        <is>
          <t>Cửa đi</t>
        </is>
      </c>
      <c r="H48" s="45" t="inlineStr">
        <is>
          <t>Trượt nâng (Lift &amp; Slide)</t>
        </is>
      </c>
      <c r="I48" s="45" t="inlineStr">
        <is>
          <t>Khung CSD cách nhiệt + Phụ kiện Lift Slide</t>
        </is>
      </c>
      <c r="J48" s="45" t="inlineStr">
        <is>
          <t>Ngoại thất</t>
        </is>
      </c>
      <c r="K48" s="45" t="inlineStr">
        <is>
          <t>Biệt thự siêu sang, biệt thự biển, penthouse</t>
        </is>
      </c>
      <c r="L48" s="45" t="n">
        <v>2</v>
      </c>
      <c r="M48" s="45" t="inlineStr">
        <is>
          <t>Kính hộp 28-52mm / Kính 3 lớp</t>
        </is>
      </c>
      <c r="N48" s="45" t="inlineStr">
        <is>
          <t>19mm</t>
        </is>
      </c>
      <c r="O48" s="45" t="inlineStr">
        <is>
          <t>7000×3000</t>
        </is>
      </c>
      <c r="P48" s="45" t="n">
        <v>500</v>
      </c>
      <c r="Q48" s="45" t="inlineStr">
        <is>
          <t>Siegenia Patio Life / Roto Patio Fold</t>
        </is>
      </c>
      <c r="R48" s="45" t="inlineStr">
        <is>
          <t>Gioăng EPDM cầu cách nhiệt / Dow Corning</t>
        </is>
      </c>
      <c r="S48" s="45" t="inlineStr">
        <is>
          <t>MED xi mạ, PVDF 2 lớp</t>
        </is>
      </c>
      <c r="T48" s="45" t="inlineStr">
        <is>
          <t>Kín hoàn toàn, cách âm tốt nhất dòng lùa, mở nhẹ dù 500kg</t>
        </is>
      </c>
      <c r="U48" s="45" t="inlineStr">
        <is>
          <t>Giá cao nhất dòng lùa</t>
        </is>
      </c>
      <c r="V48" s="45" t="inlineStr">
        <is>
          <t>✓</t>
        </is>
      </c>
      <c r="W48" s="45" t="inlineStr">
        <is>
          <t>✓</t>
        </is>
      </c>
      <c r="X48" s="45" t="inlineStr">
        <is>
          <t>✓</t>
        </is>
      </c>
      <c r="Y48" s="45" t="inlineStr">
        <is>
          <t>✓</t>
        </is>
      </c>
      <c r="Z48" s="45" t="inlineStr">
        <is>
          <t>Hoàn thành</t>
        </is>
      </c>
      <c r="AA48" s="46" t="n">
        <v>85</v>
      </c>
      <c r="AB48" s="45" t="inlineStr">
        <is>
          <t>https://civrowindow.com</t>
        </is>
      </c>
      <c r="AC48" s="45" t="inlineStr"/>
      <c r="AD48" s="45" t="inlineStr"/>
    </row>
    <row r="49" ht="35" customHeight="1">
      <c r="A49" s="47" t="inlineStr">
        <is>
          <t>CV-011</t>
        </is>
      </c>
      <c r="B49" s="47" t="inlineStr">
        <is>
          <t>Pivot Siêu cao cấp</t>
        </is>
      </c>
      <c r="C49" s="47" t="inlineStr">
        <is>
          <t>Civro Pivot</t>
        </is>
      </c>
      <c r="D49" s="47" t="inlineStr">
        <is>
          <t>Civro</t>
        </is>
      </c>
      <c r="E49" s="47" t="inlineStr">
        <is>
          <t>Việt Nam</t>
        </is>
      </c>
      <c r="F49" s="47" t="inlineStr">
        <is>
          <t>EN 14351-1</t>
        </is>
      </c>
      <c r="G49" s="47" t="inlineStr">
        <is>
          <t>Cửa đi</t>
        </is>
      </c>
      <c r="H49" s="47" t="inlineStr">
        <is>
          <t>Xoay trục (Pivot)</t>
        </is>
      </c>
      <c r="I49" s="47" t="inlineStr">
        <is>
          <t>Cánh xoay trục + Pivot floor spring</t>
        </is>
      </c>
      <c r="J49" s="47" t="inlineStr">
        <is>
          <t>Ngoại thất</t>
        </is>
      </c>
      <c r="K49" s="47" t="inlineStr">
        <is>
          <t>Biệt thự siêu sang, villa resort</t>
        </is>
      </c>
      <c r="L49" s="47" t="n">
        <v>2</v>
      </c>
      <c r="M49" s="47" t="inlineStr">
        <is>
          <t>Kính cường lực 15-22mm</t>
        </is>
      </c>
      <c r="N49" s="47" t="inlineStr">
        <is>
          <t>22mm</t>
        </is>
      </c>
      <c r="O49" s="47" t="inlineStr">
        <is>
          <t>2000×4000</t>
        </is>
      </c>
      <c r="P49" s="47" t="n">
        <v>500</v>
      </c>
      <c r="Q49" s="47" t="inlineStr">
        <is>
          <t>FritsJurgens / Dorma Pivot</t>
        </is>
      </c>
      <c r="R49" s="47" t="inlineStr">
        <is>
          <t>Keo silicon kết cấu / Gioăng cạnh kín</t>
        </is>
      </c>
      <c r="S49" s="47" t="inlineStr">
        <is>
          <t>MED xi mạ cao cấp, PVDF</t>
        </is>
      </c>
      <c r="T49" s="47" t="inlineStr">
        <is>
          <t>Thẩm mỹ cực cao, xoay 180°, cánh siêu rộng một tấm kính</t>
        </is>
      </c>
      <c r="U49" s="47" t="inlineStr">
        <is>
          <t>Giá cao, thi công phức tạp</t>
        </is>
      </c>
      <c r="V49" s="47" t="inlineStr">
        <is>
          <t>✓</t>
        </is>
      </c>
      <c r="W49" s="47" t="inlineStr">
        <is>
          <t>✗</t>
        </is>
      </c>
      <c r="X49" s="47" t="inlineStr">
        <is>
          <t>✓</t>
        </is>
      </c>
      <c r="Y49" s="47" t="inlineStr">
        <is>
          <t>✗</t>
        </is>
      </c>
      <c r="Z49" s="47" t="inlineStr">
        <is>
          <t>Đang nghiên cứu</t>
        </is>
      </c>
      <c r="AA49" s="48" t="n">
        <v>55</v>
      </c>
      <c r="AB49" s="47" t="inlineStr">
        <is>
          <t>https://civrowindow.com</t>
        </is>
      </c>
      <c r="AC49" s="47" t="inlineStr"/>
      <c r="AD49" s="47" t="inlineStr"/>
    </row>
    <row r="50" ht="35" customHeight="1">
      <c r="A50" s="31" t="inlineStr">
        <is>
          <t>CV-012</t>
        </is>
      </c>
      <c r="B50" s="31" t="inlineStr">
        <is>
          <t>Xếp trượt Cao cấp</t>
        </is>
      </c>
      <c r="C50" s="31" t="inlineStr">
        <is>
          <t>Civro Folding</t>
        </is>
      </c>
      <c r="D50" s="31" t="inlineStr">
        <is>
          <t>Civro</t>
        </is>
      </c>
      <c r="E50" s="31" t="inlineStr">
        <is>
          <t>Việt Nam</t>
        </is>
      </c>
      <c r="F50" s="31" t="inlineStr">
        <is>
          <t>EN 14351-1</t>
        </is>
      </c>
      <c r="G50" s="31" t="inlineStr">
        <is>
          <t>Cửa đi</t>
        </is>
      </c>
      <c r="H50" s="31" t="inlineStr">
        <is>
          <t>Xếp trượt (Bi-fold / Folding)</t>
        </is>
      </c>
      <c r="I50" s="31" t="inlineStr">
        <is>
          <t>Cánh xếp gấp + Ray trên đặc biệt</t>
        </is>
      </c>
      <c r="J50" s="31" t="inlineStr">
        <is>
          <t>Ngoại thất</t>
        </is>
      </c>
      <c r="K50" s="31" t="inlineStr">
        <is>
          <t>Biệt thự, nhà hàng, quán cà phê, resort</t>
        </is>
      </c>
      <c r="L50" s="31" t="n">
        <v>1.8</v>
      </c>
      <c r="M50" s="31" t="inlineStr">
        <is>
          <t>Kính cường lực 8-12mm</t>
        </is>
      </c>
      <c r="N50" s="31" t="inlineStr">
        <is>
          <t>12mm</t>
        </is>
      </c>
      <c r="O50" s="31" t="inlineStr">
        <is>
          <t>5000×2800</t>
        </is>
      </c>
      <c r="P50" s="31" t="n">
        <v>40</v>
      </c>
      <c r="Q50" s="31" t="inlineStr">
        <is>
          <t>Roto Fold / OPK Folding</t>
        </is>
      </c>
      <c r="R50" s="31" t="inlineStr">
        <is>
          <t>Gioăng EPDM / Silicon</t>
        </is>
      </c>
      <c r="S50" s="31" t="inlineStr">
        <is>
          <t>MED xi mạ, sơn tĩnh điện</t>
        </is>
      </c>
      <c r="T50" s="31" t="inlineStr">
        <is>
          <t>Mở toàn bộ không gian, xếp gọn hoàn toàn</t>
        </is>
      </c>
      <c r="U50" s="31" t="inlineStr">
        <is>
          <t>Kín khít kém nhất</t>
        </is>
      </c>
      <c r="V50" s="31" t="inlineStr">
        <is>
          <t>✓</t>
        </is>
      </c>
      <c r="W50" s="31" t="inlineStr">
        <is>
          <t>✗</t>
        </is>
      </c>
      <c r="X50" s="31" t="inlineStr">
        <is>
          <t>✓</t>
        </is>
      </c>
      <c r="Y50" s="31" t="inlineStr">
        <is>
          <t>✓</t>
        </is>
      </c>
      <c r="Z50" s="31" t="inlineStr">
        <is>
          <t>Đang nghiên cứu</t>
        </is>
      </c>
      <c r="AA50" s="41" t="n">
        <v>60</v>
      </c>
      <c r="AB50" s="31" t="inlineStr">
        <is>
          <t>https://civrowindow.com</t>
        </is>
      </c>
      <c r="AC50" s="31" t="inlineStr"/>
      <c r="AD50" s="31" t="inlineStr"/>
    </row>
    <row r="51" ht="35" customHeight="1">
      <c r="A51" s="28" t="inlineStr">
        <is>
          <t>CV-013</t>
        </is>
      </c>
      <c r="B51" s="28" t="inlineStr">
        <is>
          <t>Curtain Wall Stick</t>
        </is>
      </c>
      <c r="C51" s="28" t="inlineStr">
        <is>
          <t>CCW50 Stick</t>
        </is>
      </c>
      <c r="D51" s="28" t="inlineStr">
        <is>
          <t>Civro</t>
        </is>
      </c>
      <c r="E51" s="28" t="inlineStr">
        <is>
          <t>Việt Nam</t>
        </is>
      </c>
      <c r="F51" s="28" t="inlineStr">
        <is>
          <t>EN 13830</t>
        </is>
      </c>
      <c r="G51" s="28" t="inlineStr">
        <is>
          <t>Vách mặt dựng</t>
        </is>
      </c>
      <c r="H51" s="28" t="inlineStr">
        <is>
          <t>Cố định (Fixed – Stick System)</t>
        </is>
      </c>
      <c r="I51" s="28" t="inlineStr">
        <is>
          <t>Đố đứng + Đố ngang + Nẹp kính lắp tại chỗ</t>
        </is>
      </c>
      <c r="J51" s="28" t="inlineStr">
        <is>
          <t>Ngoại thất – Mặt dựng</t>
        </is>
      </c>
      <c r="K51" s="28" t="inlineStr">
        <is>
          <t>Văn phòng, TTTM, khách sạn</t>
        </is>
      </c>
      <c r="L51" s="28" t="n">
        <v>2</v>
      </c>
      <c r="M51" s="28" t="inlineStr">
        <is>
          <t>Kính hộp 20-36mm / Kính 3 lớp 44mm</t>
        </is>
      </c>
      <c r="N51" s="28" t="inlineStr">
        <is>
          <t>36mm</t>
        </is>
      </c>
      <c r="O51" s="28" t="inlineStr">
        <is>
          <t>Không giới hạn</t>
        </is>
      </c>
      <c r="P51" s="28" t="n">
        <v>500</v>
      </c>
      <c r="Q51" s="28" t="inlineStr">
        <is>
          <t>Hệ Stick Châu Âu</t>
        </is>
      </c>
      <c r="R51" s="28" t="inlineStr">
        <is>
          <t>Silicon kết cấu SG2000 / Sika</t>
        </is>
      </c>
      <c r="S51" s="28" t="inlineStr">
        <is>
          <t>Anodized, PVDF</t>
        </is>
      </c>
      <c r="T51" s="28" t="inlineStr">
        <is>
          <t>Linh hoạt thiết kế, thi công từng thanh tại chỗ, dễ sửa chữa</t>
        </is>
      </c>
      <c r="U51" s="28" t="inlineStr">
        <is>
          <t>Thi công chậm hơn Unitized</t>
        </is>
      </c>
      <c r="V51" s="28" t="inlineStr">
        <is>
          <t>✓</t>
        </is>
      </c>
      <c r="W51" s="28" t="inlineStr">
        <is>
          <t>✓</t>
        </is>
      </c>
      <c r="X51" s="28" t="inlineStr">
        <is>
          <t>✓</t>
        </is>
      </c>
      <c r="Y51" s="28" t="inlineStr">
        <is>
          <t>✓</t>
        </is>
      </c>
      <c r="Z51" s="28" t="inlineStr">
        <is>
          <t>Đang nghiên cứu</t>
        </is>
      </c>
      <c r="AA51" s="49" t="n">
        <v>65</v>
      </c>
      <c r="AB51" s="28" t="inlineStr">
        <is>
          <t>https://civrowindow.com</t>
        </is>
      </c>
      <c r="AC51" s="28" t="inlineStr"/>
      <c r="AD51" s="28" t="inlineStr"/>
    </row>
    <row r="52" ht="35" customHeight="1">
      <c r="A52" s="35" t="inlineStr">
        <is>
          <t>MP-001</t>
        </is>
      </c>
      <c r="B52" s="35" t="inlineStr">
        <is>
          <t>Anodized Phổ thông</t>
        </is>
      </c>
      <c r="C52" s="35" t="inlineStr">
        <is>
          <t>R55</t>
        </is>
      </c>
      <c r="D52" s="35" t="inlineStr">
        <is>
          <t>Maxpro JP</t>
        </is>
      </c>
      <c r="E52" s="35" t="inlineStr">
        <is>
          <t>Việt Nam</t>
        </is>
      </c>
      <c r="F52" s="35" t="inlineStr">
        <is>
          <t>TCVN / JIS A 4702</t>
        </is>
      </c>
      <c r="G52" s="35" t="inlineStr">
        <is>
          <t>Cửa đi + Cửa sổ</t>
        </is>
      </c>
      <c r="H52" s="35" t="inlineStr">
        <is>
          <t>Mở quay (Casement)</t>
        </is>
      </c>
      <c r="I52" s="35" t="inlineStr">
        <is>
          <t>Khung 55mm + Cánh</t>
        </is>
      </c>
      <c r="J52" s="35" t="inlineStr">
        <is>
          <t>Nội/Ngoại thất</t>
        </is>
      </c>
      <c r="K52" s="35" t="inlineStr">
        <is>
          <t>Nhà phố, chung cư, nhà xưởng</t>
        </is>
      </c>
      <c r="L52" s="35" t="n">
        <v>1.4</v>
      </c>
      <c r="M52" s="35" t="inlineStr">
        <is>
          <t>5-10mm</t>
        </is>
      </c>
      <c r="N52" s="35" t="inlineStr">
        <is>
          <t>10mm</t>
        </is>
      </c>
      <c r="O52" s="35" t="inlineStr">
        <is>
          <t>1200×2200</t>
        </is>
      </c>
      <c r="P52" s="35" t="n">
        <v>80</v>
      </c>
      <c r="Q52" s="35" t="inlineStr">
        <is>
          <t>Rãnh C / Rãnh 22</t>
        </is>
      </c>
      <c r="R52" s="35" t="inlineStr">
        <is>
          <t>Gioăng EPDM 2 khoang / Silicon trung tính</t>
        </is>
      </c>
      <c r="S52" s="35" t="inlineStr">
        <is>
          <t>Anodized ED chuẩn Nhật JIS H8602 – bền 40 năm</t>
        </is>
      </c>
      <c r="T52" s="35" t="inlineStr">
        <is>
          <t>Anodize ED bền màu 40 năm, phụ kiện CMECH nguyên bộ, tỷ lệ bản rộng Nhật Bản tinh tế</t>
        </is>
      </c>
      <c r="U52" s="35" t="inlineStr">
        <is>
          <t>Phân phối ít ở miền Bắc</t>
        </is>
      </c>
      <c r="V52" s="35" t="inlineStr">
        <is>
          <t>✓</t>
        </is>
      </c>
      <c r="W52" s="35" t="inlineStr">
        <is>
          <t>✓</t>
        </is>
      </c>
      <c r="X52" s="35" t="inlineStr">
        <is>
          <t>✓</t>
        </is>
      </c>
      <c r="Y52" s="35" t="inlineStr">
        <is>
          <t>✓</t>
        </is>
      </c>
      <c r="Z52" s="35" t="inlineStr">
        <is>
          <t>Hoàn thành</t>
        </is>
      </c>
      <c r="AA52" s="36" t="n">
        <v>85</v>
      </c>
      <c r="AB52" s="35" t="inlineStr">
        <is>
          <t>https://maxprojp.com.vn</t>
        </is>
      </c>
      <c r="AC52" s="35" t="inlineStr">
        <is>
          <t>https://nhomkinhdaiphuc.com/catalogue/catalogue-nhom-maxpro-7.html</t>
        </is>
      </c>
      <c r="AD52" s="35" t="inlineStr"/>
    </row>
    <row r="53" ht="35" customHeight="1">
      <c r="A53" s="47" t="inlineStr">
        <is>
          <t>MP-002</t>
        </is>
      </c>
      <c r="B53" s="47" t="inlineStr">
        <is>
          <t>Anodized Trung cao cấp</t>
        </is>
      </c>
      <c r="C53" s="47" t="inlineStr">
        <is>
          <t>R65</t>
        </is>
      </c>
      <c r="D53" s="47" t="inlineStr">
        <is>
          <t>Maxpro JP</t>
        </is>
      </c>
      <c r="E53" s="47" t="inlineStr">
        <is>
          <t>Việt Nam</t>
        </is>
      </c>
      <c r="F53" s="47" t="inlineStr">
        <is>
          <t>TCVN / JIS A 4702</t>
        </is>
      </c>
      <c r="G53" s="47" t="inlineStr">
        <is>
          <t>Cửa đi + Cửa sổ</t>
        </is>
      </c>
      <c r="H53" s="47" t="inlineStr">
        <is>
          <t>Mở quay + Mở hất (Casement + Awning)</t>
        </is>
      </c>
      <c r="I53" s="47" t="inlineStr">
        <is>
          <t>Khung 65mm + Cánh</t>
        </is>
      </c>
      <c r="J53" s="47" t="inlineStr">
        <is>
          <t>Ngoại thất</t>
        </is>
      </c>
      <c r="K53" s="47" t="inlineStr">
        <is>
          <t>Biệt thự, nhà phố cao cấp, văn phòng hạng B</t>
        </is>
      </c>
      <c r="L53" s="47" t="n">
        <v>1.6</v>
      </c>
      <c r="M53" s="47" t="inlineStr">
        <is>
          <t>5-12mm / Kính hộp 20-28mm</t>
        </is>
      </c>
      <c r="N53" s="47" t="inlineStr">
        <is>
          <t>12mm</t>
        </is>
      </c>
      <c r="O53" s="47" t="inlineStr">
        <is>
          <t>1600×2800</t>
        </is>
      </c>
      <c r="P53" s="47" t="n">
        <v>150</v>
      </c>
      <c r="Q53" s="47" t="inlineStr">
        <is>
          <t>Rãnh C Euro Groove</t>
        </is>
      </c>
      <c r="R53" s="47" t="inlineStr">
        <is>
          <t>Gioăng EPDM đa khoang / Silicon Sika 11FC</t>
        </is>
      </c>
      <c r="S53" s="47" t="inlineStr">
        <is>
          <t>Anodized ED Nhật bền màu, sơn PVDF</t>
        </is>
      </c>
      <c r="T53" s="47" t="inlineStr">
        <is>
          <t>Hệ phụ kiện Nhật tích hợp sẵn, profile thanh lịch hơn hệ Trung Quốc</t>
        </is>
      </c>
      <c r="U53" s="47" t="inlineStr">
        <is>
          <t>Giá cao hơn hàng TQ 20-30%</t>
        </is>
      </c>
      <c r="V53" s="47" t="inlineStr">
        <is>
          <t>✓</t>
        </is>
      </c>
      <c r="W53" s="47" t="inlineStr">
        <is>
          <t>✓</t>
        </is>
      </c>
      <c r="X53" s="47" t="inlineStr">
        <is>
          <t>✓</t>
        </is>
      </c>
      <c r="Y53" s="47" t="inlineStr">
        <is>
          <t>✓</t>
        </is>
      </c>
      <c r="Z53" s="47" t="inlineStr">
        <is>
          <t>Hoàn thành</t>
        </is>
      </c>
      <c r="AA53" s="50" t="n">
        <v>85</v>
      </c>
      <c r="AB53" s="47" t="inlineStr">
        <is>
          <t>https://maxprojp.com.vn</t>
        </is>
      </c>
      <c r="AC53" s="47" t="inlineStr">
        <is>
          <t>https://nhomkinhdaiphuc.com/catalogue/catalogue-nhom-maxpro-7.html</t>
        </is>
      </c>
      <c r="AD53" s="47" t="inlineStr"/>
    </row>
    <row r="54" ht="35" customHeight="1">
      <c r="A54" s="42" t="inlineStr">
        <is>
          <t>MP-003</t>
        </is>
      </c>
      <c r="B54" s="42" t="inlineStr">
        <is>
          <t>Anodized Siêu cao cấp</t>
        </is>
      </c>
      <c r="C54" s="42" t="inlineStr">
        <is>
          <t>R65 Plus</t>
        </is>
      </c>
      <c r="D54" s="42" t="inlineStr">
        <is>
          <t>Maxpro JP</t>
        </is>
      </c>
      <c r="E54" s="42" t="inlineStr">
        <is>
          <t>Việt Nam</t>
        </is>
      </c>
      <c r="F54" s="42" t="inlineStr">
        <is>
          <t>TCVN / JIS</t>
        </is>
      </c>
      <c r="G54" s="42" t="inlineStr">
        <is>
          <t>Cửa đi + Cửa sổ</t>
        </is>
      </c>
      <c r="H54" s="42" t="inlineStr">
        <is>
          <t>Mở quay + Mở hất (Casement + Awning)</t>
        </is>
      </c>
      <c r="I54" s="42" t="inlineStr">
        <is>
          <t>Khung 65mm Plus + thêm gioăng giữa</t>
        </is>
      </c>
      <c r="J54" s="42" t="inlineStr">
        <is>
          <t>Ngoại thất</t>
        </is>
      </c>
      <c r="K54" s="42" t="inlineStr">
        <is>
          <t>Biệt thự cao cấp</t>
        </is>
      </c>
      <c r="L54" s="42" t="n">
        <v>1.6</v>
      </c>
      <c r="M54" s="42" t="inlineStr">
        <is>
          <t>5-20mm / Kính hộp</t>
        </is>
      </c>
      <c r="N54" s="42" t="inlineStr">
        <is>
          <t>20mm</t>
        </is>
      </c>
      <c r="O54" s="42" t="inlineStr">
        <is>
          <t>1600×2800</t>
        </is>
      </c>
      <c r="P54" s="42" t="n">
        <v>150</v>
      </c>
      <c r="Q54" s="42" t="inlineStr">
        <is>
          <t>Rãnh C Châu Âu</t>
        </is>
      </c>
      <c r="R54" s="42" t="inlineStr">
        <is>
          <t>Gioăng EPDM 3 khoang (cải tiến) / Silicon</t>
        </is>
      </c>
      <c r="S54" s="42" t="inlineStr">
        <is>
          <t>Anodized ED Nhật</t>
        </is>
      </c>
      <c r="T54" s="42" t="inlineStr">
        <is>
          <t>Cải tiến thêm gioăng giữa, kín khít hơn R65 thường</t>
        </is>
      </c>
      <c r="U54" s="42" t="inlineStr">
        <is>
          <t>Giá cao hơn R65</t>
        </is>
      </c>
      <c r="V54" s="42" t="inlineStr">
        <is>
          <t>✓</t>
        </is>
      </c>
      <c r="W54" s="42" t="inlineStr">
        <is>
          <t>✓</t>
        </is>
      </c>
      <c r="X54" s="42" t="inlineStr">
        <is>
          <t>✓</t>
        </is>
      </c>
      <c r="Y54" s="42" t="inlineStr">
        <is>
          <t>✓</t>
        </is>
      </c>
      <c r="Z54" s="42" t="inlineStr">
        <is>
          <t>Hoàn thành</t>
        </is>
      </c>
      <c r="AA54" s="43" t="n">
        <v>82</v>
      </c>
      <c r="AB54" s="42" t="inlineStr">
        <is>
          <t>https://maxprojp.com.vn</t>
        </is>
      </c>
      <c r="AC54" s="42" t="inlineStr">
        <is>
          <t>https://nhomkinhdaiphuc.com/catalogue/catalogue-nhom-maxpro-7.html</t>
        </is>
      </c>
      <c r="AD54" s="42" t="inlineStr"/>
    </row>
    <row r="55" ht="35" customHeight="1">
      <c r="A55" s="51" t="inlineStr">
        <is>
          <t>MP-004</t>
        </is>
      </c>
      <c r="B55" s="51" t="inlineStr">
        <is>
          <t>Tân cổ điển Cao cấp</t>
        </is>
      </c>
      <c r="C55" s="51" t="inlineStr">
        <is>
          <t>R70</t>
        </is>
      </c>
      <c r="D55" s="51" t="inlineStr">
        <is>
          <t>Maxpro JP</t>
        </is>
      </c>
      <c r="E55" s="51" t="inlineStr">
        <is>
          <t>Việt Nam</t>
        </is>
      </c>
      <c r="F55" s="51" t="inlineStr">
        <is>
          <t>TCVN / JIS</t>
        </is>
      </c>
      <c r="G55" s="51" t="inlineStr">
        <is>
          <t>Cửa đi</t>
        </is>
      </c>
      <c r="H55" s="51" t="inlineStr">
        <is>
          <t>Mở quay – Vát cạnh tân cổ điển</t>
        </is>
      </c>
      <c r="I55" s="51" t="inlineStr">
        <is>
          <t>Khung 70mm vát cạnh mạnh</t>
        </is>
      </c>
      <c r="J55" s="51" t="inlineStr">
        <is>
          <t>Ngoại thất</t>
        </is>
      </c>
      <c r="K55" s="51" t="inlineStr">
        <is>
          <t>Biệt thự tân cổ điển</t>
        </is>
      </c>
      <c r="L55" s="51" t="n">
        <v>2</v>
      </c>
      <c r="M55" s="51" t="inlineStr">
        <is>
          <t>5-15mm</t>
        </is>
      </c>
      <c r="N55" s="51" t="inlineStr">
        <is>
          <t>15mm</t>
        </is>
      </c>
      <c r="O55" s="51" t="inlineStr">
        <is>
          <t>1400×2800</t>
        </is>
      </c>
      <c r="P55" s="51" t="n">
        <v>180</v>
      </c>
      <c r="Q55" s="51" t="inlineStr">
        <is>
          <t>Rãnh C Châu Âu</t>
        </is>
      </c>
      <c r="R55" s="51" t="inlineStr">
        <is>
          <t>Gioăng EPDM / Silicon</t>
        </is>
      </c>
      <c r="S55" s="51" t="inlineStr">
        <is>
          <t>Anodized ED, sơn gold champagne, vân gỗ</t>
        </is>
      </c>
      <c r="T55" s="51" t="inlineStr">
        <is>
          <t>Profile vát cạnh đặc trưng tân cổ điển, không trùng hệ khác</t>
        </is>
      </c>
      <c r="U55" s="51" t="inlineStr">
        <is>
          <t>Không phù hợp phong cách hiện đại</t>
        </is>
      </c>
      <c r="V55" s="51" t="inlineStr">
        <is>
          <t>✓</t>
        </is>
      </c>
      <c r="W55" s="51" t="inlineStr">
        <is>
          <t>✓</t>
        </is>
      </c>
      <c r="X55" s="51" t="inlineStr">
        <is>
          <t>✓</t>
        </is>
      </c>
      <c r="Y55" s="51" t="inlineStr">
        <is>
          <t>✓</t>
        </is>
      </c>
      <c r="Z55" s="51" t="inlineStr">
        <is>
          <t>Hoàn thành</t>
        </is>
      </c>
      <c r="AA55" s="52" t="n">
        <v>80</v>
      </c>
      <c r="AB55" s="51" t="inlineStr">
        <is>
          <t>https://maxprojp.com.vn</t>
        </is>
      </c>
      <c r="AC55" s="51" t="inlineStr">
        <is>
          <t>https://nhomkinhdaiphuc.com/catalogue/catalogue-nhom-maxpro-7.html</t>
        </is>
      </c>
      <c r="AD55" s="51" t="inlineStr"/>
    </row>
    <row r="56" ht="35" customHeight="1">
      <c r="A56" s="53" t="inlineStr">
        <is>
          <t>MP-005</t>
        </is>
      </c>
      <c r="B56" s="53" t="inlineStr">
        <is>
          <t>Tân cổ điển Siêu cao cấp</t>
        </is>
      </c>
      <c r="C56" s="53" t="inlineStr">
        <is>
          <t>R83</t>
        </is>
      </c>
      <c r="D56" s="53" t="inlineStr">
        <is>
          <t>Maxpro JP</t>
        </is>
      </c>
      <c r="E56" s="53" t="inlineStr">
        <is>
          <t>Việt Nam</t>
        </is>
      </c>
      <c r="F56" s="53" t="inlineStr">
        <is>
          <t>TCVN / JIS</t>
        </is>
      </c>
      <c r="G56" s="53" t="inlineStr">
        <is>
          <t>Cửa đi + Cửa vòm + Cửa sổ</t>
        </is>
      </c>
      <c r="H56" s="53" t="inlineStr">
        <is>
          <t>Mở quay + Mở hất</t>
        </is>
      </c>
      <c r="I56" s="53" t="inlineStr">
        <is>
          <t>Khung 83mm vát cạnh + Cánh vòm cung</t>
        </is>
      </c>
      <c r="J56" s="53" t="inlineStr">
        <is>
          <t>Ngoại thất</t>
        </is>
      </c>
      <c r="K56" s="53" t="inlineStr">
        <is>
          <t>Biệt thự cổ điển Pháp, biệt thự vòm</t>
        </is>
      </c>
      <c r="L56" s="53" t="n">
        <v>1.8</v>
      </c>
      <c r="M56" s="53" t="inlineStr">
        <is>
          <t>5-25mm</t>
        </is>
      </c>
      <c r="N56" s="53" t="inlineStr">
        <is>
          <t>25mm</t>
        </is>
      </c>
      <c r="O56" s="53" t="inlineStr">
        <is>
          <t>2000×3500</t>
        </is>
      </c>
      <c r="P56" s="53" t="n">
        <v>200</v>
      </c>
      <c r="Q56" s="53" t="inlineStr">
        <is>
          <t>Rãnh C Châu Âu</t>
        </is>
      </c>
      <c r="R56" s="53" t="inlineStr">
        <is>
          <t>Gioăng EPDM đa khoang / Dow Corning</t>
        </is>
      </c>
      <c r="S56" s="53" t="inlineStr">
        <is>
          <t>Anodized, sơn vàng gold, vân gỗ</t>
        </is>
      </c>
      <c r="T56" s="53" t="inlineStr">
        <is>
          <t>Hệ tân cổ điển đỉnh cao, làm được cửa vòm cung phức tạp</t>
        </is>
      </c>
      <c r="U56" s="53" t="inlineStr">
        <is>
          <t>Chỉ phù hợp phong cách cổ điển</t>
        </is>
      </c>
      <c r="V56" s="53" t="inlineStr">
        <is>
          <t>✓</t>
        </is>
      </c>
      <c r="W56" s="53" t="inlineStr">
        <is>
          <t>✓</t>
        </is>
      </c>
      <c r="X56" s="53" t="inlineStr">
        <is>
          <t>✓</t>
        </is>
      </c>
      <c r="Y56" s="53" t="inlineStr">
        <is>
          <t>✓</t>
        </is>
      </c>
      <c r="Z56" s="53" t="inlineStr">
        <is>
          <t>Hoàn thành</t>
        </is>
      </c>
      <c r="AA56" s="54" t="n">
        <v>80</v>
      </c>
      <c r="AB56" s="53" t="inlineStr">
        <is>
          <t>https://maxprojp.com.vn</t>
        </is>
      </c>
      <c r="AC56" s="53" t="inlineStr">
        <is>
          <t>https://nhomkinhdaiphuc.com/catalogue/catalogue-nhom-maxpro-7.html</t>
        </is>
      </c>
      <c r="AD56" s="53" t="inlineStr"/>
    </row>
    <row r="57" ht="35" customHeight="1">
      <c r="A57" s="39" t="inlineStr">
        <is>
          <t>MP-006</t>
        </is>
      </c>
      <c r="B57" s="39" t="inlineStr">
        <is>
          <t>Thủy lực Siêu cao cấp</t>
        </is>
      </c>
      <c r="C57" s="39" t="inlineStr">
        <is>
          <t>R200 Thủy lực</t>
        </is>
      </c>
      <c r="D57" s="39" t="inlineStr">
        <is>
          <t>Maxpro JP</t>
        </is>
      </c>
      <c r="E57" s="39" t="inlineStr">
        <is>
          <t>Việt Nam</t>
        </is>
      </c>
      <c r="F57" s="39" t="inlineStr">
        <is>
          <t>TCVN</t>
        </is>
      </c>
      <c r="G57" s="39" t="inlineStr">
        <is>
          <t>Cửa đi</t>
        </is>
      </c>
      <c r="H57" s="39" t="inlineStr">
        <is>
          <t>Thủy lực (Hydraulic Door)</t>
        </is>
      </c>
      <c r="I57" s="39" t="inlineStr">
        <is>
          <t>Khung 200mm siêu nặng + Hệ thủy lực</t>
        </is>
      </c>
      <c r="J57" s="39" t="inlineStr">
        <is>
          <t>Ngoại thất</t>
        </is>
      </c>
      <c r="K57" s="39" t="inlineStr">
        <is>
          <t>Biệt thự siêu cao cấp, cửa đại sảnh</t>
        </is>
      </c>
      <c r="L57" s="39" t="n">
        <v>2</v>
      </c>
      <c r="M57" s="39" t="inlineStr">
        <is>
          <t>Kính cường lực 15-22mm</t>
        </is>
      </c>
      <c r="N57" s="39" t="inlineStr">
        <is>
          <t>22mm</t>
        </is>
      </c>
      <c r="O57" s="39" t="inlineStr">
        <is>
          <t>3000×3500</t>
        </is>
      </c>
      <c r="P57" s="39" t="n">
        <v>800</v>
      </c>
      <c r="Q57" s="39" t="inlineStr">
        <is>
          <t>Thủy lực đặc chủng Dorma/Biloba</t>
        </is>
      </c>
      <c r="R57" s="39" t="inlineStr">
        <is>
          <t>Keo silicon kết cấu / EPDM giả thép</t>
        </is>
      </c>
      <c r="S57" s="39" t="inlineStr">
        <is>
          <t>Anodized ED, sơn RAL đặc chủng</t>
        </is>
      </c>
      <c r="T57" s="39" t="inlineStr">
        <is>
          <t>Bản cánh 200mm siêu rộng, đóng mở êm tuyệt đối bằng hệ thủy lực cân bằng</t>
        </is>
      </c>
      <c r="U57" s="39" t="inlineStr">
        <is>
          <t>Giá rất cao, gia cố nền sàn đặc biệt</t>
        </is>
      </c>
      <c r="V57" s="39" t="inlineStr">
        <is>
          <t>✓</t>
        </is>
      </c>
      <c r="W57" s="39" t="inlineStr">
        <is>
          <t>✓</t>
        </is>
      </c>
      <c r="X57" s="39" t="inlineStr">
        <is>
          <t>✓</t>
        </is>
      </c>
      <c r="Y57" s="39" t="inlineStr">
        <is>
          <t>✓</t>
        </is>
      </c>
      <c r="Z57" s="39" t="inlineStr">
        <is>
          <t>Hoàn thành</t>
        </is>
      </c>
      <c r="AA57" s="55" t="n">
        <v>75</v>
      </c>
      <c r="AB57" s="39" t="inlineStr">
        <is>
          <t>https://maxprojp.com.vn</t>
        </is>
      </c>
      <c r="AC57" s="39" t="inlineStr">
        <is>
          <t>https://nhomkinhdaiphuc.com/catalogue/catalogue-nhom-maxpro-7.html</t>
        </is>
      </c>
      <c r="AD57" s="39" t="inlineStr"/>
    </row>
    <row r="58" ht="35" customHeight="1">
      <c r="A58" s="16" t="inlineStr">
        <is>
          <t>MP-007</t>
        </is>
      </c>
      <c r="B58" s="16" t="inlineStr">
        <is>
          <t>Trượt lùa Trung cấp</t>
        </is>
      </c>
      <c r="C58" s="16" t="inlineStr">
        <is>
          <t>SW55</t>
        </is>
      </c>
      <c r="D58" s="16" t="inlineStr">
        <is>
          <t>Maxpro JP</t>
        </is>
      </c>
      <c r="E58" s="16" t="inlineStr">
        <is>
          <t>Việt Nam</t>
        </is>
      </c>
      <c r="F58" s="16" t="inlineStr">
        <is>
          <t>TCVN</t>
        </is>
      </c>
      <c r="G58" s="16" t="inlineStr">
        <is>
          <t>Cửa sổ</t>
        </is>
      </c>
      <c r="H58" s="16" t="inlineStr">
        <is>
          <t>Trượt lùa (Sliding Window)</t>
        </is>
      </c>
      <c r="I58" s="16" t="inlineStr">
        <is>
          <t>Khung SW 55mm + Cánh trượt</t>
        </is>
      </c>
      <c r="J58" s="16" t="inlineStr">
        <is>
          <t>Ngoại thất</t>
        </is>
      </c>
      <c r="K58" s="16" t="inlineStr">
        <is>
          <t>Nhà phố phổ thông</t>
        </is>
      </c>
      <c r="L58" s="16" t="n">
        <v>1.4</v>
      </c>
      <c r="M58" s="16" t="inlineStr">
        <is>
          <t>5-10mm</t>
        </is>
      </c>
      <c r="N58" s="16" t="inlineStr">
        <is>
          <t>10mm</t>
        </is>
      </c>
      <c r="O58" s="16" t="inlineStr">
        <is>
          <t>2400×1800</t>
        </is>
      </c>
      <c r="P58" s="16" t="n">
        <v>80</v>
      </c>
      <c r="Q58" s="16" t="inlineStr">
        <is>
          <t>Rãnh 22 / Rãnh C</t>
        </is>
      </c>
      <c r="R58" s="16" t="inlineStr">
        <is>
          <t>Gioăng EPDM / Silicon</t>
        </is>
      </c>
      <c r="S58" s="16" t="inlineStr">
        <is>
          <t>Anodized ED Nhật, sơn tĩnh điện</t>
        </is>
      </c>
      <c r="T58" s="16" t="inlineStr">
        <is>
          <t>Trượt êm, giá cạnh tranh, Anodized ED bền 40 năm</t>
        </is>
      </c>
      <c r="U58" s="16" t="inlineStr">
        <is>
          <t>Kín khít trung bình</t>
        </is>
      </c>
      <c r="V58" s="16" t="inlineStr">
        <is>
          <t>✓</t>
        </is>
      </c>
      <c r="W58" s="16" t="inlineStr">
        <is>
          <t>✗</t>
        </is>
      </c>
      <c r="X58" s="16" t="inlineStr">
        <is>
          <t>✓</t>
        </is>
      </c>
      <c r="Y58" s="16" t="inlineStr">
        <is>
          <t>✓</t>
        </is>
      </c>
      <c r="Z58" s="16" t="inlineStr">
        <is>
          <t>Hoàn thành</t>
        </is>
      </c>
      <c r="AA58" s="56" t="n">
        <v>75</v>
      </c>
      <c r="AB58" s="16" t="inlineStr">
        <is>
          <t>https://maxprojp.com.vn</t>
        </is>
      </c>
      <c r="AC58" s="16" t="inlineStr">
        <is>
          <t>https://nhomkinhdaiphuc.com/catalogue/catalogue-nhom-maxpro-7.html</t>
        </is>
      </c>
      <c r="AD58" s="16" t="inlineStr"/>
    </row>
    <row r="59" ht="35" customHeight="1">
      <c r="A59" s="18" t="inlineStr">
        <is>
          <t>MP-008</t>
        </is>
      </c>
      <c r="B59" s="18" t="inlineStr">
        <is>
          <t>Trượt lùa Cao cấp</t>
        </is>
      </c>
      <c r="C59" s="18" t="inlineStr">
        <is>
          <t>SD83</t>
        </is>
      </c>
      <c r="D59" s="18" t="inlineStr">
        <is>
          <t>Maxpro JP</t>
        </is>
      </c>
      <c r="E59" s="18" t="inlineStr">
        <is>
          <t>Việt Nam</t>
        </is>
      </c>
      <c r="F59" s="18" t="inlineStr">
        <is>
          <t>TCVN</t>
        </is>
      </c>
      <c r="G59" s="18" t="inlineStr">
        <is>
          <t>Cửa đi</t>
        </is>
      </c>
      <c r="H59" s="18" t="inlineStr">
        <is>
          <t>Trượt lùa phẳng (Sliding Door)</t>
        </is>
      </c>
      <c r="I59" s="18" t="inlineStr">
        <is>
          <t>Khung SD 83mm + Cánh</t>
        </is>
      </c>
      <c r="J59" s="18" t="inlineStr">
        <is>
          <t>Ngoại thất</t>
        </is>
      </c>
      <c r="K59" s="18" t="inlineStr">
        <is>
          <t>Nhà phố, biệt thự</t>
        </is>
      </c>
      <c r="L59" s="18" t="n">
        <v>1.6</v>
      </c>
      <c r="M59" s="18" t="inlineStr">
        <is>
          <t>8-12mm / Kính hộp 20-28mm</t>
        </is>
      </c>
      <c r="N59" s="18" t="inlineStr">
        <is>
          <t>12mm</t>
        </is>
      </c>
      <c r="O59" s="18" t="inlineStr">
        <is>
          <t>4000×2400</t>
        </is>
      </c>
      <c r="P59" s="18" t="n">
        <v>150</v>
      </c>
      <c r="Q59" s="18" t="inlineStr">
        <is>
          <t>Ray inox SUS304</t>
        </is>
      </c>
      <c r="R59" s="18" t="inlineStr">
        <is>
          <t>Gioăng EPDM / Dow Corning</t>
        </is>
      </c>
      <c r="S59" s="18" t="inlineStr">
        <is>
          <t>Anodized ED Nhật</t>
        </is>
      </c>
      <c r="T59" s="18" t="inlineStr">
        <is>
          <t>Trượt êm hệ Nhật, Anodized ED bền 40 năm</t>
        </is>
      </c>
      <c r="U59" s="18" t="inlineStr">
        <is>
          <t>Kín khít kém hơn Lift Slide</t>
        </is>
      </c>
      <c r="V59" s="18" t="inlineStr">
        <is>
          <t>✓</t>
        </is>
      </c>
      <c r="W59" s="18" t="inlineStr">
        <is>
          <t>✓</t>
        </is>
      </c>
      <c r="X59" s="18" t="inlineStr">
        <is>
          <t>✓</t>
        </is>
      </c>
      <c r="Y59" s="18" t="inlineStr">
        <is>
          <t>✓</t>
        </is>
      </c>
      <c r="Z59" s="18" t="inlineStr">
        <is>
          <t>Hoàn thành</t>
        </is>
      </c>
      <c r="AA59" s="19" t="n">
        <v>80</v>
      </c>
      <c r="AB59" s="18" t="inlineStr">
        <is>
          <t>https://maxprojp.com.vn</t>
        </is>
      </c>
      <c r="AC59" s="18" t="inlineStr">
        <is>
          <t>https://nhomkinhdaiphuc.com/catalogue/catalogue-nhom-maxpro-7.html</t>
        </is>
      </c>
      <c r="AD59" s="18" t="inlineStr"/>
    </row>
    <row r="60" ht="35" customHeight="1">
      <c r="A60" s="57" t="inlineStr">
        <is>
          <t>MP-009</t>
        </is>
      </c>
      <c r="B60" s="57" t="inlineStr">
        <is>
          <t>Trượt lùa Siêu cao cấp</t>
        </is>
      </c>
      <c r="C60" s="57" t="inlineStr">
        <is>
          <t>SD115 Chống bão</t>
        </is>
      </c>
      <c r="D60" s="57" t="inlineStr">
        <is>
          <t>Maxpro JP</t>
        </is>
      </c>
      <c r="E60" s="57" t="inlineStr">
        <is>
          <t>Việt Nam</t>
        </is>
      </c>
      <c r="F60" s="57" t="inlineStr">
        <is>
          <t>TCVN</t>
        </is>
      </c>
      <c r="G60" s="57" t="inlineStr">
        <is>
          <t>Cửa đi</t>
        </is>
      </c>
      <c r="H60" s="57" t="inlineStr">
        <is>
          <t>Trượt lùa chịu bão (Storm Resistant Sliding)</t>
        </is>
      </c>
      <c r="I60" s="57" t="inlineStr">
        <is>
          <t>Khung SD 115mm + Cánh siêu dày</t>
        </is>
      </c>
      <c r="J60" s="57" t="inlineStr">
        <is>
          <t>Ngoại thất – Biển</t>
        </is>
      </c>
      <c r="K60" s="57" t="inlineStr">
        <is>
          <t>Biệt thự biển, resort duyên hải chịu bão cấp 14</t>
        </is>
      </c>
      <c r="L60" s="57" t="n">
        <v>2.5</v>
      </c>
      <c r="M60" s="57" t="inlineStr">
        <is>
          <t>Kính hộp chống bão 24-36mm</t>
        </is>
      </c>
      <c r="N60" s="57" t="inlineStr">
        <is>
          <t>15mm</t>
        </is>
      </c>
      <c r="O60" s="57" t="inlineStr">
        <is>
          <t>5000×2600</t>
        </is>
      </c>
      <c r="P60" s="57" t="n">
        <v>300</v>
      </c>
      <c r="Q60" s="57" t="inlineStr">
        <is>
          <t>Ray inox SUS316L chống muối biển</t>
        </is>
      </c>
      <c r="R60" s="57" t="inlineStr">
        <is>
          <t>Gioăng EPDM cầu cách nhiệt / Silicon Dow Corning</t>
        </is>
      </c>
      <c r="S60" s="57" t="inlineStr">
        <is>
          <t>Anodized ED chống muối biển AS 1734-5</t>
        </is>
      </c>
      <c r="T60" s="57" t="inlineStr">
        <is>
          <t>Chịu gió bão cấp 14, kín nước EN 12208 Cls 9A, chịu muối biển lâu dài</t>
        </is>
      </c>
      <c r="U60" s="57" t="inlineStr">
        <is>
          <t>Giá rất cao, nặng</t>
        </is>
      </c>
      <c r="V60" s="57" t="inlineStr">
        <is>
          <t>✓</t>
        </is>
      </c>
      <c r="W60" s="57" t="inlineStr">
        <is>
          <t>✓</t>
        </is>
      </c>
      <c r="X60" s="57" t="inlineStr">
        <is>
          <t>✓</t>
        </is>
      </c>
      <c r="Y60" s="57" t="inlineStr">
        <is>
          <t>✓</t>
        </is>
      </c>
      <c r="Z60" s="57" t="inlineStr">
        <is>
          <t>Hoàn thành</t>
        </is>
      </c>
      <c r="AA60" s="58" t="n">
        <v>80</v>
      </c>
      <c r="AB60" s="57" t="inlineStr">
        <is>
          <t>https://maxprojp.com.vn</t>
        </is>
      </c>
      <c r="AC60" s="57" t="inlineStr">
        <is>
          <t>https://nhomkinhdaiphuc.com/catalogue/catalogue-nhom-maxpro-7.html</t>
        </is>
      </c>
      <c r="AD60" s="57" t="inlineStr"/>
    </row>
    <row r="61" ht="35" customHeight="1">
      <c r="A61" s="31" t="inlineStr">
        <is>
          <t>MP-010</t>
        </is>
      </c>
      <c r="B61" s="31" t="inlineStr">
        <is>
          <t>Xếp trượt Cao cấp</t>
        </is>
      </c>
      <c r="C61" s="31" t="inlineStr">
        <is>
          <t>SFD80</t>
        </is>
      </c>
      <c r="D61" s="31" t="inlineStr">
        <is>
          <t>Maxpro JP</t>
        </is>
      </c>
      <c r="E61" s="31" t="inlineStr">
        <is>
          <t>Việt Nam</t>
        </is>
      </c>
      <c r="F61" s="31" t="inlineStr">
        <is>
          <t>TCVN</t>
        </is>
      </c>
      <c r="G61" s="31" t="inlineStr">
        <is>
          <t>Cửa đi</t>
        </is>
      </c>
      <c r="H61" s="31" t="inlineStr">
        <is>
          <t>Xếp trượt (Folding Sliding Door)</t>
        </is>
      </c>
      <c r="I61" s="31" t="inlineStr">
        <is>
          <t>Cánh xếp gấp 80mm + Bản lề xếp</t>
        </is>
      </c>
      <c r="J61" s="31" t="inlineStr">
        <is>
          <t>Ngoại thất</t>
        </is>
      </c>
      <c r="K61" s="31" t="inlineStr">
        <is>
          <t>Biệt thự, nhà hàng, không gian mở</t>
        </is>
      </c>
      <c r="L61" s="31" t="n">
        <v>1.8</v>
      </c>
      <c r="M61" s="31" t="inlineStr">
        <is>
          <t>Kính cường lực 8-12mm</t>
        </is>
      </c>
      <c r="N61" s="31" t="inlineStr">
        <is>
          <t>12mm</t>
        </is>
      </c>
      <c r="O61" s="31" t="inlineStr">
        <is>
          <t>5000×2800</t>
        </is>
      </c>
      <c r="P61" s="31" t="n">
        <v>40</v>
      </c>
      <c r="Q61" s="31" t="inlineStr">
        <is>
          <t>OPK Bi-fold / Roto Fold</t>
        </is>
      </c>
      <c r="R61" s="31" t="inlineStr">
        <is>
          <t>Gioăng EPDM / Silicon</t>
        </is>
      </c>
      <c r="S61" s="31" t="inlineStr">
        <is>
          <t>Anodized ED Nhật, sơn tĩnh điện</t>
        </is>
      </c>
      <c r="T61" s="31" t="inlineStr">
        <is>
          <t>Mở toàn bộ không gian Nhật, bền bỉ phụ kiện Nhật</t>
        </is>
      </c>
      <c r="U61" s="31" t="inlineStr">
        <is>
          <t>Kín khít thấp nhất trong hệ lùa</t>
        </is>
      </c>
      <c r="V61" s="31" t="inlineStr">
        <is>
          <t>✓</t>
        </is>
      </c>
      <c r="W61" s="31" t="inlineStr">
        <is>
          <t>✓</t>
        </is>
      </c>
      <c r="X61" s="31" t="inlineStr">
        <is>
          <t>✓</t>
        </is>
      </c>
      <c r="Y61" s="31" t="inlineStr">
        <is>
          <t>✓</t>
        </is>
      </c>
      <c r="Z61" s="31" t="inlineStr">
        <is>
          <t>Đang nghiên cứu</t>
        </is>
      </c>
      <c r="AA61" s="41" t="n">
        <v>65</v>
      </c>
      <c r="AB61" s="31" t="inlineStr">
        <is>
          <t>https://maxprojp.com.vn</t>
        </is>
      </c>
      <c r="AC61" s="31" t="inlineStr">
        <is>
          <t>https://nhomkinhdaiphuc.com/catalogue/catalogue-nhom-maxpro-7.html</t>
        </is>
      </c>
      <c r="AD61" s="31" t="inlineStr"/>
    </row>
    <row r="62" ht="35" customHeight="1">
      <c r="A62" s="59" t="inlineStr">
        <is>
          <t>MP-011</t>
        </is>
      </c>
      <c r="B62" s="59" t="inlineStr">
        <is>
          <t>Lam chắn nắng</t>
        </is>
      </c>
      <c r="C62" s="59" t="inlineStr">
        <is>
          <t>GW65</t>
        </is>
      </c>
      <c r="D62" s="59" t="inlineStr">
        <is>
          <t>Maxpro JP</t>
        </is>
      </c>
      <c r="E62" s="59" t="inlineStr">
        <is>
          <t>Việt Nam</t>
        </is>
      </c>
      <c r="F62" s="59" t="inlineStr">
        <is>
          <t>TCVN</t>
        </is>
      </c>
      <c r="G62" s="59" t="inlineStr">
        <is>
          <t>Lam chắn nắng</t>
        </is>
      </c>
      <c r="H62" s="59" t="inlineStr">
        <is>
          <t>Cố định / Xoay (Fixed / Motorized Louvres)</t>
        </is>
      </c>
      <c r="I62" s="59" t="inlineStr">
        <is>
          <t>Profile lam 65mm xoay</t>
        </is>
      </c>
      <c r="J62" s="59" t="inlineStr">
        <is>
          <t>Ngoại thất</t>
        </is>
      </c>
      <c r="K62" s="59" t="inlineStr">
        <is>
          <t>Mặt ngoài công trình, ban công, sân thượng</t>
        </is>
      </c>
      <c r="L62" s="59" t="n">
        <v>1.6</v>
      </c>
      <c r="M62" s="59" t="inlineStr">
        <is>
          <t>Không dùng kính</t>
        </is>
      </c>
      <c r="N62" s="59" t="inlineStr">
        <is>
          <t>N/A</t>
        </is>
      </c>
      <c r="O62" s="59" t="inlineStr">
        <is>
          <t>Không giới hạn</t>
        </is>
      </c>
      <c r="P62" s="59" t="n">
        <v>50</v>
      </c>
      <c r="Q62" s="59" t="inlineStr">
        <is>
          <t>Hệ xoay cơ / Mô tơ tự động</t>
        </is>
      </c>
      <c r="R62" s="59" t="inlineStr">
        <is>
          <t>Không cần keo</t>
        </is>
      </c>
      <c r="S62" s="59" t="inlineStr">
        <is>
          <t>Anodized, sơn tĩnh điện chịu UV</t>
        </is>
      </c>
      <c r="T62" s="59" t="inlineStr">
        <is>
          <t>Chắn nắng điều tiết ánh sáng, thẩm mỹ hiện đại mặt công trình</t>
        </is>
      </c>
      <c r="U62" s="59" t="inlineStr">
        <is>
          <t>Cần bảo trì mô tơ định kỳ</t>
        </is>
      </c>
      <c r="V62" s="59" t="inlineStr">
        <is>
          <t>✓</t>
        </is>
      </c>
      <c r="W62" s="59" t="inlineStr">
        <is>
          <t>✗</t>
        </is>
      </c>
      <c r="X62" s="59" t="inlineStr">
        <is>
          <t>✓</t>
        </is>
      </c>
      <c r="Y62" s="59" t="inlineStr">
        <is>
          <t>✓</t>
        </is>
      </c>
      <c r="Z62" s="59" t="inlineStr">
        <is>
          <t>Đang nghiên cứu</t>
        </is>
      </c>
      <c r="AA62" s="60" t="n">
        <v>55</v>
      </c>
      <c r="AB62" s="59" t="inlineStr">
        <is>
          <t>https://maxprojp.com.vn</t>
        </is>
      </c>
      <c r="AC62" s="59" t="inlineStr">
        <is>
          <t>https://nhomkinhdaiphuc.com/catalogue/catalogue-nhom-maxpro-7.html</t>
        </is>
      </c>
      <c r="AD62" s="59" t="inlineStr"/>
    </row>
    <row r="63" ht="35" customHeight="1">
      <c r="A63" s="33" t="inlineStr">
        <is>
          <t>SC-001</t>
        </is>
      </c>
      <c r="B63" s="33" t="inlineStr">
        <is>
          <t>Anodized Cao cấp</t>
        </is>
      </c>
      <c r="C63" s="33" t="inlineStr">
        <is>
          <t>Soco 65</t>
        </is>
      </c>
      <c r="D63" s="33" t="inlineStr">
        <is>
          <t>Soco</t>
        </is>
      </c>
      <c r="E63" s="33" t="inlineStr">
        <is>
          <t>Việt Nam</t>
        </is>
      </c>
      <c r="F63" s="33" t="inlineStr">
        <is>
          <t>EN Châu Âu</t>
        </is>
      </c>
      <c r="G63" s="33" t="inlineStr">
        <is>
          <t>Cửa đi + Cửa sổ</t>
        </is>
      </c>
      <c r="H63" s="33" t="inlineStr">
        <is>
          <t>Mở quay + Mở hất (Casement + Awning)</t>
        </is>
      </c>
      <c r="I63" s="33" t="inlineStr">
        <is>
          <t>Khung 65mm rãnh C</t>
        </is>
      </c>
      <c r="J63" s="33" t="inlineStr">
        <is>
          <t>Ngoại thất</t>
        </is>
      </c>
      <c r="K63" s="33" t="inlineStr">
        <is>
          <t>Biệt thự, nhà phố cao cấp</t>
        </is>
      </c>
      <c r="L63" s="33" t="n">
        <v>1.6</v>
      </c>
      <c r="M63" s="33" t="inlineStr">
        <is>
          <t>5-12mm / Kính hộp 20-28mm</t>
        </is>
      </c>
      <c r="N63" s="33" t="inlineStr">
        <is>
          <t>12mm</t>
        </is>
      </c>
      <c r="O63" s="33" t="inlineStr">
        <is>
          <t>1600×2800</t>
        </is>
      </c>
      <c r="P63" s="33" t="n">
        <v>150</v>
      </c>
      <c r="Q63" s="33" t="inlineStr">
        <is>
          <t>Rãnh C Châu Âu – Cmech/Sigico/Bogo</t>
        </is>
      </c>
      <c r="R63" s="33" t="inlineStr">
        <is>
          <t>Gioăng EPDM đa khoang / Silicon</t>
        </is>
      </c>
      <c r="S63" s="33" t="inlineStr">
        <is>
          <t>Anodized vàng ánh kim Champagne đặc trưng Soco</t>
        </is>
      </c>
      <c r="T63" s="33" t="inlineStr">
        <is>
          <t>Màu Champagne đặc trưng sang trọng, rãnh C Châu Âu đầy đủ phụ kiện</t>
        </is>
      </c>
      <c r="U63" s="33" t="inlineStr">
        <is>
          <t>Ít phân phối ngoài miền Nam</t>
        </is>
      </c>
      <c r="V63" s="33" t="inlineStr">
        <is>
          <t>✓</t>
        </is>
      </c>
      <c r="W63" s="33" t="inlineStr">
        <is>
          <t>✓</t>
        </is>
      </c>
      <c r="X63" s="33" t="inlineStr">
        <is>
          <t>✓</t>
        </is>
      </c>
      <c r="Y63" s="33" t="inlineStr">
        <is>
          <t>✓</t>
        </is>
      </c>
      <c r="Z63" s="33" t="inlineStr">
        <is>
          <t>Hoàn thành</t>
        </is>
      </c>
      <c r="AA63" s="34" t="n">
        <v>80</v>
      </c>
      <c r="AB63" s="33" t="inlineStr">
        <is>
          <t>https://nhomsocowindow.com</t>
        </is>
      </c>
      <c r="AC63" s="33" t="inlineStr"/>
      <c r="AD63" s="33" t="inlineStr"/>
    </row>
    <row r="64" ht="35" customHeight="1">
      <c r="A64" s="16" t="inlineStr">
        <is>
          <t>SC-002</t>
        </is>
      </c>
      <c r="B64" s="16" t="inlineStr">
        <is>
          <t>Trượt lùa Trung cấp</t>
        </is>
      </c>
      <c r="C64" s="16" t="inlineStr">
        <is>
          <t>Soco 94</t>
        </is>
      </c>
      <c r="D64" s="16" t="inlineStr">
        <is>
          <t>Soco</t>
        </is>
      </c>
      <c r="E64" s="16" t="inlineStr">
        <is>
          <t>Việt Nam</t>
        </is>
      </c>
      <c r="F64" s="16" t="inlineStr">
        <is>
          <t>EN Châu Âu</t>
        </is>
      </c>
      <c r="G64" s="16" t="inlineStr">
        <is>
          <t>Cửa đi</t>
        </is>
      </c>
      <c r="H64" s="16" t="inlineStr">
        <is>
          <t>Trượt lùa 2 ray (Sliding)</t>
        </is>
      </c>
      <c r="I64" s="16" t="inlineStr">
        <is>
          <t>Khung 94mm + Ray inox</t>
        </is>
      </c>
      <c r="J64" s="16" t="inlineStr">
        <is>
          <t>Ngoại thất</t>
        </is>
      </c>
      <c r="K64" s="16" t="inlineStr">
        <is>
          <t>Nhà phố, biệt thự</t>
        </is>
      </c>
      <c r="L64" s="16" t="n">
        <v>1.6</v>
      </c>
      <c r="M64" s="16" t="inlineStr">
        <is>
          <t>6-12mm</t>
        </is>
      </c>
      <c r="N64" s="16" t="inlineStr">
        <is>
          <t>12mm</t>
        </is>
      </c>
      <c r="O64" s="16" t="inlineStr">
        <is>
          <t>4000×2600</t>
        </is>
      </c>
      <c r="P64" s="16" t="n">
        <v>150</v>
      </c>
      <c r="Q64" s="16" t="inlineStr">
        <is>
          <t>Ray inox SUS304</t>
        </is>
      </c>
      <c r="R64" s="16" t="inlineStr">
        <is>
          <t>Gioăng EPDM / Silicon</t>
        </is>
      </c>
      <c r="S64" s="16" t="inlineStr">
        <is>
          <t>Anodized Champagne, sơn tĩnh điện</t>
        </is>
      </c>
      <c r="T64" s="16" t="inlineStr">
        <is>
          <t>Trượt êm ray inox, màu Champagne sang trọng</t>
        </is>
      </c>
      <c r="U64" s="16" t="inlineStr">
        <is>
          <t>Kín khít trung bình</t>
        </is>
      </c>
      <c r="V64" s="16" t="inlineStr">
        <is>
          <t>✓</t>
        </is>
      </c>
      <c r="W64" s="16" t="inlineStr">
        <is>
          <t>✓</t>
        </is>
      </c>
      <c r="X64" s="16" t="inlineStr">
        <is>
          <t>✓</t>
        </is>
      </c>
      <c r="Y64" s="16" t="inlineStr">
        <is>
          <t>✓</t>
        </is>
      </c>
      <c r="Z64" s="16" t="inlineStr">
        <is>
          <t>Hoàn thành</t>
        </is>
      </c>
      <c r="AA64" s="56" t="n">
        <v>78</v>
      </c>
      <c r="AB64" s="16" t="inlineStr">
        <is>
          <t>https://nhomsocowindow.com</t>
        </is>
      </c>
      <c r="AC64" s="16" t="inlineStr"/>
      <c r="AD64" s="16" t="inlineStr"/>
    </row>
    <row r="65" ht="35" customHeight="1">
      <c r="A65" s="18" t="inlineStr">
        <is>
          <t>SC-003</t>
        </is>
      </c>
      <c r="B65" s="18" t="inlineStr">
        <is>
          <t>Trượt lùa Cao cấp</t>
        </is>
      </c>
      <c r="C65" s="18" t="inlineStr">
        <is>
          <t>Soco 120</t>
        </is>
      </c>
      <c r="D65" s="18" t="inlineStr">
        <is>
          <t>Soco</t>
        </is>
      </c>
      <c r="E65" s="18" t="inlineStr">
        <is>
          <t>Việt Nam</t>
        </is>
      </c>
      <c r="F65" s="18" t="inlineStr">
        <is>
          <t>EN Châu Âu</t>
        </is>
      </c>
      <c r="G65" s="18" t="inlineStr">
        <is>
          <t>Cửa đi</t>
        </is>
      </c>
      <c r="H65" s="18" t="inlineStr">
        <is>
          <t>Trượt lùa 2 ray (Sliding)</t>
        </is>
      </c>
      <c r="I65" s="18" t="inlineStr">
        <is>
          <t>Khung 120mm + Ray inox SUS316</t>
        </is>
      </c>
      <c r="J65" s="18" t="inlineStr">
        <is>
          <t>Ngoại thất</t>
        </is>
      </c>
      <c r="K65" s="18" t="inlineStr">
        <is>
          <t>Biệt thự, ban công rộng</t>
        </is>
      </c>
      <c r="L65" s="18" t="n">
        <v>1.8</v>
      </c>
      <c r="M65" s="18" t="inlineStr">
        <is>
          <t>6-15mm / Kính hộp 24-36mm</t>
        </is>
      </c>
      <c r="N65" s="18" t="inlineStr">
        <is>
          <t>15mm</t>
        </is>
      </c>
      <c r="O65" s="18" t="inlineStr">
        <is>
          <t>5000×2800</t>
        </is>
      </c>
      <c r="P65" s="18" t="n">
        <v>200</v>
      </c>
      <c r="Q65" s="18" t="inlineStr">
        <is>
          <t>Ray inox SUS316L</t>
        </is>
      </c>
      <c r="R65" s="18" t="inlineStr">
        <is>
          <t>Gioăng EPDM kép / Dow Corning</t>
        </is>
      </c>
      <c r="S65" s="18" t="inlineStr">
        <is>
          <t>Anodized Champagne ED</t>
        </is>
      </c>
      <c r="T65" s="18" t="inlineStr">
        <is>
          <t>Phù hợp biệt thự biển, ray inox 316 chống muối</t>
        </is>
      </c>
      <c r="U65" s="18" t="inlineStr">
        <is>
          <t>Giá cao</t>
        </is>
      </c>
      <c r="V65" s="18" t="inlineStr">
        <is>
          <t>✓</t>
        </is>
      </c>
      <c r="W65" s="18" t="inlineStr">
        <is>
          <t>✓</t>
        </is>
      </c>
      <c r="X65" s="18" t="inlineStr">
        <is>
          <t>✓</t>
        </is>
      </c>
      <c r="Y65" s="18" t="inlineStr">
        <is>
          <t>✓</t>
        </is>
      </c>
      <c r="Z65" s="18" t="inlineStr">
        <is>
          <t>Hoàn thành</t>
        </is>
      </c>
      <c r="AA65" s="19" t="n">
        <v>80</v>
      </c>
      <c r="AB65" s="18" t="inlineStr">
        <is>
          <t>https://nhomsocowindow.com</t>
        </is>
      </c>
      <c r="AC65" s="18" t="inlineStr"/>
      <c r="AD65" s="18" t="inlineStr"/>
    </row>
    <row r="66" ht="35" customHeight="1">
      <c r="A66" s="57" t="inlineStr">
        <is>
          <t>SC-004</t>
        </is>
      </c>
      <c r="B66" s="57" t="inlineStr">
        <is>
          <t>Trượt lùa Siêu cao cấp</t>
        </is>
      </c>
      <c r="C66" s="57" t="inlineStr">
        <is>
          <t>Soco 180</t>
        </is>
      </c>
      <c r="D66" s="57" t="inlineStr">
        <is>
          <t>Soco</t>
        </is>
      </c>
      <c r="E66" s="57" t="inlineStr">
        <is>
          <t>Việt Nam</t>
        </is>
      </c>
      <c r="F66" s="57" t="inlineStr">
        <is>
          <t>EN Châu Âu</t>
        </is>
      </c>
      <c r="G66" s="57" t="inlineStr">
        <is>
          <t>Cửa đi</t>
        </is>
      </c>
      <c r="H66" s="57" t="inlineStr">
        <is>
          <t>Trượt lùa 3 ray (Sliding)</t>
        </is>
      </c>
      <c r="I66" s="57" t="inlineStr">
        <is>
          <t>Khung 180mm + Ray inox SUS316</t>
        </is>
      </c>
      <c r="J66" s="57" t="inlineStr">
        <is>
          <t>Ngoại thất</t>
        </is>
      </c>
      <c r="K66" s="57" t="inlineStr">
        <is>
          <t>Biệt thự, resort cao cấp</t>
        </is>
      </c>
      <c r="L66" s="57" t="n">
        <v>2</v>
      </c>
      <c r="M66" s="57" t="inlineStr">
        <is>
          <t>Kính hộp đến 36mm</t>
        </is>
      </c>
      <c r="N66" s="57" t="inlineStr">
        <is>
          <t>15mm</t>
        </is>
      </c>
      <c r="O66" s="57" t="inlineStr">
        <is>
          <t>7000×2800</t>
        </is>
      </c>
      <c r="P66" s="57" t="n">
        <v>250</v>
      </c>
      <c r="Q66" s="57" t="inlineStr">
        <is>
          <t>Ray inox SUS316L</t>
        </is>
      </c>
      <c r="R66" s="57" t="inlineStr">
        <is>
          <t>Gioăng EPDM 3 lớp / Dow Corning</t>
        </is>
      </c>
      <c r="S66" s="57" t="inlineStr">
        <is>
          <t>Anodized Champagne ED chống muối biển</t>
        </is>
      </c>
      <c r="T66" s="57" t="inlineStr">
        <is>
          <t>Cửa lùa 3 ray, mở rộng tối đa, chống muối biển</t>
        </is>
      </c>
      <c r="U66" s="57" t="inlineStr">
        <is>
          <t>Chi phí cao</t>
        </is>
      </c>
      <c r="V66" s="57" t="inlineStr">
        <is>
          <t>✓</t>
        </is>
      </c>
      <c r="W66" s="57" t="inlineStr">
        <is>
          <t>✓</t>
        </is>
      </c>
      <c r="X66" s="57" t="inlineStr">
        <is>
          <t>✓</t>
        </is>
      </c>
      <c r="Y66" s="57" t="inlineStr">
        <is>
          <t>✓</t>
        </is>
      </c>
      <c r="Z66" s="57" t="inlineStr">
        <is>
          <t>Hoàn thành</t>
        </is>
      </c>
      <c r="AA66" s="61" t="n">
        <v>75</v>
      </c>
      <c r="AB66" s="57" t="inlineStr">
        <is>
          <t>https://nhomsocowindow.com</t>
        </is>
      </c>
      <c r="AC66" s="57" t="inlineStr"/>
      <c r="AD66" s="57" t="inlineStr"/>
    </row>
    <row r="67" ht="35" customHeight="1">
      <c r="A67" s="45" t="inlineStr">
        <is>
          <t>SC-005</t>
        </is>
      </c>
      <c r="B67" s="45" t="inlineStr">
        <is>
          <t>Lift &amp; Slide Siêu cao cấp</t>
        </is>
      </c>
      <c r="C67" s="45" t="inlineStr">
        <is>
          <t>Soco LS100</t>
        </is>
      </c>
      <c r="D67" s="45" t="inlineStr">
        <is>
          <t>Soco</t>
        </is>
      </c>
      <c r="E67" s="45" t="inlineStr">
        <is>
          <t>Việt Nam</t>
        </is>
      </c>
      <c r="F67" s="45" t="inlineStr">
        <is>
          <t>EN 13830/12208</t>
        </is>
      </c>
      <c r="G67" s="45" t="inlineStr">
        <is>
          <t>Cửa đi</t>
        </is>
      </c>
      <c r="H67" s="45" t="inlineStr">
        <is>
          <t>Trượt nâng (Lift &amp; Slide)</t>
        </is>
      </c>
      <c r="I67" s="45" t="inlineStr">
        <is>
          <t>Khung nặng đặc biệt + Ray Lift Slide</t>
        </is>
      </c>
      <c r="J67" s="45" t="inlineStr">
        <is>
          <t>Ngoại thất</t>
        </is>
      </c>
      <c r="K67" s="45" t="inlineStr">
        <is>
          <t>Biệt thự siêu sang, penthouse, resort</t>
        </is>
      </c>
      <c r="L67" s="45" t="n">
        <v>2.5</v>
      </c>
      <c r="M67" s="45" t="inlineStr">
        <is>
          <t>Kính hộp 32-60mm / Kính 3 lớp</t>
        </is>
      </c>
      <c r="N67" s="45" t="inlineStr">
        <is>
          <t>22mm</t>
        </is>
      </c>
      <c r="O67" s="45" t="inlineStr">
        <is>
          <t>8000×3200</t>
        </is>
      </c>
      <c r="P67" s="45" t="n">
        <v>700</v>
      </c>
      <c r="Q67" s="45" t="inlineStr">
        <is>
          <t>Roto Patio Life / Siegenia Titan LSS</t>
        </is>
      </c>
      <c r="R67" s="45" t="inlineStr">
        <is>
          <t>Gioăng EPDM cầu cách nhiệt 4 lớp</t>
        </is>
      </c>
      <c r="S67" s="45" t="inlineStr">
        <is>
          <t>Anodized ED biển chống ăn mòn, PVDF</t>
        </is>
      </c>
      <c r="T67" s="45" t="inlineStr">
        <is>
          <t>Lift Slide rộng nhất Việt Nam (8m), nâng êm 700kg, kín khít EN 12208 Cls 9A</t>
        </is>
      </c>
      <c r="U67" s="45" t="inlineStr">
        <is>
          <t>Giá 500tr – 2 tỷ/bộ</t>
        </is>
      </c>
      <c r="V67" s="45" t="inlineStr">
        <is>
          <t>✓</t>
        </is>
      </c>
      <c r="W67" s="45" t="inlineStr">
        <is>
          <t>✓</t>
        </is>
      </c>
      <c r="X67" s="45" t="inlineStr">
        <is>
          <t>✓</t>
        </is>
      </c>
      <c r="Y67" s="45" t="inlineStr">
        <is>
          <t>✓</t>
        </is>
      </c>
      <c r="Z67" s="45" t="inlineStr">
        <is>
          <t>Hoàn thành</t>
        </is>
      </c>
      <c r="AA67" s="46" t="n">
        <v>90</v>
      </c>
      <c r="AB67" s="45" t="inlineStr">
        <is>
          <t>https://nhomsocowindow.com</t>
        </is>
      </c>
      <c r="AC67" s="45" t="inlineStr"/>
      <c r="AD67" s="45" t="inlineStr"/>
    </row>
    <row r="68" ht="35" customHeight="1">
      <c r="A68" s="47" t="inlineStr">
        <is>
          <t>SC-006</t>
        </is>
      </c>
      <c r="B68" s="47" t="inlineStr">
        <is>
          <t>Xếp trượt</t>
        </is>
      </c>
      <c r="C68" s="47" t="inlineStr">
        <is>
          <t>Soco Folding</t>
        </is>
      </c>
      <c r="D68" s="47" t="inlineStr">
        <is>
          <t>Soco</t>
        </is>
      </c>
      <c r="E68" s="47" t="inlineStr">
        <is>
          <t>Việt Nam</t>
        </is>
      </c>
      <c r="F68" s="47" t="inlineStr">
        <is>
          <t>EN</t>
        </is>
      </c>
      <c r="G68" s="47" t="inlineStr">
        <is>
          <t>Cửa đi</t>
        </is>
      </c>
      <c r="H68" s="47" t="inlineStr">
        <is>
          <t>Xếp trượt (Folding/Bi-fold)</t>
        </is>
      </c>
      <c r="I68" s="47" t="inlineStr">
        <is>
          <t>Cánh xếp gấp + Ray trên</t>
        </is>
      </c>
      <c r="J68" s="47" t="inlineStr">
        <is>
          <t>Ngoại thất</t>
        </is>
      </c>
      <c r="K68" s="47" t="inlineStr">
        <is>
          <t>Biệt thự, nhà hàng</t>
        </is>
      </c>
      <c r="L68" s="47" t="n">
        <v>1.6</v>
      </c>
      <c r="M68" s="47" t="inlineStr">
        <is>
          <t>Kính cường lực 8-12mm</t>
        </is>
      </c>
      <c r="N68" s="47" t="inlineStr">
        <is>
          <t>12mm</t>
        </is>
      </c>
      <c r="O68" s="47" t="inlineStr">
        <is>
          <t>5000×2800</t>
        </is>
      </c>
      <c r="P68" s="47" t="n">
        <v>40</v>
      </c>
      <c r="Q68" s="47" t="inlineStr">
        <is>
          <t>OPK Folding / Roto Fold</t>
        </is>
      </c>
      <c r="R68" s="47" t="inlineStr">
        <is>
          <t>Gioăng EPDM / Silicon</t>
        </is>
      </c>
      <c r="S68" s="47" t="inlineStr">
        <is>
          <t>Anodized Champagne</t>
        </is>
      </c>
      <c r="T68" s="47" t="inlineStr">
        <is>
          <t>Mở toàn bộ, màu Champagne đặc trưng</t>
        </is>
      </c>
      <c r="U68" s="47" t="inlineStr">
        <is>
          <t>Kín khít kém nhất</t>
        </is>
      </c>
      <c r="V68" s="47" t="inlineStr">
        <is>
          <t>✓</t>
        </is>
      </c>
      <c r="W68" s="47" t="inlineStr">
        <is>
          <t>✗</t>
        </is>
      </c>
      <c r="X68" s="47" t="inlineStr">
        <is>
          <t>✓</t>
        </is>
      </c>
      <c r="Y68" s="47" t="inlineStr">
        <is>
          <t>✓</t>
        </is>
      </c>
      <c r="Z68" s="47" t="inlineStr">
        <is>
          <t>Đang nghiên cứu</t>
        </is>
      </c>
      <c r="AA68" s="62" t="n">
        <v>60</v>
      </c>
      <c r="AB68" s="47" t="inlineStr">
        <is>
          <t>https://nhomsocowindow.com</t>
        </is>
      </c>
      <c r="AC68" s="47" t="inlineStr"/>
      <c r="AD68" s="47" t="inlineStr"/>
    </row>
    <row r="69" ht="35" customHeight="1">
      <c r="A69" s="47" t="inlineStr">
        <is>
          <t>SC-007</t>
        </is>
      </c>
      <c r="B69" s="47" t="inlineStr">
        <is>
          <t>Vách kính Cố định</t>
        </is>
      </c>
      <c r="C69" s="47" t="inlineStr">
        <is>
          <t>Soco Fix Vách</t>
        </is>
      </c>
      <c r="D69" s="47" t="inlineStr">
        <is>
          <t>Soco</t>
        </is>
      </c>
      <c r="E69" s="47" t="inlineStr">
        <is>
          <t>Việt Nam</t>
        </is>
      </c>
      <c r="F69" s="47" t="inlineStr">
        <is>
          <t>EN 13830</t>
        </is>
      </c>
      <c r="G69" s="47" t="inlineStr">
        <is>
          <t>Vách kính</t>
        </is>
      </c>
      <c r="H69" s="47" t="inlineStr">
        <is>
          <t>Cố định (Fixed Glass Partition/Facade)</t>
        </is>
      </c>
      <c r="I69" s="47" t="inlineStr">
        <is>
          <t>Profile vách 65mm cố định</t>
        </is>
      </c>
      <c r="J69" s="47" t="inlineStr">
        <is>
          <t>Ngoại thất + Nội thất</t>
        </is>
      </c>
      <c r="K69" s="47" t="inlineStr">
        <is>
          <t>Văn phòng, TTTM, công trình</t>
        </is>
      </c>
      <c r="L69" s="47" t="n">
        <v>1.6</v>
      </c>
      <c r="M69" s="47" t="inlineStr">
        <is>
          <t>Kính hộp 20-32mm</t>
        </is>
      </c>
      <c r="N69" s="47" t="inlineStr">
        <is>
          <t>32mm</t>
        </is>
      </c>
      <c r="O69" s="47" t="inlineStr">
        <is>
          <t>Không giới hạn</t>
        </is>
      </c>
      <c r="P69" s="47" t="n">
        <v>500</v>
      </c>
      <c r="Q69" s="47" t="inlineStr">
        <is>
          <t>Hệ Stick Châu Âu</t>
        </is>
      </c>
      <c r="R69" s="47" t="inlineStr">
        <is>
          <t>Silicon kết cấu Dow Corning</t>
        </is>
      </c>
      <c r="S69" s="47" t="inlineStr">
        <is>
          <t>Anodized Champagne, sơn PVDF</t>
        </is>
      </c>
      <c r="T69" s="47" t="inlineStr">
        <is>
          <t>Thiết kế linh hoạt, cùng hệ màu Champagne đặc trưng Soco</t>
        </is>
      </c>
      <c r="U69" s="47" t="inlineStr">
        <is>
          <t>Thi công phụ thuộc kiểm soát tại công trường</t>
        </is>
      </c>
      <c r="V69" s="47" t="inlineStr">
        <is>
          <t>✓</t>
        </is>
      </c>
      <c r="W69" s="47" t="inlineStr">
        <is>
          <t>✓</t>
        </is>
      </c>
      <c r="X69" s="47" t="inlineStr">
        <is>
          <t>✓</t>
        </is>
      </c>
      <c r="Y69" s="47" t="inlineStr">
        <is>
          <t>✓</t>
        </is>
      </c>
      <c r="Z69" s="47" t="inlineStr">
        <is>
          <t>Đang nghiên cứu</t>
        </is>
      </c>
      <c r="AA69" s="62" t="n">
        <v>60</v>
      </c>
      <c r="AB69" s="47" t="inlineStr">
        <is>
          <t>https://nhomsocowindow.com</t>
        </is>
      </c>
      <c r="AC69" s="47" t="inlineStr"/>
      <c r="AD69" s="47" t="inlineStr"/>
    </row>
    <row r="70" ht="35" customHeight="1">
      <c r="A70" s="63" t="inlineStr">
        <is>
          <t>SC-008</t>
        </is>
      </c>
      <c r="B70" s="63" t="inlineStr">
        <is>
          <t>Curtain Wall Unitized</t>
        </is>
      </c>
      <c r="C70" s="63" t="inlineStr">
        <is>
          <t>Soco UCW Unitized</t>
        </is>
      </c>
      <c r="D70" s="63" t="inlineStr">
        <is>
          <t>Soco</t>
        </is>
      </c>
      <c r="E70" s="63" t="inlineStr">
        <is>
          <t>Việt Nam</t>
        </is>
      </c>
      <c r="F70" s="63" t="inlineStr">
        <is>
          <t>EN 13830/AAMA 501</t>
        </is>
      </c>
      <c r="G70" s="63" t="inlineStr">
        <is>
          <t>Vách mặt dựng</t>
        </is>
      </c>
      <c r="H70" s="63" t="inlineStr">
        <is>
          <t>Panel đúc sẵn (Unitized Panel)</t>
        </is>
      </c>
      <c r="I70" s="63" t="inlineStr">
        <is>
          <t>Panel hoàn chỉnh đúc sẵn tại xưởng Soco</t>
        </is>
      </c>
      <c r="J70" s="63" t="inlineStr">
        <is>
          <t>Ngoại thất – Tòa nhà cao tầng</t>
        </is>
      </c>
      <c r="K70" s="63" t="inlineStr">
        <is>
          <t>Tòa nhà văn phòng hạng A, khách sạn 5 sao 30+ tầng</t>
        </is>
      </c>
      <c r="L70" s="63" t="n">
        <v>2.5</v>
      </c>
      <c r="M70" s="63" t="inlineStr">
        <is>
          <t>Kính hộp Low-E 28-48mm / Kính 3 lớp 60mm</t>
        </is>
      </c>
      <c r="N70" s="63" t="inlineStr">
        <is>
          <t>48mm</t>
        </is>
      </c>
      <c r="O70" s="63" t="inlineStr">
        <is>
          <t>Không giới hạn (module)</t>
        </is>
      </c>
      <c r="P70" s="63" t="n">
        <v>1000</v>
      </c>
      <c r="Q70" s="63" t="inlineStr">
        <is>
          <t>Hệ Unitized panel + crane</t>
        </is>
      </c>
      <c r="R70" s="63" t="inlineStr">
        <is>
          <t>Silicon kết cấu Dow Corning AAMA chuẩn</t>
        </is>
      </c>
      <c r="S70" s="63" t="inlineStr">
        <is>
          <t>Anodized, PVDF 70%</t>
        </is>
      </c>
      <c r="T70" s="63" t="inlineStr">
        <is>
          <t>Thi công nhanh 3-4 ngày/tầng, chất lượng đồng đều xưởng, chuẩn AAMA tòa nhà cao tầng</t>
        </is>
      </c>
      <c r="U70" s="63" t="inlineStr">
        <is>
          <t>Chi phí mold cao, không linh hoạt sửa đổi tại công trường</t>
        </is>
      </c>
      <c r="V70" s="63" t="inlineStr">
        <is>
          <t>✓</t>
        </is>
      </c>
      <c r="W70" s="63" t="inlineStr">
        <is>
          <t>✓</t>
        </is>
      </c>
      <c r="X70" s="63" t="inlineStr">
        <is>
          <t>✓</t>
        </is>
      </c>
      <c r="Y70" s="63" t="inlineStr">
        <is>
          <t>✓</t>
        </is>
      </c>
      <c r="Z70" s="63" t="inlineStr">
        <is>
          <t>Đang nghiên cứu</t>
        </is>
      </c>
      <c r="AA70" s="64" t="n">
        <v>65</v>
      </c>
      <c r="AB70" s="63" t="inlineStr">
        <is>
          <t>https://nhomsocowindow.com</t>
        </is>
      </c>
      <c r="AC70" s="63" t="inlineStr"/>
      <c r="AD70" s="63" t="inlineStr"/>
    </row>
    <row r="71" ht="35" customHeight="1">
      <c r="A71" s="65" t="inlineStr">
        <is>
          <t>PG-001</t>
        </is>
      </c>
      <c r="B71" s="65" t="inlineStr">
        <is>
          <t>Cầu cách nhiệt Trung cấp</t>
        </is>
      </c>
      <c r="C71" s="65" t="inlineStr">
        <is>
          <t>PAG 60</t>
        </is>
      </c>
      <c r="D71" s="65" t="inlineStr">
        <is>
          <t>PAG</t>
        </is>
      </c>
      <c r="E71" s="65" t="inlineStr">
        <is>
          <t>Việt Nam</t>
        </is>
      </c>
      <c r="F71" s="65" t="inlineStr">
        <is>
          <t>EN 14351-1</t>
        </is>
      </c>
      <c r="G71" s="65" t="inlineStr">
        <is>
          <t>Cửa sổ + Cửa đi</t>
        </is>
      </c>
      <c r="H71" s="65" t="inlineStr">
        <is>
          <t>Mở quay (Casement)</t>
        </is>
      </c>
      <c r="I71" s="65" t="inlineStr">
        <is>
          <t>Khung 60mm cầu PA66 GF25</t>
        </is>
      </c>
      <c r="J71" s="65" t="inlineStr">
        <is>
          <t>Ngoại thất – Công trình xanh</t>
        </is>
      </c>
      <c r="K71" s="65" t="inlineStr">
        <is>
          <t>Nhà phố cao cấp, chung cư xanh</t>
        </is>
      </c>
      <c r="L71" s="65" t="n">
        <v>1.6</v>
      </c>
      <c r="M71" s="65" t="inlineStr">
        <is>
          <t>Kính hộp Low-E 20-28mm</t>
        </is>
      </c>
      <c r="N71" s="65" t="inlineStr">
        <is>
          <t>14mm</t>
        </is>
      </c>
      <c r="O71" s="65" t="inlineStr">
        <is>
          <t>1200×2400</t>
        </is>
      </c>
      <c r="P71" s="65" t="n">
        <v>100</v>
      </c>
      <c r="Q71" s="65" t="inlineStr">
        <is>
          <t>Rãnh C cách nhiệt</t>
        </is>
      </c>
      <c r="R71" s="65" t="inlineStr">
        <is>
          <t>Gioăng EPDM cách nhiệt 2 lớp / Dow Corning 795</t>
        </is>
      </c>
      <c r="S71" s="65" t="inlineStr">
        <is>
          <t>AkzoNobel chống muối biển – bảo hành 25 năm</t>
        </is>
      </c>
      <c r="T71" s="65" t="inlineStr">
        <is>
          <t>Uf &lt; 2.5 W/(m²K), giải pháp cách nhiệt giá tốt nhất Việt Nam</t>
        </is>
      </c>
      <c r="U71" s="65" t="inlineStr">
        <is>
          <t>Profile hẹp hơn hệ 65</t>
        </is>
      </c>
      <c r="V71" s="65" t="inlineStr">
        <is>
          <t>✓</t>
        </is>
      </c>
      <c r="W71" s="65" t="inlineStr">
        <is>
          <t>✓</t>
        </is>
      </c>
      <c r="X71" s="65" t="inlineStr">
        <is>
          <t>✓</t>
        </is>
      </c>
      <c r="Y71" s="65" t="inlineStr">
        <is>
          <t>✓</t>
        </is>
      </c>
      <c r="Z71" s="65" t="inlineStr">
        <is>
          <t>Hoàn thành</t>
        </is>
      </c>
      <c r="AA71" s="66" t="n">
        <v>85</v>
      </c>
      <c r="AB71" s="65" t="inlineStr">
        <is>
          <t>https://nhompag.com.vn</t>
        </is>
      </c>
      <c r="AC71" s="65" t="inlineStr"/>
      <c r="AD71" s="65" t="inlineStr"/>
    </row>
    <row r="72" ht="35" customHeight="1">
      <c r="A72" s="24" t="inlineStr">
        <is>
          <t>PG-002</t>
        </is>
      </c>
      <c r="B72" s="24" t="inlineStr">
        <is>
          <t>Cầu cách nhiệt Cao cấp</t>
        </is>
      </c>
      <c r="C72" s="24" t="inlineStr">
        <is>
          <t>PAG 80 Lùa</t>
        </is>
      </c>
      <c r="D72" s="24" t="inlineStr">
        <is>
          <t>PAG</t>
        </is>
      </c>
      <c r="E72" s="24" t="inlineStr">
        <is>
          <t>Việt Nam</t>
        </is>
      </c>
      <c r="F72" s="24" t="inlineStr">
        <is>
          <t>EN 14351-1</t>
        </is>
      </c>
      <c r="G72" s="24" t="inlineStr">
        <is>
          <t>Cửa sổ</t>
        </is>
      </c>
      <c r="H72" s="24" t="inlineStr">
        <is>
          <t>Trượt lùa (Sliding) + Chống côn trùng</t>
        </is>
      </c>
      <c r="I72" s="24" t="inlineStr">
        <is>
          <t>Khung cầu PA66 80mm + Lưới chắn côn trùng</t>
        </is>
      </c>
      <c r="J72" s="24" t="inlineStr">
        <is>
          <t>Ngoại thất</t>
        </is>
      </c>
      <c r="K72" s="24" t="inlineStr">
        <is>
          <t>Nhà phố, biệt thự ở vùng nhiều muỗi, côn trùng</t>
        </is>
      </c>
      <c r="L72" s="24" t="n">
        <v>1.6</v>
      </c>
      <c r="M72" s="24" t="inlineStr">
        <is>
          <t>Kính hộp Low-E 20-28mm</t>
        </is>
      </c>
      <c r="N72" s="24" t="inlineStr">
        <is>
          <t>14mm</t>
        </is>
      </c>
      <c r="O72" s="24" t="inlineStr">
        <is>
          <t>2400×1800</t>
        </is>
      </c>
      <c r="P72" s="24" t="n">
        <v>100</v>
      </c>
      <c r="Q72" s="24" t="inlineStr">
        <is>
          <t>Rãnh C cách nhiệt</t>
        </is>
      </c>
      <c r="R72" s="24" t="inlineStr">
        <is>
          <t>Gioăng EPDM cách nhiệt / Dow Corning</t>
        </is>
      </c>
      <c r="S72" s="24" t="inlineStr">
        <is>
          <t>AkzoNobel bền 25 năm</t>
        </is>
      </c>
      <c r="T72" s="24" t="inlineStr">
        <is>
          <t>Kết hợp cách nhiệt + lưới chắn côn trùng EPDM, tiện lợi khí hậu nhiệt đới</t>
        </is>
      </c>
      <c r="U72" s="24" t="inlineStr">
        <is>
          <t>Kín khít cửa lùa trung bình</t>
        </is>
      </c>
      <c r="V72" s="24" t="inlineStr">
        <is>
          <t>✓</t>
        </is>
      </c>
      <c r="W72" s="24" t="inlineStr">
        <is>
          <t>✗</t>
        </is>
      </c>
      <c r="X72" s="24" t="inlineStr">
        <is>
          <t>✓</t>
        </is>
      </c>
      <c r="Y72" s="24" t="inlineStr">
        <is>
          <t>✓</t>
        </is>
      </c>
      <c r="Z72" s="24" t="inlineStr">
        <is>
          <t>Hoàn thành</t>
        </is>
      </c>
      <c r="AA72" s="67" t="n">
        <v>75</v>
      </c>
      <c r="AB72" s="24" t="inlineStr">
        <is>
          <t>https://nhompag.com.vn</t>
        </is>
      </c>
      <c r="AC72" s="24" t="inlineStr"/>
      <c r="AD72" s="24" t="inlineStr"/>
    </row>
    <row r="73" ht="35" customHeight="1">
      <c r="A73" s="31" t="inlineStr">
        <is>
          <t>PG-003</t>
        </is>
      </c>
      <c r="B73" s="31" t="inlineStr">
        <is>
          <t>Xếp trượt Cao cấp</t>
        </is>
      </c>
      <c r="C73" s="31" t="inlineStr">
        <is>
          <t>PAG 83 Folding</t>
        </is>
      </c>
      <c r="D73" s="31" t="inlineStr">
        <is>
          <t>PAG</t>
        </is>
      </c>
      <c r="E73" s="31" t="inlineStr">
        <is>
          <t>Việt Nam</t>
        </is>
      </c>
      <c r="F73" s="31" t="inlineStr">
        <is>
          <t>EN 14351-1</t>
        </is>
      </c>
      <c r="G73" s="31" t="inlineStr">
        <is>
          <t>Cửa đi</t>
        </is>
      </c>
      <c r="H73" s="31" t="inlineStr">
        <is>
          <t>Xếp trượt cầu cách nhiệt (Thermal Bi-fold)</t>
        </is>
      </c>
      <c r="I73" s="31" t="inlineStr">
        <is>
          <t>Cánh xếp gấp 83mm cầu cách nhiệt</t>
        </is>
      </c>
      <c r="J73" s="31" t="inlineStr">
        <is>
          <t>Ngoại thất</t>
        </is>
      </c>
      <c r="K73" s="31" t="inlineStr">
        <is>
          <t>Biệt thự cao cấp</t>
        </is>
      </c>
      <c r="L73" s="31" t="n">
        <v>1.8</v>
      </c>
      <c r="M73" s="31" t="inlineStr">
        <is>
          <t>Kính cường lực 8-12mm</t>
        </is>
      </c>
      <c r="N73" s="31" t="inlineStr">
        <is>
          <t>12mm</t>
        </is>
      </c>
      <c r="O73" s="31" t="inlineStr">
        <is>
          <t>5000×2800</t>
        </is>
      </c>
      <c r="P73" s="31" t="n">
        <v>40</v>
      </c>
      <c r="Q73" s="31" t="inlineStr">
        <is>
          <t>Rãnh C cách nhiệt + Roto Fold</t>
        </is>
      </c>
      <c r="R73" s="31" t="inlineStr">
        <is>
          <t>Gioăng EPDM cách nhiệt / Dow Corning</t>
        </is>
      </c>
      <c r="S73" s="31" t="inlineStr">
        <is>
          <t>AkzoNobel chống muối biển</t>
        </is>
      </c>
      <c r="T73" s="31" t="inlineStr">
        <is>
          <t>Xếp trượt CÓ cầu cách nhiệt, hiếm có trên thị trường Việt Nam</t>
        </is>
      </c>
      <c r="U73" s="31" t="inlineStr">
        <is>
          <t>Kín khít không hoàn toàn</t>
        </is>
      </c>
      <c r="V73" s="31" t="inlineStr">
        <is>
          <t>✓</t>
        </is>
      </c>
      <c r="W73" s="31" t="inlineStr">
        <is>
          <t>✗</t>
        </is>
      </c>
      <c r="X73" s="31" t="inlineStr">
        <is>
          <t>✓</t>
        </is>
      </c>
      <c r="Y73" s="31" t="inlineStr">
        <is>
          <t>✓</t>
        </is>
      </c>
      <c r="Z73" s="31" t="inlineStr">
        <is>
          <t>Đang nghiên cứu</t>
        </is>
      </c>
      <c r="AA73" s="41" t="n">
        <v>65</v>
      </c>
      <c r="AB73" s="31" t="inlineStr">
        <is>
          <t>https://nhompag.com.vn</t>
        </is>
      </c>
      <c r="AC73" s="31" t="inlineStr"/>
      <c r="AD73" s="31" t="inlineStr"/>
    </row>
    <row r="74" ht="35" customHeight="1">
      <c r="A74" s="47" t="inlineStr">
        <is>
          <t>PG-004</t>
        </is>
      </c>
      <c r="B74" s="47" t="inlineStr">
        <is>
          <t>Trượt nâng Cao cấp</t>
        </is>
      </c>
      <c r="C74" s="47" t="inlineStr">
        <is>
          <t>PAG 120</t>
        </is>
      </c>
      <c r="D74" s="47" t="inlineStr">
        <is>
          <t>PAG</t>
        </is>
      </c>
      <c r="E74" s="47" t="inlineStr">
        <is>
          <t>Việt Nam</t>
        </is>
      </c>
      <c r="F74" s="47" t="inlineStr">
        <is>
          <t>EN 14351-1</t>
        </is>
      </c>
      <c r="G74" s="47" t="inlineStr">
        <is>
          <t>Cửa đi</t>
        </is>
      </c>
      <c r="H74" s="47" t="inlineStr">
        <is>
          <t>Trượt nâng + Lùa vuông góc (Lift Slide + Inline Slide)</t>
        </is>
      </c>
      <c r="I74" s="47" t="inlineStr">
        <is>
          <t>Khung cầu PA66 + Phụ kiện Lift đặc biệt</t>
        </is>
      </c>
      <c r="J74" s="47" t="inlineStr">
        <is>
          <t>Ngoại thất</t>
        </is>
      </c>
      <c r="K74" s="47" t="inlineStr">
        <is>
          <t>Biệt thự cao cấp, resort</t>
        </is>
      </c>
      <c r="L74" s="47" t="n">
        <v>1.8</v>
      </c>
      <c r="M74" s="47" t="inlineStr">
        <is>
          <t>Kính hộp Low-E 24-36mm</t>
        </is>
      </c>
      <c r="N74" s="47" t="inlineStr">
        <is>
          <t>16mm</t>
        </is>
      </c>
      <c r="O74" s="47" t="inlineStr">
        <is>
          <t>6000×2800</t>
        </is>
      </c>
      <c r="P74" s="47" t="n">
        <v>300</v>
      </c>
      <c r="Q74" s="47" t="inlineStr">
        <is>
          <t>Siegenia Patio / Roto Patio Life</t>
        </is>
      </c>
      <c r="R74" s="47" t="inlineStr">
        <is>
          <t>Gioăng EPDM cầu cách nhiệt / Dow Corning</t>
        </is>
      </c>
      <c r="S74" s="47" t="inlineStr">
        <is>
          <t>AkzoNobel chống muối biển</t>
        </is>
      </c>
      <c r="T74" s="47" t="inlineStr">
        <is>
          <t>Kết hợp Lift Slide VÀ Pocket Slide lùa vuông góc – không giới hạn số cánh</t>
        </is>
      </c>
      <c r="U74" s="47" t="inlineStr">
        <is>
          <t>Thiết kế kỹ lưỡng, giá cao</t>
        </is>
      </c>
      <c r="V74" s="47" t="inlineStr">
        <is>
          <t>✓</t>
        </is>
      </c>
      <c r="W74" s="47" t="inlineStr">
        <is>
          <t>✓</t>
        </is>
      </c>
      <c r="X74" s="47" t="inlineStr">
        <is>
          <t>✓</t>
        </is>
      </c>
      <c r="Y74" s="47" t="inlineStr">
        <is>
          <t>✓</t>
        </is>
      </c>
      <c r="Z74" s="47" t="inlineStr">
        <is>
          <t>Đang nghiên cứu</t>
        </is>
      </c>
      <c r="AA74" s="62" t="n">
        <v>65</v>
      </c>
      <c r="AB74" s="47" t="inlineStr">
        <is>
          <t>https://nhompag.com.vn</t>
        </is>
      </c>
      <c r="AC74" s="47" t="inlineStr"/>
      <c r="AD74" s="47" t="inlineStr"/>
    </row>
    <row r="75" ht="35" customHeight="1">
      <c r="A75" s="45" t="inlineStr">
        <is>
          <t>PG-005</t>
        </is>
      </c>
      <c r="B75" s="45" t="inlineStr">
        <is>
          <t>Lift &amp; Slide Siêu cao cấp</t>
        </is>
      </c>
      <c r="C75" s="45" t="inlineStr">
        <is>
          <t>PAG 125</t>
        </is>
      </c>
      <c r="D75" s="45" t="inlineStr">
        <is>
          <t>PAG</t>
        </is>
      </c>
      <c r="E75" s="45" t="inlineStr">
        <is>
          <t>Việt Nam</t>
        </is>
      </c>
      <c r="F75" s="45" t="inlineStr">
        <is>
          <t>EN 14351-1</t>
        </is>
      </c>
      <c r="G75" s="45" t="inlineStr">
        <is>
          <t>Cửa đi</t>
        </is>
      </c>
      <c r="H75" s="45" t="inlineStr">
        <is>
          <t>Trượt nâng (Lift &amp; Slide)</t>
        </is>
      </c>
      <c r="I75" s="45" t="inlineStr">
        <is>
          <t>Khung cầu PA66 + Phụ kiện LSS đặc biệt</t>
        </is>
      </c>
      <c r="J75" s="45" t="inlineStr">
        <is>
          <t>Ngoại thất</t>
        </is>
      </c>
      <c r="K75" s="45" t="inlineStr">
        <is>
          <t>Biệt thự siêu sang, resort</t>
        </is>
      </c>
      <c r="L75" s="45" t="n">
        <v>2</v>
      </c>
      <c r="M75" s="45" t="inlineStr">
        <is>
          <t>Kính hộp Low-E 24-44mm</t>
        </is>
      </c>
      <c r="N75" s="45" t="inlineStr">
        <is>
          <t>18mm</t>
        </is>
      </c>
      <c r="O75" s="45" t="inlineStr">
        <is>
          <t>7000×3000</t>
        </is>
      </c>
      <c r="P75" s="45" t="n">
        <v>400</v>
      </c>
      <c r="Q75" s="45" t="inlineStr">
        <is>
          <t>Siegenia Titan LSS / Roto Patio Life</t>
        </is>
      </c>
      <c r="R75" s="45" t="inlineStr">
        <is>
          <t>Gioăng EPDM cầu cách nhiệt 4 lớp / Dow Corning</t>
        </is>
      </c>
      <c r="S75" s="45" t="inlineStr">
        <is>
          <t>AkzoNobel bền 25 năm, anodized 2 màu</t>
        </is>
      </c>
      <c r="T75" s="45" t="inlineStr">
        <is>
          <t>Lift Slide CÓ cầu cách nhiệt PAG đầu tiên Việt Nam, cách âm 42dB, Uf &lt; 1.8 W/(m²K)</t>
        </is>
      </c>
      <c r="U75" s="45" t="inlineStr">
        <is>
          <t>Giá cao, sản xuất theo đơn</t>
        </is>
      </c>
      <c r="V75" s="45" t="inlineStr">
        <is>
          <t>✓</t>
        </is>
      </c>
      <c r="W75" s="45" t="inlineStr">
        <is>
          <t>✓</t>
        </is>
      </c>
      <c r="X75" s="45" t="inlineStr">
        <is>
          <t>✓</t>
        </is>
      </c>
      <c r="Y75" s="45" t="inlineStr">
        <is>
          <t>✓</t>
        </is>
      </c>
      <c r="Z75" s="45" t="inlineStr">
        <is>
          <t>Đang nghiên cứu</t>
        </is>
      </c>
      <c r="AA75" s="68" t="n">
        <v>65</v>
      </c>
      <c r="AB75" s="45" t="inlineStr">
        <is>
          <t>https://nhompag.com.vn</t>
        </is>
      </c>
      <c r="AC75" s="45" t="inlineStr"/>
      <c r="AD75" s="45" t="inlineStr"/>
    </row>
    <row r="76" ht="35" customHeight="1">
      <c r="A76" s="45" t="inlineStr">
        <is>
          <t>PG-006</t>
        </is>
      </c>
      <c r="B76" s="45" t="inlineStr">
        <is>
          <t>Lift &amp; Slide Siêu cao cấp</t>
        </is>
      </c>
      <c r="C76" s="45" t="inlineStr">
        <is>
          <t>PAG 200</t>
        </is>
      </c>
      <c r="D76" s="45" t="inlineStr">
        <is>
          <t>PAG</t>
        </is>
      </c>
      <c r="E76" s="45" t="inlineStr">
        <is>
          <t>Việt Nam</t>
        </is>
      </c>
      <c r="F76" s="45" t="inlineStr">
        <is>
          <t>EN 14351-1</t>
        </is>
      </c>
      <c r="G76" s="45" t="inlineStr">
        <is>
          <t>Cửa đi</t>
        </is>
      </c>
      <c r="H76" s="45" t="inlineStr">
        <is>
          <t>Trượt nâng bản lớn (Heavy Lift &amp; Slide)</t>
        </is>
      </c>
      <c r="I76" s="45" t="inlineStr">
        <is>
          <t>Khung cầu PA66 200mm siêu dày</t>
        </is>
      </c>
      <c r="J76" s="45" t="inlineStr">
        <is>
          <t>Ngoại thất</t>
        </is>
      </c>
      <c r="K76" s="45" t="inlineStr">
        <is>
          <t>Biệt thự siêu sang, penthouse</t>
        </is>
      </c>
      <c r="L76" s="45" t="n">
        <v>2</v>
      </c>
      <c r="M76" s="45" t="inlineStr">
        <is>
          <t>Kính hộp Low-E 28-52mm</t>
        </is>
      </c>
      <c r="N76" s="45" t="inlineStr">
        <is>
          <t>20mm</t>
        </is>
      </c>
      <c r="O76" s="45" t="inlineStr">
        <is>
          <t>8000×3200</t>
        </is>
      </c>
      <c r="P76" s="45" t="n">
        <v>400</v>
      </c>
      <c r="Q76" s="45" t="inlineStr">
        <is>
          <t>Roto Patio Life đặc biệt</t>
        </is>
      </c>
      <c r="R76" s="45" t="inlineStr">
        <is>
          <t>Gioăng EPDM cầu cách nhiệt 4 lớp</t>
        </is>
      </c>
      <c r="S76" s="45" t="inlineStr">
        <is>
          <t>AkzoNobel bền 25 năm</t>
        </is>
      </c>
      <c r="T76" s="45" t="inlineStr">
        <is>
          <t>Lift Slide bản rộng nhất PAG, tải trọng 400kg/cánh, cách nhiệt kép</t>
        </is>
      </c>
      <c r="U76" s="45" t="inlineStr">
        <is>
          <t>Giá dự án cao</t>
        </is>
      </c>
      <c r="V76" s="45" t="inlineStr">
        <is>
          <t>✓</t>
        </is>
      </c>
      <c r="W76" s="45" t="inlineStr">
        <is>
          <t>✓</t>
        </is>
      </c>
      <c r="X76" s="45" t="inlineStr">
        <is>
          <t>✓</t>
        </is>
      </c>
      <c r="Y76" s="45" t="inlineStr">
        <is>
          <t>✓</t>
        </is>
      </c>
      <c r="Z76" s="45" t="inlineStr">
        <is>
          <t>Đang nghiên cứu</t>
        </is>
      </c>
      <c r="AA76" s="68" t="n">
        <v>60</v>
      </c>
      <c r="AB76" s="45" t="inlineStr">
        <is>
          <t>https://nhompag.com.vn</t>
        </is>
      </c>
      <c r="AC76" s="45" t="inlineStr"/>
      <c r="AD76" s="45" t="inlineStr"/>
    </row>
    <row r="77" ht="35" customHeight="1">
      <c r="A77" s="47" t="inlineStr">
        <is>
          <t>PG-007</t>
        </is>
      </c>
      <c r="B77" s="47" t="inlineStr">
        <is>
          <t>Hàn góc liền khối</t>
        </is>
      </c>
      <c r="C77" s="47" t="inlineStr">
        <is>
          <t>PAG Seamless</t>
        </is>
      </c>
      <c r="D77" s="47" t="inlineStr">
        <is>
          <t>PAG</t>
        </is>
      </c>
      <c r="E77" s="47" t="inlineStr">
        <is>
          <t>Việt Nam</t>
        </is>
      </c>
      <c r="F77" s="47" t="inlineStr">
        <is>
          <t>EN 14351-1</t>
        </is>
      </c>
      <c r="G77" s="47" t="inlineStr">
        <is>
          <t>Cửa sổ + Cửa đi</t>
        </is>
      </c>
      <c r="H77" s="47" t="inlineStr">
        <is>
          <t>Mở quay + Hàn góc CNC (Seamless Welded)</t>
        </is>
      </c>
      <c r="I77" s="47" t="inlineStr">
        <is>
          <t>Khung hàn nhiệt liền khối CNC – không vết ghép</t>
        </is>
      </c>
      <c r="J77" s="47" t="inlineStr">
        <is>
          <t>Ngoại thất</t>
        </is>
      </c>
      <c r="K77" s="47" t="inlineStr">
        <is>
          <t>Biệt thự siêu cao cấp, villa resort</t>
        </is>
      </c>
      <c r="L77" s="47" t="n">
        <v>2</v>
      </c>
      <c r="M77" s="47" t="inlineStr">
        <is>
          <t>Kính hộp Low-E 24-44mm / Kính 3 lớp</t>
        </is>
      </c>
      <c r="N77" s="47" t="inlineStr">
        <is>
          <t>16mm</t>
        </is>
      </c>
      <c r="O77" s="47" t="inlineStr">
        <is>
          <t>1400×2800</t>
        </is>
      </c>
      <c r="P77" s="47" t="n">
        <v>150</v>
      </c>
      <c r="Q77" s="47" t="inlineStr">
        <is>
          <t>Rãnh C cách nhiệt đặc biệt</t>
        </is>
      </c>
      <c r="R77" s="47" t="inlineStr">
        <is>
          <t>Gioăng EPDM 4 lớp / Dow Corning 791</t>
        </is>
      </c>
      <c r="S77" s="47" t="inlineStr">
        <is>
          <t>Anodized tách màu siêu mịn – không vết ghép góc</t>
        </is>
      </c>
      <c r="T77" s="47" t="inlineStr">
        <is>
          <t>Góc hàn nhiệt liền khối hoàn toàn không vết ghép – thẩm mỹ cao nhất, kín tuyệt đối</t>
        </is>
      </c>
      <c r="U77" s="47" t="inlineStr">
        <is>
          <t>Cần máy hàn CNC đặc chủng, +30% so với ép góc</t>
        </is>
      </c>
      <c r="V77" s="47" t="inlineStr">
        <is>
          <t>✓</t>
        </is>
      </c>
      <c r="W77" s="47" t="inlineStr">
        <is>
          <t>✓</t>
        </is>
      </c>
      <c r="X77" s="47" t="inlineStr">
        <is>
          <t>✓</t>
        </is>
      </c>
      <c r="Y77" s="47" t="inlineStr">
        <is>
          <t>✓</t>
        </is>
      </c>
      <c r="Z77" s="47" t="inlineStr">
        <is>
          <t>Hoàn thành</t>
        </is>
      </c>
      <c r="AA77" s="50" t="n">
        <v>85</v>
      </c>
      <c r="AB77" s="47" t="inlineStr">
        <is>
          <t>https://nhompag.com.vn</t>
        </is>
      </c>
      <c r="AC77" s="47" t="inlineStr"/>
      <c r="AD77" s="47" t="inlineStr"/>
    </row>
    <row r="78" ht="35" customHeight="1">
      <c r="A78" s="47" t="inlineStr">
        <is>
          <t>PG-008</t>
        </is>
      </c>
      <c r="B78" s="47" t="inlineStr">
        <is>
          <t>Chống côn trùng</t>
        </is>
      </c>
      <c r="C78" s="47" t="inlineStr">
        <is>
          <t>PAG 140</t>
        </is>
      </c>
      <c r="D78" s="47" t="inlineStr">
        <is>
          <t>PAG</t>
        </is>
      </c>
      <c r="E78" s="47" t="inlineStr">
        <is>
          <t>Việt Nam</t>
        </is>
      </c>
      <c r="F78" s="47" t="inlineStr">
        <is>
          <t>EN</t>
        </is>
      </c>
      <c r="G78" s="47" t="inlineStr">
        <is>
          <t>Cửa đi</t>
        </is>
      </c>
      <c r="H78" s="47" t="inlineStr">
        <is>
          <t>Lùa chống côn trùng (Insect Screen Door)</t>
        </is>
      </c>
      <c r="I78" s="47" t="inlineStr">
        <is>
          <t>Khung đặc biệt + Lưới chắn côn trùng EPDM</t>
        </is>
      </c>
      <c r="J78" s="47" t="inlineStr">
        <is>
          <t>Ngoại thất</t>
        </is>
      </c>
      <c r="K78" s="47" t="inlineStr">
        <is>
          <t>Nhà phố, biệt thự ở vùng nhiều muỗi</t>
        </is>
      </c>
      <c r="L78" s="47" t="n">
        <v>1.4</v>
      </c>
      <c r="M78" s="47" t="inlineStr">
        <is>
          <t>Không dùng kính (lưới inox 304)</t>
        </is>
      </c>
      <c r="N78" s="47" t="inlineStr">
        <is>
          <t>N/A</t>
        </is>
      </c>
      <c r="O78" s="47" t="inlineStr">
        <is>
          <t>2400×2400</t>
        </is>
      </c>
      <c r="P78" s="47" t="n">
        <v>60</v>
      </c>
      <c r="Q78" s="47" t="inlineStr">
        <is>
          <t>Rãnh C / Lưới inox SUS304</t>
        </is>
      </c>
      <c r="R78" s="47" t="inlineStr">
        <is>
          <t>Không cần keo</t>
        </is>
      </c>
      <c r="S78" s="47" t="inlineStr">
        <is>
          <t>Anodized, sơn tĩnh điện</t>
        </is>
      </c>
      <c r="T78" s="47" t="inlineStr">
        <is>
          <t>Chắn côn trùng, thông gió tối đa, phù hợp khí hậu nhiệt đới</t>
        </is>
      </c>
      <c r="U78" s="47" t="inlineStr">
        <is>
          <t>Không cách âm, không cách nước</t>
        </is>
      </c>
      <c r="V78" s="47" t="inlineStr">
        <is>
          <t>✓</t>
        </is>
      </c>
      <c r="W78" s="47" t="inlineStr">
        <is>
          <t>✗</t>
        </is>
      </c>
      <c r="X78" s="47" t="inlineStr">
        <is>
          <t>✓</t>
        </is>
      </c>
      <c r="Y78" s="47" t="inlineStr">
        <is>
          <t>✓</t>
        </is>
      </c>
      <c r="Z78" s="47" t="inlineStr">
        <is>
          <t>Hoàn thành</t>
        </is>
      </c>
      <c r="AA78" s="62" t="n">
        <v>65</v>
      </c>
      <c r="AB78" s="47" t="inlineStr">
        <is>
          <t>https://nhompag.com.vn</t>
        </is>
      </c>
      <c r="AC78" s="47" t="inlineStr"/>
      <c r="AD78" s="47" t="inlineStr"/>
    </row>
    <row r="79" ht="35" customHeight="1">
      <c r="A79" s="35" t="inlineStr">
        <is>
          <t>OW-001</t>
        </is>
      </c>
      <c r="B79" s="35" t="inlineStr">
        <is>
          <t>Anodized Phổ thông</t>
        </is>
      </c>
      <c r="C79" s="35" t="inlineStr">
        <is>
          <t>Owin Hệ 55</t>
        </is>
      </c>
      <c r="D79" s="35" t="inlineStr">
        <is>
          <t>Owin</t>
        </is>
      </c>
      <c r="E79" s="35" t="inlineStr">
        <is>
          <t>Việt Nam</t>
        </is>
      </c>
      <c r="F79" s="35" t="inlineStr">
        <is>
          <t>EN Tiêu chuẩn Đức</t>
        </is>
      </c>
      <c r="G79" s="35" t="inlineStr">
        <is>
          <t>Cửa đi + Cửa sổ</t>
        </is>
      </c>
      <c r="H79" s="35" t="inlineStr">
        <is>
          <t>Mở quay + Mở hất</t>
        </is>
      </c>
      <c r="I79" s="35" t="inlineStr">
        <is>
          <t>Khung 55mm Anodized-ED Luxanode</t>
        </is>
      </c>
      <c r="J79" s="35" t="inlineStr">
        <is>
          <t>Ngoại thất</t>
        </is>
      </c>
      <c r="K79" s="35" t="inlineStr">
        <is>
          <t>Nhà phố, văn phòng</t>
        </is>
      </c>
      <c r="L79" s="35" t="n">
        <v>1.4</v>
      </c>
      <c r="M79" s="35" t="inlineStr">
        <is>
          <t>5-12mm</t>
        </is>
      </c>
      <c r="N79" s="35" t="inlineStr">
        <is>
          <t>12mm</t>
        </is>
      </c>
      <c r="O79" s="35" t="inlineStr">
        <is>
          <t>1200×2200</t>
        </is>
      </c>
      <c r="P79" s="35" t="n">
        <v>80</v>
      </c>
      <c r="Q79" s="35" t="inlineStr">
        <is>
          <t>Rãnh C / Kinlong / Cmech</t>
        </is>
      </c>
      <c r="R79" s="35" t="inlineStr">
        <is>
          <t>Gioăng EPDM / Silicon trung tính</t>
        </is>
      </c>
      <c r="S79" s="35" t="inlineStr">
        <is>
          <t>Anodized-ED Luxanode chuẩn Đức – chống phai màu</t>
        </is>
      </c>
      <c r="T79" s="35" t="inlineStr">
        <is>
          <t>Anodized-ED Luxanode chuẩn Đức bền bỉ, hệ phụ kiện Kinlong/Cmech nguyên bộ</t>
        </is>
      </c>
      <c r="U79" s="35" t="inlineStr">
        <is>
          <t>Ít đa dạng hệ chuyên dụng</t>
        </is>
      </c>
      <c r="V79" s="35" t="inlineStr">
        <is>
          <t>✓</t>
        </is>
      </c>
      <c r="W79" s="35" t="inlineStr">
        <is>
          <t>✓</t>
        </is>
      </c>
      <c r="X79" s="35" t="inlineStr">
        <is>
          <t>✓</t>
        </is>
      </c>
      <c r="Y79" s="35" t="inlineStr">
        <is>
          <t>✓</t>
        </is>
      </c>
      <c r="Z79" s="35" t="inlineStr">
        <is>
          <t>Hoàn thành</t>
        </is>
      </c>
      <c r="AA79" s="69" t="n">
        <v>75</v>
      </c>
      <c r="AB79" s="35" t="inlineStr"/>
      <c r="AC79" s="35" t="inlineStr"/>
      <c r="AD79" s="35" t="inlineStr"/>
    </row>
    <row r="80" ht="35" customHeight="1">
      <c r="A80" s="33" t="inlineStr">
        <is>
          <t>OW-002</t>
        </is>
      </c>
      <c r="B80" s="33" t="inlineStr">
        <is>
          <t>Anodized Cao cấp</t>
        </is>
      </c>
      <c r="C80" s="33" t="inlineStr">
        <is>
          <t>Owin Hệ 65</t>
        </is>
      </c>
      <c r="D80" s="33" t="inlineStr">
        <is>
          <t>Owin</t>
        </is>
      </c>
      <c r="E80" s="33" t="inlineStr">
        <is>
          <t>Việt Nam</t>
        </is>
      </c>
      <c r="F80" s="33" t="inlineStr">
        <is>
          <t>EN Tiêu chuẩn Đức</t>
        </is>
      </c>
      <c r="G80" s="33" t="inlineStr">
        <is>
          <t>Cửa đi + Cửa sổ</t>
        </is>
      </c>
      <c r="H80" s="33" t="inlineStr">
        <is>
          <t>Mở quay + Trượt lùa</t>
        </is>
      </c>
      <c r="I80" s="33" t="inlineStr">
        <is>
          <t>Khung 65mm Anodized-ED</t>
        </is>
      </c>
      <c r="J80" s="33" t="inlineStr">
        <is>
          <t>Ngoại thất</t>
        </is>
      </c>
      <c r="K80" s="33" t="inlineStr">
        <is>
          <t>Biệt thự, nhà phố cao cấp</t>
        </is>
      </c>
      <c r="L80" s="33" t="n">
        <v>2</v>
      </c>
      <c r="M80" s="33" t="inlineStr">
        <is>
          <t>5-15mm / Kính hộp 20-28mm</t>
        </is>
      </c>
      <c r="N80" s="33" t="inlineStr">
        <is>
          <t>15mm</t>
        </is>
      </c>
      <c r="O80" s="33" t="inlineStr">
        <is>
          <t>1600×2800</t>
        </is>
      </c>
      <c r="P80" s="33" t="n">
        <v>150</v>
      </c>
      <c r="Q80" s="33" t="inlineStr">
        <is>
          <t>Rãnh C / Cmech / Roto</t>
        </is>
      </c>
      <c r="R80" s="33" t="inlineStr">
        <is>
          <t>Gioăng EPDM đa khoang / Silicon</t>
        </is>
      </c>
      <c r="S80" s="33" t="inlineStr">
        <is>
          <t>Anodized-ED Luxanode</t>
        </is>
      </c>
      <c r="T80" s="33" t="inlineStr">
        <is>
          <t>Profile cứng, Anodized-ED Luxanode bền bỉ, đa dạng ứng dụng</t>
        </is>
      </c>
      <c r="U80" s="33" t="inlineStr">
        <is>
          <t>Ít hệ chuyên dụng hơn Civro</t>
        </is>
      </c>
      <c r="V80" s="33" t="inlineStr">
        <is>
          <t>✓</t>
        </is>
      </c>
      <c r="W80" s="33" t="inlineStr">
        <is>
          <t>✓</t>
        </is>
      </c>
      <c r="X80" s="33" t="inlineStr">
        <is>
          <t>✓</t>
        </is>
      </c>
      <c r="Y80" s="33" t="inlineStr">
        <is>
          <t>✓</t>
        </is>
      </c>
      <c r="Z80" s="33" t="inlineStr">
        <is>
          <t>Hoàn thành</t>
        </is>
      </c>
      <c r="AA80" s="70" t="n">
        <v>75</v>
      </c>
      <c r="AB80" s="33" t="inlineStr"/>
      <c r="AC80" s="33" t="inlineStr"/>
      <c r="AD80" s="33" t="inlineStr"/>
    </row>
    <row r="81" ht="35" customHeight="1">
      <c r="A81" s="18" t="inlineStr">
        <is>
          <t>OW-003</t>
        </is>
      </c>
      <c r="B81" s="18" t="inlineStr">
        <is>
          <t>Trượt lùa Cao cấp</t>
        </is>
      </c>
      <c r="C81" s="18" t="inlineStr">
        <is>
          <t>Owin Hệ 100</t>
        </is>
      </c>
      <c r="D81" s="18" t="inlineStr">
        <is>
          <t>Owin</t>
        </is>
      </c>
      <c r="E81" s="18" t="inlineStr">
        <is>
          <t>Việt Nam</t>
        </is>
      </c>
      <c r="F81" s="18" t="inlineStr">
        <is>
          <t>EN Tiêu chuẩn Đức</t>
        </is>
      </c>
      <c r="G81" s="18" t="inlineStr">
        <is>
          <t>Cửa đi</t>
        </is>
      </c>
      <c r="H81" s="18" t="inlineStr">
        <is>
          <t>Trượt lùa + Xếp gấp (Sliding + Folding)</t>
        </is>
      </c>
      <c r="I81" s="18" t="inlineStr">
        <is>
          <t>Khung 100mm + Cánh đặc biệt</t>
        </is>
      </c>
      <c r="J81" s="18" t="inlineStr">
        <is>
          <t>Ngoại thất</t>
        </is>
      </c>
      <c r="K81" s="18" t="inlineStr">
        <is>
          <t>Biệt thự, ban công rộng</t>
        </is>
      </c>
      <c r="L81" s="18" t="n">
        <v>2</v>
      </c>
      <c r="M81" s="18" t="inlineStr">
        <is>
          <t>Kính hộp 20-32mm</t>
        </is>
      </c>
      <c r="N81" s="18" t="inlineStr">
        <is>
          <t>15mm</t>
        </is>
      </c>
      <c r="O81" s="18" t="inlineStr">
        <is>
          <t>5000×2800</t>
        </is>
      </c>
      <c r="P81" s="18" t="n">
        <v>200</v>
      </c>
      <c r="Q81" s="18" t="inlineStr">
        <is>
          <t>Rãnh C / Cmech</t>
        </is>
      </c>
      <c r="R81" s="18" t="inlineStr">
        <is>
          <t>Gioăng EPDM kép / Silicon</t>
        </is>
      </c>
      <c r="S81" s="18" t="inlineStr">
        <is>
          <t>Anodized-ED Luxanode</t>
        </is>
      </c>
      <c r="T81" s="18" t="inlineStr">
        <is>
          <t>Hệ lùa + xếp gấp 100mm linh hoạt</t>
        </is>
      </c>
      <c r="U81" s="18" t="inlineStr">
        <is>
          <t>Chi phí cao</t>
        </is>
      </c>
      <c r="V81" s="18" t="inlineStr">
        <is>
          <t>✓</t>
        </is>
      </c>
      <c r="W81" s="18" t="inlineStr">
        <is>
          <t>✓</t>
        </is>
      </c>
      <c r="X81" s="18" t="inlineStr">
        <is>
          <t>✓</t>
        </is>
      </c>
      <c r="Y81" s="18" t="inlineStr">
        <is>
          <t>✓</t>
        </is>
      </c>
      <c r="Z81" s="18" t="inlineStr">
        <is>
          <t>Đang nghiên cứu</t>
        </is>
      </c>
      <c r="AA81" s="71" t="n">
        <v>65</v>
      </c>
      <c r="AB81" s="18" t="inlineStr"/>
      <c r="AC81" s="18" t="inlineStr"/>
      <c r="AD81" s="18" t="inlineStr"/>
    </row>
    <row r="82" ht="35" customHeight="1">
      <c r="A82" s="39" t="inlineStr">
        <is>
          <t>OW-004</t>
        </is>
      </c>
      <c r="B82" s="39" t="inlineStr">
        <is>
          <t>Thủy lực Siêu cao cấp</t>
        </is>
      </c>
      <c r="C82" s="39" t="inlineStr">
        <is>
          <t>Owin HL180</t>
        </is>
      </c>
      <c r="D82" s="39" t="inlineStr">
        <is>
          <t>Owin</t>
        </is>
      </c>
      <c r="E82" s="39" t="inlineStr">
        <is>
          <t>Việt Nam</t>
        </is>
      </c>
      <c r="F82" s="39" t="inlineStr">
        <is>
          <t>TCVN</t>
        </is>
      </c>
      <c r="G82" s="39" t="inlineStr">
        <is>
          <t>Cửa đi</t>
        </is>
      </c>
      <c r="H82" s="39" t="inlineStr">
        <is>
          <t>Thủy lực 2 chiều (Hydraulic Pivot)</t>
        </is>
      </c>
      <c r="I82" s="39" t="inlineStr">
        <is>
          <t>Khung siêu nặng 180×60mm cánh + Piston thủy lực</t>
        </is>
      </c>
      <c r="J82" s="39" t="inlineStr">
        <is>
          <t>Ngoại thất</t>
        </is>
      </c>
      <c r="K82" s="39" t="inlineStr">
        <is>
          <t>Biệt thự siêu sang, sảnh khách sạn 5 sao</t>
        </is>
      </c>
      <c r="L82" s="39" t="n">
        <v>2.5</v>
      </c>
      <c r="M82" s="39" t="inlineStr">
        <is>
          <t>Kính cường lực/laminated 15-22mm</t>
        </is>
      </c>
      <c r="N82" s="39" t="inlineStr">
        <is>
          <t>22mm</t>
        </is>
      </c>
      <c r="O82" s="39" t="inlineStr">
        <is>
          <t>5000×4000</t>
        </is>
      </c>
      <c r="P82" s="39" t="n">
        <v>1500</v>
      </c>
      <c r="Q82" s="39" t="inlineStr">
        <is>
          <t>Thủy lực Biloba / Floor Spring Dorma TS98</t>
        </is>
      </c>
      <c r="R82" s="39" t="inlineStr">
        <is>
          <t>Keo silicon kết cấu / Gioăng tổng hợp</t>
        </is>
      </c>
      <c r="S82" s="39" t="inlineStr">
        <is>
          <t>Anodized-ED Luxanode, sơn đặc chủng vàng/đồng/titan</t>
        </is>
      </c>
      <c r="T82" s="39" t="inlineStr">
        <is>
          <t>Cửa siêu rộng một cánh (đến 5m), đóng mở bằng một ngón tay, tự đóng piston thủy lực</t>
        </is>
      </c>
      <c r="U82" s="39" t="inlineStr">
        <is>
          <t>Giá 200tr-vài tỷ, gia cố nền đặc biệt</t>
        </is>
      </c>
      <c r="V82" s="39" t="inlineStr">
        <is>
          <t>✓</t>
        </is>
      </c>
      <c r="W82" s="39" t="inlineStr">
        <is>
          <t>✓</t>
        </is>
      </c>
      <c r="X82" s="39" t="inlineStr">
        <is>
          <t>✓</t>
        </is>
      </c>
      <c r="Y82" s="39" t="inlineStr">
        <is>
          <t>✓</t>
        </is>
      </c>
      <c r="Z82" s="39" t="inlineStr">
        <is>
          <t>Hoàn thành</t>
        </is>
      </c>
      <c r="AA82" s="40" t="n">
        <v>85</v>
      </c>
      <c r="AB82" s="39" t="inlineStr"/>
      <c r="AC82" s="39" t="inlineStr"/>
      <c r="AD82" s="39" t="inlineStr"/>
    </row>
    <row r="83" ht="35" customHeight="1">
      <c r="A83" s="47" t="inlineStr">
        <is>
          <t>OW-005</t>
        </is>
      </c>
      <c r="B83" s="47" t="inlineStr">
        <is>
          <t>Trượt quay Cao cấp</t>
        </is>
      </c>
      <c r="C83" s="47" t="inlineStr">
        <is>
          <t>Owin SR Trượt quay</t>
        </is>
      </c>
      <c r="D83" s="47" t="inlineStr">
        <is>
          <t>Owin</t>
        </is>
      </c>
      <c r="E83" s="47" t="inlineStr">
        <is>
          <t>Việt Nam</t>
        </is>
      </c>
      <c r="F83" s="47" t="inlineStr">
        <is>
          <t>TCVN</t>
        </is>
      </c>
      <c r="G83" s="47" t="inlineStr">
        <is>
          <t>Cửa đi</t>
        </is>
      </c>
      <c r="H83" s="47" t="inlineStr">
        <is>
          <t>Trượt quay (Sliding Rotating / Sliding Pivot)</t>
        </is>
      </c>
      <c r="I83" s="47" t="inlineStr">
        <is>
          <t>Khung + Cánh + Ray treo trên đặc biệt</t>
        </is>
      </c>
      <c r="J83" s="47" t="inlineStr">
        <is>
          <t>Ngoại thất</t>
        </is>
      </c>
      <c r="K83" s="47" t="inlineStr">
        <is>
          <t>Biệt thự, nhà phố sang trọng, phòng trưng bày</t>
        </is>
      </c>
      <c r="L83" s="47" t="n">
        <v>2</v>
      </c>
      <c r="M83" s="47" t="inlineStr">
        <is>
          <t>Kính cường lực 10-15mm</t>
        </is>
      </c>
      <c r="N83" s="47" t="inlineStr">
        <is>
          <t>15mm</t>
        </is>
      </c>
      <c r="O83" s="47" t="inlineStr">
        <is>
          <t>2000×3000</t>
        </is>
      </c>
      <c r="P83" s="47" t="n">
        <v>150</v>
      </c>
      <c r="Q83" s="47" t="inlineStr">
        <is>
          <t>Slido Dorma / Häfele trượt quay</t>
        </is>
      </c>
      <c r="R83" s="47" t="inlineStr">
        <is>
          <t>Gioăng EPDM / Silicon</t>
        </is>
      </c>
      <c r="S83" s="47" t="inlineStr">
        <is>
          <t>Anodized-ED Luxanode, sơn mờ</t>
        </is>
      </c>
      <c r="T83" s="47" t="inlineStr">
        <is>
          <t>Không ray dưới sàn, đóng mở 180° trơn tru, thẩm mỹ cao</t>
        </is>
      </c>
      <c r="U83" s="47" t="inlineStr">
        <is>
          <t>Tải trọng cánh hạn chế, lắp đặt chính xác cao</t>
        </is>
      </c>
      <c r="V83" s="47" t="inlineStr">
        <is>
          <t>✓</t>
        </is>
      </c>
      <c r="W83" s="47" t="inlineStr">
        <is>
          <t>✓</t>
        </is>
      </c>
      <c r="X83" s="47" t="inlineStr">
        <is>
          <t>✓</t>
        </is>
      </c>
      <c r="Y83" s="47" t="inlineStr">
        <is>
          <t>✓</t>
        </is>
      </c>
      <c r="Z83" s="47" t="inlineStr">
        <is>
          <t>Hoàn thành</t>
        </is>
      </c>
      <c r="AA83" s="50" t="n">
        <v>80</v>
      </c>
      <c r="AB83" s="47" t="inlineStr"/>
      <c r="AC83" s="47" t="inlineStr"/>
      <c r="AD83" s="47" t="inlineStr"/>
    </row>
    <row r="84" ht="35" customHeight="1">
      <c r="A84" s="47" t="inlineStr">
        <is>
          <t>OW-006</t>
        </is>
      </c>
      <c r="B84" s="47" t="inlineStr">
        <is>
          <t>Vách kính</t>
        </is>
      </c>
      <c r="C84" s="47" t="inlineStr">
        <is>
          <t>Owin Vách kính</t>
        </is>
      </c>
      <c r="D84" s="47" t="inlineStr">
        <is>
          <t>Owin</t>
        </is>
      </c>
      <c r="E84" s="47" t="inlineStr">
        <is>
          <t>Việt Nam</t>
        </is>
      </c>
      <c r="F84" s="47" t="inlineStr">
        <is>
          <t>EN</t>
        </is>
      </c>
      <c r="G84" s="47" t="inlineStr">
        <is>
          <t>Vách kính</t>
        </is>
      </c>
      <c r="H84" s="47" t="inlineStr">
        <is>
          <t>Cố định (Fixed Glass)</t>
        </is>
      </c>
      <c r="I84" s="47" t="inlineStr">
        <is>
          <t>Profile vách ngăn kính</t>
        </is>
      </c>
      <c r="J84" s="47" t="inlineStr">
        <is>
          <t>Nội/Ngoại thất</t>
        </is>
      </c>
      <c r="K84" s="47" t="inlineStr">
        <is>
          <t>Văn phòng, công trình</t>
        </is>
      </c>
      <c r="L84" s="47" t="n">
        <v>1.6</v>
      </c>
      <c r="M84" s="47" t="inlineStr">
        <is>
          <t>Kính đơn/hộp 8-24mm</t>
        </is>
      </c>
      <c r="N84" s="47" t="inlineStr">
        <is>
          <t>24mm</t>
        </is>
      </c>
      <c r="O84" s="47" t="inlineStr">
        <is>
          <t>Không giới hạn</t>
        </is>
      </c>
      <c r="P84" s="47" t="n">
        <v>400</v>
      </c>
      <c r="Q84" s="47" t="inlineStr">
        <is>
          <t>Hệ Stick Owin</t>
        </is>
      </c>
      <c r="R84" s="47" t="inlineStr">
        <is>
          <t>Silicon kết cấu</t>
        </is>
      </c>
      <c r="S84" s="47" t="inlineStr">
        <is>
          <t>Anodized-ED Luxanode</t>
        </is>
      </c>
      <c r="T84" s="47" t="inlineStr">
        <is>
          <t>Anodized-ED bền bỉ, phù hợp vách kính thương mại</t>
        </is>
      </c>
      <c r="U84" s="47" t="inlineStr">
        <is>
          <t>Ít linh hoạt hơn hệ Civro</t>
        </is>
      </c>
      <c r="V84" s="47" t="inlineStr">
        <is>
          <t>✓</t>
        </is>
      </c>
      <c r="W84" s="47" t="inlineStr">
        <is>
          <t>✓</t>
        </is>
      </c>
      <c r="X84" s="47" t="inlineStr">
        <is>
          <t>✓</t>
        </is>
      </c>
      <c r="Y84" s="47" t="inlineStr">
        <is>
          <t>✓</t>
        </is>
      </c>
      <c r="Z84" s="47" t="inlineStr">
        <is>
          <t>Đang nghiên cứu</t>
        </is>
      </c>
      <c r="AA84" s="62" t="n">
        <v>60</v>
      </c>
      <c r="AB84" s="47" t="inlineStr"/>
      <c r="AC84" s="47" t="inlineStr"/>
      <c r="AD84" s="47" t="inlineStr"/>
    </row>
    <row r="85" ht="35" customHeight="1">
      <c r="A85" s="47" t="inlineStr">
        <is>
          <t>OW-007</t>
        </is>
      </c>
      <c r="B85" s="47" t="inlineStr">
        <is>
          <t>Lan can &amp; Chấn song</t>
        </is>
      </c>
      <c r="C85" s="47" t="inlineStr">
        <is>
          <t>Owin Chấn song</t>
        </is>
      </c>
      <c r="D85" s="47" t="inlineStr">
        <is>
          <t>Owin</t>
        </is>
      </c>
      <c r="E85" s="47" t="inlineStr">
        <is>
          <t>Việt Nam</t>
        </is>
      </c>
      <c r="F85" s="47" t="inlineStr">
        <is>
          <t>TCVN 9392</t>
        </is>
      </c>
      <c r="G85" s="47" t="inlineStr">
        <is>
          <t>Lan can + Chấn song</t>
        </is>
      </c>
      <c r="H85" s="47" t="inlineStr">
        <is>
          <t>Cố định (Fixed Railing)</t>
        </is>
      </c>
      <c r="I85" s="47" t="inlineStr">
        <is>
          <t>Profile chấn song nhôm + Thanh đứng</t>
        </is>
      </c>
      <c r="J85" s="47" t="inlineStr">
        <is>
          <t>Ngoại thất + Nội thất</t>
        </is>
      </c>
      <c r="K85" s="47" t="inlineStr">
        <is>
          <t>Ban công, cầu thang, hành lang</t>
        </is>
      </c>
      <c r="L85" s="47" t="n">
        <v>1.2</v>
      </c>
      <c r="M85" s="47" t="inlineStr">
        <is>
          <t>Không dùng kính</t>
        </is>
      </c>
      <c r="N85" s="47" t="inlineStr">
        <is>
          <t>N/A</t>
        </is>
      </c>
      <c r="O85" s="47" t="inlineStr">
        <is>
          <t>Không giới hạn</t>
        </is>
      </c>
      <c r="P85" s="47" t="n">
        <v>80</v>
      </c>
      <c r="Q85" s="47" t="inlineStr">
        <is>
          <t>Phụ kiện chấn song đặc chủng</t>
        </is>
      </c>
      <c r="R85" s="47" t="inlineStr">
        <is>
          <t>Không cần keo</t>
        </is>
      </c>
      <c r="S85" s="47" t="inlineStr">
        <is>
          <t>Anodized-ED, sơn tĩnh điện</t>
        </is>
      </c>
      <c r="T85" s="47" t="inlineStr">
        <is>
          <t>Bền bỉ, đa dạng kiểu dáng, Anodized-ED chống ăn mòn</t>
        </is>
      </c>
      <c r="U85" s="47" t="inlineStr">
        <is>
          <t>Không cách âm/nhiệt</t>
        </is>
      </c>
      <c r="V85" s="47" t="inlineStr">
        <is>
          <t>✓</t>
        </is>
      </c>
      <c r="W85" s="47" t="inlineStr">
        <is>
          <t>✗</t>
        </is>
      </c>
      <c r="X85" s="47" t="inlineStr">
        <is>
          <t>✓</t>
        </is>
      </c>
      <c r="Y85" s="47" t="inlineStr">
        <is>
          <t>✓</t>
        </is>
      </c>
      <c r="Z85" s="47" t="inlineStr">
        <is>
          <t>Đang nghiên cứu</t>
        </is>
      </c>
      <c r="AA85" s="48" t="n">
        <v>55</v>
      </c>
      <c r="AB85" s="47" t="inlineStr"/>
      <c r="AC85" s="47" t="inlineStr"/>
      <c r="AD85" s="47" t="inlineStr"/>
    </row>
    <row r="86" ht="35" customHeight="1">
      <c r="A86" s="51" t="inlineStr">
        <is>
          <t>TP-001</t>
        </is>
      </c>
      <c r="B86" s="51" t="inlineStr">
        <is>
          <t>Tân cổ điển Cao cấp</t>
        </is>
      </c>
      <c r="C86" s="51" t="inlineStr">
        <is>
          <t>Topal Prima 55+</t>
        </is>
      </c>
      <c r="D86" s="51" t="inlineStr">
        <is>
          <t>Topal</t>
        </is>
      </c>
      <c r="E86" s="51" t="inlineStr">
        <is>
          <t>Việt Nam</t>
        </is>
      </c>
      <c r="F86" s="51" t="inlineStr">
        <is>
          <t>EN Châu Âu / Rãnh C</t>
        </is>
      </c>
      <c r="G86" s="51" t="inlineStr">
        <is>
          <t>Cửa đi + Cửa sổ</t>
        </is>
      </c>
      <c r="H86" s="51" t="inlineStr">
        <is>
          <t>Mở quay + Mở hất + Trượt lùa</t>
        </is>
      </c>
      <c r="I86" s="51" t="inlineStr">
        <is>
          <t>Cánh trơn không gân, bản khung 63mm</t>
        </is>
      </c>
      <c r="J86" s="51" t="inlineStr">
        <is>
          <t>Ngoại thất</t>
        </is>
      </c>
      <c r="K86" s="51" t="inlineStr">
        <is>
          <t>Biệt thự, căn hộ cao cấp</t>
        </is>
      </c>
      <c r="L86" s="51" t="n">
        <v>1.6</v>
      </c>
      <c r="M86" s="51" t="inlineStr">
        <is>
          <t>Kính đơn 6.38mm đến kính hộp đầy đủ</t>
        </is>
      </c>
      <c r="N86" s="51" t="inlineStr">
        <is>
          <t>12mm</t>
        </is>
      </c>
      <c r="O86" s="51" t="inlineStr">
        <is>
          <t>1600×2800</t>
        </is>
      </c>
      <c r="P86" s="51" t="n">
        <v>120</v>
      </c>
      <c r="Q86" s="51" t="inlineStr">
        <is>
          <t>Rãnh C Châu Âu đồng bộ Topal/Austdoor</t>
        </is>
      </c>
      <c r="R86" s="51" t="inlineStr">
        <is>
          <t>Gioăng EPDM đa khoang / Silicon</t>
        </is>
      </c>
      <c r="S86" s="51" t="inlineStr">
        <is>
          <t>Sơn tĩnh điện, ép vân gỗ, anodized – bảo hành 5 năm</t>
        </is>
      </c>
      <c r="T86" s="51" t="inlineStr">
        <is>
          <t>Cánh trơn không gân – profile thanh lịch nhất dòng Topal, rãnh C Châu Âu đồng bộ, cách âm ~28dB</t>
        </is>
      </c>
      <c r="U86" s="51" t="inlineStr">
        <is>
          <t>Chỉ rõ ràng phong cách hiện đại, ít mẫu cổ điển</t>
        </is>
      </c>
      <c r="V86" s="51" t="inlineStr">
        <is>
          <t>✓</t>
        </is>
      </c>
      <c r="W86" s="51" t="inlineStr">
        <is>
          <t>✓</t>
        </is>
      </c>
      <c r="X86" s="51" t="inlineStr">
        <is>
          <t>✓</t>
        </is>
      </c>
      <c r="Y86" s="51" t="inlineStr">
        <is>
          <t>✓</t>
        </is>
      </c>
      <c r="Z86" s="51" t="inlineStr">
        <is>
          <t>Hoàn thành</t>
        </is>
      </c>
      <c r="AA86" s="52" t="n">
        <v>80</v>
      </c>
      <c r="AB86" s="51" t="inlineStr">
        <is>
          <t>https://topal.vn</t>
        </is>
      </c>
      <c r="AC86" s="51" t="inlineStr"/>
      <c r="AD86" s="51" t="inlineStr"/>
    </row>
    <row r="87" ht="35" customHeight="1">
      <c r="A87" s="47" t="inlineStr">
        <is>
          <t>TP-002</t>
        </is>
      </c>
      <c r="B87" s="47" t="inlineStr">
        <is>
          <t>Anodized Mỏng hiện đại</t>
        </is>
      </c>
      <c r="C87" s="47" t="inlineStr">
        <is>
          <t>Topal Slima 48</t>
        </is>
      </c>
      <c r="D87" s="47" t="inlineStr">
        <is>
          <t>Topal</t>
        </is>
      </c>
      <c r="E87" s="47" t="inlineStr">
        <is>
          <t>Việt Nam</t>
        </is>
      </c>
      <c r="F87" s="47" t="inlineStr">
        <is>
          <t>EN Châu Âu / Rãnh C</t>
        </is>
      </c>
      <c r="G87" s="47" t="inlineStr">
        <is>
          <t>Cửa đi + Cửa sổ</t>
        </is>
      </c>
      <c r="H87" s="47" t="inlineStr">
        <is>
          <t>Mở quay + Mở hất</t>
        </is>
      </c>
      <c r="I87" s="47" t="inlineStr">
        <is>
          <t>Cánh mảnh 48mm, rãnh C, tối giản hiện đại</t>
        </is>
      </c>
      <c r="J87" s="47" t="inlineStr">
        <is>
          <t>Ngoại thất</t>
        </is>
      </c>
      <c r="K87" s="47" t="inlineStr">
        <is>
          <t>Nhà phố, chung cư cao cấp phong cách hiện đại</t>
        </is>
      </c>
      <c r="L87" s="47" t="n">
        <v>1.2</v>
      </c>
      <c r="M87" s="47" t="inlineStr">
        <is>
          <t>Kính đơn/hộp</t>
        </is>
      </c>
      <c r="N87" s="47" t="inlineStr">
        <is>
          <t>10mm</t>
        </is>
      </c>
      <c r="O87" s="47" t="inlineStr">
        <is>
          <t>1400×2600</t>
        </is>
      </c>
      <c r="P87" s="47" t="n">
        <v>100</v>
      </c>
      <c r="Q87" s="47" t="inlineStr">
        <is>
          <t>Rãnh C Châu Âu Topal/Austdoor</t>
        </is>
      </c>
      <c r="R87" s="47" t="inlineStr">
        <is>
          <t>Gioăng EPDM / Silicon</t>
        </is>
      </c>
      <c r="S87" s="47" t="inlineStr">
        <is>
          <t>Sơn tĩnh điện bột, anodized bạc</t>
        </is>
      </c>
      <c r="T87" s="47" t="inlineStr">
        <is>
          <t>Profile siêu mỏng 48mm – nhìn nhiều kính nhất trong dòng Topal, tối giản phong cách Châu Âu, cách âm ~28dB</t>
        </is>
      </c>
      <c r="U87" s="47" t="inlineStr">
        <is>
          <t>Tải trọng giới hạn do profile mỏng</t>
        </is>
      </c>
      <c r="V87" s="47" t="inlineStr">
        <is>
          <t>✓</t>
        </is>
      </c>
      <c r="W87" s="47" t="inlineStr">
        <is>
          <t>✓</t>
        </is>
      </c>
      <c r="X87" s="47" t="inlineStr">
        <is>
          <t>✓</t>
        </is>
      </c>
      <c r="Y87" s="47" t="inlineStr">
        <is>
          <t>✓</t>
        </is>
      </c>
      <c r="Z87" s="47" t="inlineStr">
        <is>
          <t>Hoàn thành</t>
        </is>
      </c>
      <c r="AA87" s="62" t="n">
        <v>78</v>
      </c>
      <c r="AB87" s="47" t="inlineStr">
        <is>
          <t>https://topal.vn</t>
        </is>
      </c>
      <c r="AC87" s="47" t="inlineStr"/>
      <c r="AD87" s="47" t="inlineStr"/>
    </row>
    <row r="88" ht="35" customHeight="1">
      <c r="A88" s="47" t="inlineStr">
        <is>
          <t>TP-003</t>
        </is>
      </c>
      <c r="B88" s="47" t="inlineStr">
        <is>
          <t>Phổ thông Rãnh 22</t>
        </is>
      </c>
      <c r="C88" s="47" t="inlineStr">
        <is>
          <t>Topal XFAD 55</t>
        </is>
      </c>
      <c r="D88" s="47" t="inlineStr">
        <is>
          <t>Topal</t>
        </is>
      </c>
      <c r="E88" s="47" t="inlineStr">
        <is>
          <t>Việt Nam</t>
        </is>
      </c>
      <c r="F88" s="47" t="inlineStr">
        <is>
          <t>TCVN</t>
        </is>
      </c>
      <c r="G88" s="47" t="inlineStr">
        <is>
          <t>Cửa đi + Cửa sổ</t>
        </is>
      </c>
      <c r="H88" s="47" t="inlineStr">
        <is>
          <t>Mở quay + Trượt lùa</t>
        </is>
      </c>
      <c r="I88" s="47" t="inlineStr">
        <is>
          <t>Profile Xingfa 55mm rãnh 22</t>
        </is>
      </c>
      <c r="J88" s="47" t="inlineStr">
        <is>
          <t>Ngoại thất phổ thông</t>
        </is>
      </c>
      <c r="K88" s="47" t="inlineStr">
        <is>
          <t>Nhà phố, tối ưu chi phí</t>
        </is>
      </c>
      <c r="L88" s="47" t="n">
        <v>1.4</v>
      </c>
      <c r="M88" s="47" t="inlineStr">
        <is>
          <t>Kính đơn/hộp 5-12mm</t>
        </is>
      </c>
      <c r="N88" s="47" t="inlineStr">
        <is>
          <t>12mm</t>
        </is>
      </c>
      <c r="O88" s="47" t="inlineStr">
        <is>
          <t>1200×2400</t>
        </is>
      </c>
      <c r="P88" s="47" t="n">
        <v>80</v>
      </c>
      <c r="Q88" s="47" t="inlineStr">
        <is>
          <t>Rãnh 22mm phổ thông</t>
        </is>
      </c>
      <c r="R88" s="47" t="inlineStr">
        <is>
          <t>Gioăng EPDM / Silicon</t>
        </is>
      </c>
      <c r="S88" s="47" t="inlineStr">
        <is>
          <t>Sơn tĩnh điện, đa màu</t>
        </is>
      </c>
      <c r="T88" s="47" t="inlineStr">
        <is>
          <t>Giá cạnh tranh nhất dòng Topal, phổ biến dự án ngân sách trung bình</t>
        </is>
      </c>
      <c r="U88" s="47" t="inlineStr">
        <is>
          <t>Profile rãnh 22 kém phụ kiện Châu Âu</t>
        </is>
      </c>
      <c r="V88" s="47" t="inlineStr">
        <is>
          <t>✓</t>
        </is>
      </c>
      <c r="W88" s="47" t="inlineStr">
        <is>
          <t>✗</t>
        </is>
      </c>
      <c r="X88" s="47" t="inlineStr">
        <is>
          <t>✓</t>
        </is>
      </c>
      <c r="Y88" s="47" t="inlineStr">
        <is>
          <t>✓</t>
        </is>
      </c>
      <c r="Z88" s="47" t="inlineStr">
        <is>
          <t>Hoàn thành</t>
        </is>
      </c>
      <c r="AA88" s="62" t="n">
        <v>70</v>
      </c>
      <c r="AB88" s="47" t="inlineStr">
        <is>
          <t>https://topal.vn</t>
        </is>
      </c>
      <c r="AC88" s="47" t="inlineStr"/>
      <c r="AD88" s="47" t="inlineStr"/>
    </row>
    <row r="89" ht="35" customHeight="1">
      <c r="A89" s="47" t="inlineStr">
        <is>
          <t>TP-004</t>
        </is>
      </c>
      <c r="B89" s="47" t="inlineStr">
        <is>
          <t>Phổ thông tiết kiệm</t>
        </is>
      </c>
      <c r="C89" s="47" t="inlineStr">
        <is>
          <t>Topal XFEC 55</t>
        </is>
      </c>
      <c r="D89" s="47" t="inlineStr">
        <is>
          <t>Topal</t>
        </is>
      </c>
      <c r="E89" s="47" t="inlineStr">
        <is>
          <t>Việt Nam</t>
        </is>
      </c>
      <c r="F89" s="47" t="inlineStr">
        <is>
          <t>TCVN</t>
        </is>
      </c>
      <c r="G89" s="47" t="inlineStr">
        <is>
          <t>Cửa sổ + Cửa đi</t>
        </is>
      </c>
      <c r="H89" s="47" t="inlineStr">
        <is>
          <t>Mở quay</t>
        </is>
      </c>
      <c r="I89" s="47" t="inlineStr">
        <is>
          <t>Profile phổ thông dày 1.0-1.4mm</t>
        </is>
      </c>
      <c r="J89" s="47" t="inlineStr">
        <is>
          <t>Nội/Ngoại thất phổ thông</t>
        </is>
      </c>
      <c r="K89" s="47" t="inlineStr">
        <is>
          <t>Công trình ngân sách thấp, nhà ở phổ thông</t>
        </is>
      </c>
      <c r="L89" s="47" t="n">
        <v>1.1</v>
      </c>
      <c r="M89" s="47" t="inlineStr">
        <is>
          <t>Kính đơn 5-10mm</t>
        </is>
      </c>
      <c r="N89" s="47" t="inlineStr">
        <is>
          <t>10mm</t>
        </is>
      </c>
      <c r="O89" s="47" t="inlineStr">
        <is>
          <t>1000×2000</t>
        </is>
      </c>
      <c r="P89" s="47" t="n">
        <v>60</v>
      </c>
      <c r="Q89" s="47" t="inlineStr">
        <is>
          <t>Rãnh 22mm</t>
        </is>
      </c>
      <c r="R89" s="47" t="inlineStr">
        <is>
          <t>Gioăng EPDM / Silicon</t>
        </is>
      </c>
      <c r="S89" s="47" t="inlineStr">
        <is>
          <t>Sơn tĩnh điện</t>
        </is>
      </c>
      <c r="T89" s="47" t="inlineStr">
        <is>
          <t>Giá rẻ nhất dòng Topal, phù hợp nhà ở bình dân</t>
        </is>
      </c>
      <c r="U89" s="47" t="inlineStr">
        <is>
          <t>Profile mỏng nhất, không phù hợp yêu cầu cao</t>
        </is>
      </c>
      <c r="V89" s="47" t="inlineStr">
        <is>
          <t>✓</t>
        </is>
      </c>
      <c r="W89" s="47" t="inlineStr">
        <is>
          <t>✗</t>
        </is>
      </c>
      <c r="X89" s="47" t="inlineStr">
        <is>
          <t>✓</t>
        </is>
      </c>
      <c r="Y89" s="47" t="inlineStr">
        <is>
          <t>✓</t>
        </is>
      </c>
      <c r="Z89" s="47" t="inlineStr">
        <is>
          <t>Hoàn thành</t>
        </is>
      </c>
      <c r="AA89" s="62" t="n">
        <v>60</v>
      </c>
      <c r="AB89" s="47" t="inlineStr">
        <is>
          <t>https://topal.vn</t>
        </is>
      </c>
      <c r="AC89" s="47" t="inlineStr"/>
      <c r="AD89" s="47" t="inlineStr"/>
    </row>
    <row r="90" ht="35" customHeight="1">
      <c r="A90" s="47" t="inlineStr">
        <is>
          <t>EV-001</t>
        </is>
      </c>
      <c r="B90" s="47" t="inlineStr">
        <is>
          <t>Anodized Trung cao cấp</t>
        </is>
      </c>
      <c r="C90" s="47" t="inlineStr">
        <is>
          <t>EuroVN Gold</t>
        </is>
      </c>
      <c r="D90" s="47" t="inlineStr">
        <is>
          <t>EuroVN</t>
        </is>
      </c>
      <c r="E90" s="47" t="inlineStr">
        <is>
          <t>Việt Nam</t>
        </is>
      </c>
      <c r="F90" s="47" t="inlineStr">
        <is>
          <t>TCVN</t>
        </is>
      </c>
      <c r="G90" s="47" t="inlineStr">
        <is>
          <t>Cửa đi + Cửa sổ</t>
        </is>
      </c>
      <c r="H90" s="47" t="inlineStr">
        <is>
          <t>Mở quay + Mở hất</t>
        </is>
      </c>
      <c r="I90" s="47" t="inlineStr">
        <is>
          <t>Khung vát cạnh + Sơn Wagner Thụy Sỹ</t>
        </is>
      </c>
      <c r="J90" s="47" t="inlineStr">
        <is>
          <t>Ngoại thất</t>
        </is>
      </c>
      <c r="K90" s="47" t="inlineStr">
        <is>
          <t>Biệt thự, nhà phố</t>
        </is>
      </c>
      <c r="L90" s="47" t="n">
        <v>1.2</v>
      </c>
      <c r="M90" s="47" t="inlineStr">
        <is>
          <t>5-12mm</t>
        </is>
      </c>
      <c r="N90" s="47" t="inlineStr">
        <is>
          <t>12mm</t>
        </is>
      </c>
      <c r="O90" s="47" t="inlineStr">
        <is>
          <t>1400×2600</t>
        </is>
      </c>
      <c r="P90" s="47" t="n">
        <v>100</v>
      </c>
      <c r="Q90" s="47" t="inlineStr">
        <is>
          <t>Rãnh C</t>
        </is>
      </c>
      <c r="R90" s="47" t="inlineStr">
        <is>
          <t>Gioăng EPDM / Silicon</t>
        </is>
      </c>
      <c r="S90" s="47" t="inlineStr">
        <is>
          <t>Sơn Wagner Thụy Sỹ + ép vân gỗ hàn túi – bảo hành 10 năm</t>
        </is>
      </c>
      <c r="T90" s="47" t="inlineStr">
        <is>
          <t>Sơn Wagner Thụy Sỹ bền màu 10 năm, vát cạnh tạo hiệu ứng 3D, nhôm 6063T5 &gt;98% nguyên chất</t>
        </is>
      </c>
      <c r="U90" s="47" t="inlineStr">
        <is>
          <t>Profile mỏng 1.2mm</t>
        </is>
      </c>
      <c r="V90" s="47" t="inlineStr">
        <is>
          <t>✓</t>
        </is>
      </c>
      <c r="W90" s="47" t="inlineStr">
        <is>
          <t>✓</t>
        </is>
      </c>
      <c r="X90" s="47" t="inlineStr">
        <is>
          <t>✓</t>
        </is>
      </c>
      <c r="Y90" s="47" t="inlineStr">
        <is>
          <t>✓</t>
        </is>
      </c>
      <c r="Z90" s="47" t="inlineStr">
        <is>
          <t>Hoàn thành</t>
        </is>
      </c>
      <c r="AA90" s="62" t="n">
        <v>72</v>
      </c>
      <c r="AB90" s="47" t="inlineStr"/>
      <c r="AC90" s="47" t="inlineStr"/>
      <c r="AD90" s="47" t="inlineStr"/>
    </row>
    <row r="91" ht="35" customHeight="1">
      <c r="A91" s="33" t="inlineStr">
        <is>
          <t>EV-002</t>
        </is>
      </c>
      <c r="B91" s="33" t="inlineStr">
        <is>
          <t>Anodized Cao cấp</t>
        </is>
      </c>
      <c r="C91" s="33" t="inlineStr">
        <is>
          <t>EuroVN VIP</t>
        </is>
      </c>
      <c r="D91" s="33" t="inlineStr">
        <is>
          <t>EuroVN</t>
        </is>
      </c>
      <c r="E91" s="33" t="inlineStr">
        <is>
          <t>Việt Nam</t>
        </is>
      </c>
      <c r="F91" s="33" t="inlineStr">
        <is>
          <t>TCVN</t>
        </is>
      </c>
      <c r="G91" s="33" t="inlineStr">
        <is>
          <t>Cửa đi + Cửa sổ + Trượt</t>
        </is>
      </c>
      <c r="H91" s="33" t="inlineStr">
        <is>
          <t>Đa kiểu mở</t>
        </is>
      </c>
      <c r="I91" s="33" t="inlineStr">
        <is>
          <t>Khung vát cạnh + dập gân chìm, nhiều hệ</t>
        </is>
      </c>
      <c r="J91" s="33" t="inlineStr">
        <is>
          <t>Ngoại thất</t>
        </is>
      </c>
      <c r="K91" s="33" t="inlineStr">
        <is>
          <t>Biệt thự, công trình cao cấp</t>
        </is>
      </c>
      <c r="L91" s="33" t="n">
        <v>1.4</v>
      </c>
      <c r="M91" s="33" t="inlineStr">
        <is>
          <t>5-15mm / Kính hộp 20-28mm</t>
        </is>
      </c>
      <c r="N91" s="33" t="inlineStr">
        <is>
          <t>15mm</t>
        </is>
      </c>
      <c r="O91" s="33" t="inlineStr">
        <is>
          <t>1600×2800</t>
        </is>
      </c>
      <c r="P91" s="33" t="n">
        <v>120</v>
      </c>
      <c r="Q91" s="33" t="inlineStr">
        <is>
          <t>Rãnh C</t>
        </is>
      </c>
      <c r="R91" s="33" t="inlineStr">
        <is>
          <t>Gioăng EPDM đa khoang / Dow Corning</t>
        </is>
      </c>
      <c r="S91" s="33" t="inlineStr">
        <is>
          <t>Sơn Wagner Thụy Sỹ, ép vân gỗ hàn túi tự động</t>
        </is>
      </c>
      <c r="T91" s="33" t="inlineStr">
        <is>
          <t>Hệ VIP toàn diện nhất dòng EuroVN, sơn Wagner bền, vát cạnh &amp; gân chìm tăng cứng</t>
        </is>
      </c>
      <c r="U91" s="33" t="inlineStr">
        <is>
          <t>Thị phần nhỏ hơn Civro</t>
        </is>
      </c>
      <c r="V91" s="33" t="inlineStr">
        <is>
          <t>✓</t>
        </is>
      </c>
      <c r="W91" s="33" t="inlineStr">
        <is>
          <t>✓</t>
        </is>
      </c>
      <c r="X91" s="33" t="inlineStr">
        <is>
          <t>✓</t>
        </is>
      </c>
      <c r="Y91" s="33" t="inlineStr">
        <is>
          <t>✓</t>
        </is>
      </c>
      <c r="Z91" s="33" t="inlineStr">
        <is>
          <t>Hoàn thành</t>
        </is>
      </c>
      <c r="AA91" s="70" t="n">
        <v>72</v>
      </c>
      <c r="AB91" s="33" t="inlineStr"/>
      <c r="AC91" s="33" t="inlineStr"/>
      <c r="AD91" s="33" t="inlineStr"/>
    </row>
    <row r="92" ht="35" customHeight="1">
      <c r="A92" s="47" t="inlineStr">
        <is>
          <t>EV-003</t>
        </is>
      </c>
      <c r="B92" s="47" t="inlineStr">
        <is>
          <t>Trượt quay Cao cấp</t>
        </is>
      </c>
      <c r="C92" s="47" t="inlineStr">
        <is>
          <t>EuroVN Trượt quay</t>
        </is>
      </c>
      <c r="D92" s="47" t="inlineStr">
        <is>
          <t>EuroVN</t>
        </is>
      </c>
      <c r="E92" s="47" t="inlineStr">
        <is>
          <t>Việt Nam</t>
        </is>
      </c>
      <c r="F92" s="47" t="inlineStr">
        <is>
          <t>TCVN</t>
        </is>
      </c>
      <c r="G92" s="47" t="inlineStr">
        <is>
          <t>Cửa đi</t>
        </is>
      </c>
      <c r="H92" s="47" t="inlineStr">
        <is>
          <t>Trượt quay (Sliding Rotating)</t>
        </is>
      </c>
      <c r="I92" s="47" t="inlineStr">
        <is>
          <t>Khung + Cánh + Ray đặc biệt 2 trong 1</t>
        </is>
      </c>
      <c r="J92" s="47" t="inlineStr">
        <is>
          <t>Ngoại thất</t>
        </is>
      </c>
      <c r="K92" s="47" t="inlineStr">
        <is>
          <t>Biệt thự, tối ưu không gian</t>
        </is>
      </c>
      <c r="L92" s="47" t="n">
        <v>1.6</v>
      </c>
      <c r="M92" s="47" t="inlineStr">
        <is>
          <t>Kính cường lực 10-15mm</t>
        </is>
      </c>
      <c r="N92" s="47" t="inlineStr">
        <is>
          <t>15mm</t>
        </is>
      </c>
      <c r="O92" s="47" t="inlineStr">
        <is>
          <t>2000×2800</t>
        </is>
      </c>
      <c r="P92" s="47" t="n">
        <v>150</v>
      </c>
      <c r="Q92" s="47" t="inlineStr">
        <is>
          <t>Slido / Häfele trượt quay</t>
        </is>
      </c>
      <c r="R92" s="47" t="inlineStr">
        <is>
          <t>Gioăng EPDM / Silicon</t>
        </is>
      </c>
      <c r="S92" s="47" t="inlineStr">
        <is>
          <t>Sơn Wagner Thụy Sỹ</t>
        </is>
      </c>
      <c r="T92" s="47" t="inlineStr">
        <is>
          <t>Trượt quay 180° tối ưu không gian hành lang, thẩm mỹ cao</t>
        </is>
      </c>
      <c r="U92" s="47" t="inlineStr">
        <is>
          <t>Giá cao hơn EuroVN thường</t>
        </is>
      </c>
      <c r="V92" s="47" t="inlineStr">
        <is>
          <t>✓</t>
        </is>
      </c>
      <c r="W92" s="47" t="inlineStr">
        <is>
          <t>✓</t>
        </is>
      </c>
      <c r="X92" s="47" t="inlineStr">
        <is>
          <t>✓</t>
        </is>
      </c>
      <c r="Y92" s="47" t="inlineStr">
        <is>
          <t>✓</t>
        </is>
      </c>
      <c r="Z92" s="47" t="inlineStr">
        <is>
          <t>Hoàn thành</t>
        </is>
      </c>
      <c r="AA92" s="62" t="n">
        <v>68</v>
      </c>
      <c r="AB92" s="47" t="inlineStr"/>
      <c r="AC92" s="47" t="inlineStr"/>
      <c r="AD92" s="47" t="inlineStr"/>
    </row>
    <row r="93" ht="35" customHeight="1">
      <c r="A93" s="39" t="inlineStr">
        <is>
          <t>EV-004</t>
        </is>
      </c>
      <c r="B93" s="39" t="inlineStr">
        <is>
          <t>Thủy lực Siêu cao cấp</t>
        </is>
      </c>
      <c r="C93" s="39" t="inlineStr">
        <is>
          <t>EuroVN Thủy lực</t>
        </is>
      </c>
      <c r="D93" s="39" t="inlineStr">
        <is>
          <t>EuroVN</t>
        </is>
      </c>
      <c r="E93" s="39" t="inlineStr">
        <is>
          <t>Việt Nam</t>
        </is>
      </c>
      <c r="F93" s="39" t="inlineStr">
        <is>
          <t>TCVN</t>
        </is>
      </c>
      <c r="G93" s="39" t="inlineStr">
        <is>
          <t>Cửa đi</t>
        </is>
      </c>
      <c r="H93" s="39" t="inlineStr">
        <is>
          <t>Thủy lực 2 chiều (Hydraulic Door)</t>
        </is>
      </c>
      <c r="I93" s="39" t="inlineStr">
        <is>
          <t>Khung 140-180mm cánh + Hệ thủy lực QueenViet</t>
        </is>
      </c>
      <c r="J93" s="39" t="inlineStr">
        <is>
          <t>Ngoại thất</t>
        </is>
      </c>
      <c r="K93" s="39" t="inlineStr">
        <is>
          <t>Biệt thự siêu cao cấp, showroom</t>
        </is>
      </c>
      <c r="L93" s="39" t="n">
        <v>1.8</v>
      </c>
      <c r="M93" s="39" t="inlineStr">
        <is>
          <t>Kính cường lực 15-19mm</t>
        </is>
      </c>
      <c r="N93" s="39" t="inlineStr">
        <is>
          <t>19mm</t>
        </is>
      </c>
      <c r="O93" s="39" t="inlineStr">
        <is>
          <t>3000×3500</t>
        </is>
      </c>
      <c r="P93" s="39" t="n">
        <v>800</v>
      </c>
      <c r="Q93" s="39" t="inlineStr">
        <is>
          <t>Thủy lực đặc chủng QueenViet Group</t>
        </is>
      </c>
      <c r="R93" s="39" t="inlineStr">
        <is>
          <t>Keo silicon kết cấu / EPDM</t>
        </is>
      </c>
      <c r="S93" s="39" t="inlineStr">
        <is>
          <t>Sơn Wagner Thụy Sỹ đặc chủng</t>
        </is>
      </c>
      <c r="T93" s="39" t="inlineStr">
        <is>
          <t>Cửa thủy lực QueenViet Group nổi tiếng, tự đóng êm, bản cánh 140-180mm siêu rộng</t>
        </is>
      </c>
      <c r="U93" s="39" t="inlineStr">
        <is>
          <t>Giá cao, ít nhà phân phối</t>
        </is>
      </c>
      <c r="V93" s="39" t="inlineStr">
        <is>
          <t>✓</t>
        </is>
      </c>
      <c r="W93" s="39" t="inlineStr">
        <is>
          <t>✓</t>
        </is>
      </c>
      <c r="X93" s="39" t="inlineStr">
        <is>
          <t>✓</t>
        </is>
      </c>
      <c r="Y93" s="39" t="inlineStr">
        <is>
          <t>✓</t>
        </is>
      </c>
      <c r="Z93" s="39" t="inlineStr">
        <is>
          <t>Hoàn thành</t>
        </is>
      </c>
      <c r="AA93" s="55" t="n">
        <v>70</v>
      </c>
      <c r="AB93" s="39" t="inlineStr"/>
      <c r="AC93" s="39" t="inlineStr"/>
      <c r="AD93" s="39" t="inlineStr"/>
    </row>
    <row r="94" ht="35" customHeight="1">
      <c r="A94" s="24" t="inlineStr">
        <is>
          <t>EV-005</t>
        </is>
      </c>
      <c r="B94" s="24" t="inlineStr">
        <is>
          <t>Cầu cách nhiệt Cao cấp</t>
        </is>
      </c>
      <c r="C94" s="24" t="inlineStr">
        <is>
          <t>EuroVN Thermal</t>
        </is>
      </c>
      <c r="D94" s="24" t="inlineStr">
        <is>
          <t>EuroVN</t>
        </is>
      </c>
      <c r="E94" s="24" t="inlineStr">
        <is>
          <t>Việt Nam</t>
        </is>
      </c>
      <c r="F94" s="24" t="inlineStr">
        <is>
          <t>EN 14351-1</t>
        </is>
      </c>
      <c r="G94" s="24" t="inlineStr">
        <is>
          <t>Cửa đi + Cửa sổ</t>
        </is>
      </c>
      <c r="H94" s="24" t="inlineStr">
        <is>
          <t>Mở quay + Trượt</t>
        </is>
      </c>
      <c r="I94" s="24" t="inlineStr">
        <is>
          <t>Khung + dải Polyamide cách nhiệt</t>
        </is>
      </c>
      <c r="J94" s="24" t="inlineStr">
        <is>
          <t>Ngoại thất – Công trình xanh</t>
        </is>
      </c>
      <c r="K94" s="24" t="inlineStr">
        <is>
          <t>Biệt thự, tiết kiệm năng lượng</t>
        </is>
      </c>
      <c r="L94" s="24" t="n">
        <v>1.6</v>
      </c>
      <c r="M94" s="24" t="inlineStr">
        <is>
          <t>Kính hộp Low-E 24-36mm</t>
        </is>
      </c>
      <c r="N94" s="24" t="inlineStr">
        <is>
          <t>16mm</t>
        </is>
      </c>
      <c r="O94" s="24" t="inlineStr">
        <is>
          <t>1400×2800</t>
        </is>
      </c>
      <c r="P94" s="24" t="n">
        <v>120</v>
      </c>
      <c r="Q94" s="24" t="inlineStr">
        <is>
          <t>Rãnh C cách nhiệt</t>
        </is>
      </c>
      <c r="R94" s="24" t="inlineStr">
        <is>
          <t>Gioăng EPDM cách nhiệt / Dow Corning</t>
        </is>
      </c>
      <c r="S94" s="24" t="inlineStr">
        <is>
          <t>Sơn Wagner Thụy Sỹ 2 màu trong ngoài</t>
        </is>
      </c>
      <c r="T94" s="24" t="inlineStr">
        <is>
          <t>Cách nhiệt + sơn Wagner Thụy Sỹ bền 10 năm, tiết kiệm điện điều hòa</t>
        </is>
      </c>
      <c r="U94" s="24" t="inlineStr">
        <is>
          <t>Thị phần nhỏ ở mảng cách nhiệt</t>
        </is>
      </c>
      <c r="V94" s="24" t="inlineStr">
        <is>
          <t>✓</t>
        </is>
      </c>
      <c r="W94" s="24" t="inlineStr">
        <is>
          <t>✓</t>
        </is>
      </c>
      <c r="X94" s="24" t="inlineStr">
        <is>
          <t>✓</t>
        </is>
      </c>
      <c r="Y94" s="24" t="inlineStr">
        <is>
          <t>✓</t>
        </is>
      </c>
      <c r="Z94" s="24" t="inlineStr">
        <is>
          <t>Đang nghiên cứu</t>
        </is>
      </c>
      <c r="AA94" s="67" t="n">
        <v>60</v>
      </c>
      <c r="AB94" s="24" t="inlineStr"/>
      <c r="AC94" s="24" t="inlineStr"/>
      <c r="AD94" s="24" t="inlineStr"/>
    </row>
    <row r="95" ht="35" customHeight="1">
      <c r="A95" s="2" t="inlineStr">
        <is>
          <t>YL-001</t>
        </is>
      </c>
      <c r="B95" s="2" t="inlineStr">
        <is>
          <t>Phổ thông</t>
        </is>
      </c>
      <c r="C95" s="2" t="inlineStr">
        <is>
          <t>Yangli 55 Rãnh C</t>
        </is>
      </c>
      <c r="D95" s="2" t="inlineStr">
        <is>
          <t>Yangli</t>
        </is>
      </c>
      <c r="E95" s="2" t="inlineStr">
        <is>
          <t>Trung Quốc/Việt Nam</t>
        </is>
      </c>
      <c r="F95" s="2" t="inlineStr">
        <is>
          <t>QCVN 16:2019 / ISO 9001</t>
        </is>
      </c>
      <c r="G95" s="2" t="inlineStr">
        <is>
          <t>Cửa đi + Cửa sổ</t>
        </is>
      </c>
      <c r="H95" s="2" t="inlineStr">
        <is>
          <t>Mở quay (Casement)</t>
        </is>
      </c>
      <c r="I95" s="2" t="inlineStr">
        <is>
          <t>Khung 55mm vát cạnh 3D + Gân tăng cứng</t>
        </is>
      </c>
      <c r="J95" s="2" t="inlineStr">
        <is>
          <t>Ngoại thất</t>
        </is>
      </c>
      <c r="K95" s="2" t="inlineStr">
        <is>
          <t>Nhà phố, chung cư</t>
        </is>
      </c>
      <c r="L95" s="2" t="n">
        <v>1.3</v>
      </c>
      <c r="M95" s="2" t="inlineStr">
        <is>
          <t>5-10mm</t>
        </is>
      </c>
      <c r="N95" s="2" t="inlineStr">
        <is>
          <t>10mm</t>
        </is>
      </c>
      <c r="O95" s="2" t="inlineStr">
        <is>
          <t>1200×2400</t>
        </is>
      </c>
      <c r="P95" s="2" t="n">
        <v>80</v>
      </c>
      <c r="Q95" s="2" t="inlineStr">
        <is>
          <t>Rãnh C</t>
        </is>
      </c>
      <c r="R95" s="2" t="inlineStr">
        <is>
          <t>Gioăng EPDM / Silicon trung tính</t>
        </is>
      </c>
      <c r="S95" s="2" t="inlineStr">
        <is>
          <t>Anodized bạc, sơn tĩnh điện bột – vát cạnh 3D</t>
        </is>
      </c>
      <c r="T95" s="2" t="inlineStr">
        <is>
          <t>Thiết kế vát cạnh tạo hiệu ứng 3D đặc trưng Yangli, giá cạnh tranh, QCVN</t>
        </is>
      </c>
      <c r="U95" s="2" t="inlineStr">
        <is>
          <t>Chất lượng không đồng đều tùy lô hàng</t>
        </is>
      </c>
      <c r="V95" s="2" t="inlineStr">
        <is>
          <t>✓</t>
        </is>
      </c>
      <c r="W95" s="2" t="inlineStr">
        <is>
          <t>✗</t>
        </is>
      </c>
      <c r="X95" s="2" t="inlineStr">
        <is>
          <t>✓</t>
        </is>
      </c>
      <c r="Y95" s="2" t="inlineStr">
        <is>
          <t>✓</t>
        </is>
      </c>
      <c r="Z95" s="2" t="inlineStr">
        <is>
          <t>Hoàn thành</t>
        </is>
      </c>
      <c r="AA95" s="30" t="n">
        <v>70</v>
      </c>
      <c r="AB95" s="2" t="inlineStr">
        <is>
          <t>https://yangli.vn</t>
        </is>
      </c>
      <c r="AC95" s="2" t="inlineStr"/>
      <c r="AD95" s="2" t="inlineStr"/>
    </row>
    <row r="96" ht="35" customHeight="1">
      <c r="A96" s="2" t="inlineStr">
        <is>
          <t>YL-002</t>
        </is>
      </c>
      <c r="B96" s="2" t="inlineStr">
        <is>
          <t>Phổ thông</t>
        </is>
      </c>
      <c r="C96" s="2" t="inlineStr">
        <is>
          <t>Yangli 60/65 Rãnh C</t>
        </is>
      </c>
      <c r="D96" s="2" t="inlineStr">
        <is>
          <t>Yangli</t>
        </is>
      </c>
      <c r="E96" s="2" t="inlineStr">
        <is>
          <t>Trung Quốc/Việt Nam</t>
        </is>
      </c>
      <c r="F96" s="2" t="inlineStr">
        <is>
          <t>QCVN 16:2019</t>
        </is>
      </c>
      <c r="G96" s="2" t="inlineStr">
        <is>
          <t>Cửa đi + Cửa sổ</t>
        </is>
      </c>
      <c r="H96" s="2" t="inlineStr">
        <is>
          <t>Mở quay + Trượt lùa</t>
        </is>
      </c>
      <c r="I96" s="2" t="inlineStr">
        <is>
          <t>Khung 60-65mm rãnh C vát cạnh</t>
        </is>
      </c>
      <c r="J96" s="2" t="inlineStr">
        <is>
          <t>Ngoại thất</t>
        </is>
      </c>
      <c r="K96" s="2" t="inlineStr">
        <is>
          <t>Nhà phố, biệt thự trung cấp</t>
        </is>
      </c>
      <c r="L96" s="2" t="n">
        <v>1.3</v>
      </c>
      <c r="M96" s="2" t="inlineStr">
        <is>
          <t>5-12mm / Kính hộp 20-28mm</t>
        </is>
      </c>
      <c r="N96" s="2" t="inlineStr">
        <is>
          <t>12mm</t>
        </is>
      </c>
      <c r="O96" s="2" t="inlineStr">
        <is>
          <t>1600×2800</t>
        </is>
      </c>
      <c r="P96" s="2" t="n">
        <v>100</v>
      </c>
      <c r="Q96" s="2" t="inlineStr">
        <is>
          <t>Rãnh C</t>
        </is>
      </c>
      <c r="R96" s="2" t="inlineStr">
        <is>
          <t>Gioăng EPDM / Silicon</t>
        </is>
      </c>
      <c r="S96" s="2" t="inlineStr">
        <is>
          <t>Anodized bạc, sơn bột</t>
        </is>
      </c>
      <c r="T96" s="2" t="inlineStr">
        <is>
          <t>Rãnh C tiêu chuẩn, giá trung bình, đa dạng mẫu mã</t>
        </is>
      </c>
      <c r="U96" s="2" t="inlineStr">
        <is>
          <t>Ít hệ chuyên dụng</t>
        </is>
      </c>
      <c r="V96" s="2" t="inlineStr">
        <is>
          <t>✓</t>
        </is>
      </c>
      <c r="W96" s="2" t="inlineStr">
        <is>
          <t>✗</t>
        </is>
      </c>
      <c r="X96" s="2" t="inlineStr">
        <is>
          <t>✓</t>
        </is>
      </c>
      <c r="Y96" s="2" t="inlineStr">
        <is>
          <t>✓</t>
        </is>
      </c>
      <c r="Z96" s="2" t="inlineStr">
        <is>
          <t>Hoàn thành</t>
        </is>
      </c>
      <c r="AA96" s="30" t="n">
        <v>68</v>
      </c>
      <c r="AB96" s="2" t="inlineStr">
        <is>
          <t>https://yangli.vn</t>
        </is>
      </c>
      <c r="AC96" s="2" t="inlineStr"/>
      <c r="AD96" s="2" t="inlineStr"/>
    </row>
    <row r="97" ht="35" customHeight="1">
      <c r="A97" s="47" t="inlineStr">
        <is>
          <t>YL-003</t>
        </is>
      </c>
      <c r="B97" s="47" t="inlineStr">
        <is>
          <t>Tân cổ điển</t>
        </is>
      </c>
      <c r="C97" s="47" t="inlineStr">
        <is>
          <t>Yangli-XF Tân cổ điển</t>
        </is>
      </c>
      <c r="D97" s="47" t="inlineStr">
        <is>
          <t>Yangli</t>
        </is>
      </c>
      <c r="E97" s="47" t="inlineStr">
        <is>
          <t>Trung Quốc/Việt Nam</t>
        </is>
      </c>
      <c r="F97" s="47" t="inlineStr">
        <is>
          <t>QCVN</t>
        </is>
      </c>
      <c r="G97" s="47" t="inlineStr">
        <is>
          <t>Cửa đi + Cửa sổ</t>
        </is>
      </c>
      <c r="H97" s="47" t="inlineStr">
        <is>
          <t>Mở quay + Trượt lùa</t>
        </is>
      </c>
      <c r="I97" s="47" t="inlineStr">
        <is>
          <t>Profile Xingfa mô phỏng, đa hệ</t>
        </is>
      </c>
      <c r="J97" s="47" t="inlineStr">
        <is>
          <t>Ngoại thất</t>
        </is>
      </c>
      <c r="K97" s="47" t="inlineStr">
        <is>
          <t>Nhà phố phong cách</t>
        </is>
      </c>
      <c r="L97" s="47" t="n">
        <v>1.3</v>
      </c>
      <c r="M97" s="47" t="inlineStr">
        <is>
          <t>5-12mm</t>
        </is>
      </c>
      <c r="N97" s="47" t="inlineStr">
        <is>
          <t>12mm</t>
        </is>
      </c>
      <c r="O97" s="47" t="inlineStr">
        <is>
          <t>1400×2600</t>
        </is>
      </c>
      <c r="P97" s="47" t="n">
        <v>100</v>
      </c>
      <c r="Q97" s="47" t="inlineStr">
        <is>
          <t>Rãnh C / Rãnh 22</t>
        </is>
      </c>
      <c r="R97" s="47" t="inlineStr">
        <is>
          <t>Gioăng EPDM / Silicon</t>
        </is>
      </c>
      <c r="S97" s="47" t="inlineStr">
        <is>
          <t>Sơn bột vân gỗ, champagne vàng</t>
        </is>
      </c>
      <c r="T97" s="47" t="inlineStr">
        <is>
          <t>Đa dạng phong cách, giá tốt</t>
        </is>
      </c>
      <c r="U97" s="47" t="inlineStr">
        <is>
          <t>Chất lượng kém hơn VRE/Civro</t>
        </is>
      </c>
      <c r="V97" s="47" t="inlineStr">
        <is>
          <t>✓</t>
        </is>
      </c>
      <c r="W97" s="47" t="inlineStr">
        <is>
          <t>✗</t>
        </is>
      </c>
      <c r="X97" s="47" t="inlineStr">
        <is>
          <t>✓</t>
        </is>
      </c>
      <c r="Y97" s="47" t="inlineStr">
        <is>
          <t>✓</t>
        </is>
      </c>
      <c r="Z97" s="47" t="inlineStr">
        <is>
          <t>Hoàn thành</t>
        </is>
      </c>
      <c r="AA97" s="62" t="n">
        <v>65</v>
      </c>
      <c r="AB97" s="47" t="inlineStr">
        <is>
          <t>https://yangli.vn</t>
        </is>
      </c>
      <c r="AC97" s="47" t="inlineStr"/>
      <c r="AD97" s="47" t="inlineStr"/>
    </row>
    <row r="98" ht="35" customHeight="1">
      <c r="A98" s="47" t="inlineStr">
        <is>
          <t>YL-004</t>
        </is>
      </c>
      <c r="B98" s="47" t="inlineStr">
        <is>
          <t>Thủy lực</t>
        </is>
      </c>
      <c r="C98" s="47" t="inlineStr">
        <is>
          <t>Yangli Thủy lực</t>
        </is>
      </c>
      <c r="D98" s="47" t="inlineStr">
        <is>
          <t>Yangli</t>
        </is>
      </c>
      <c r="E98" s="47" t="inlineStr">
        <is>
          <t>Trung Quốc/Việt Nam</t>
        </is>
      </c>
      <c r="F98" s="47" t="inlineStr">
        <is>
          <t>QCVN</t>
        </is>
      </c>
      <c r="G98" s="47" t="inlineStr">
        <is>
          <t>Cửa đi</t>
        </is>
      </c>
      <c r="H98" s="47" t="inlineStr">
        <is>
          <t>Thủy lực 2 chiều</t>
        </is>
      </c>
      <c r="I98" s="47" t="inlineStr">
        <is>
          <t>Bản cánh lớn + Hệ thủy lực</t>
        </is>
      </c>
      <c r="J98" s="47" t="inlineStr">
        <is>
          <t>Ngoại thất</t>
        </is>
      </c>
      <c r="K98" s="47" t="inlineStr">
        <is>
          <t>Biệt thự, showroom</t>
        </is>
      </c>
      <c r="L98" s="47" t="n">
        <v>1.6</v>
      </c>
      <c r="M98" s="47" t="inlineStr">
        <is>
          <t>Kính cường lực 15-19mm</t>
        </is>
      </c>
      <c r="N98" s="47" t="inlineStr">
        <is>
          <t>19mm</t>
        </is>
      </c>
      <c r="O98" s="47" t="inlineStr">
        <is>
          <t>3000×3500</t>
        </is>
      </c>
      <c r="P98" s="47" t="n">
        <v>800</v>
      </c>
      <c r="Q98" s="47" t="inlineStr">
        <is>
          <t>Thủy lực đặc chủng</t>
        </is>
      </c>
      <c r="R98" s="47" t="inlineStr">
        <is>
          <t>Silicon kết cấu</t>
        </is>
      </c>
      <c r="S98" s="47" t="inlineStr">
        <is>
          <t>Sơn tĩnh điện đặc chủng</t>
        </is>
      </c>
      <c r="T98" s="47" t="inlineStr">
        <is>
          <t>Cửa thủy lực giá tốt hơn thương hiệu Việt Nam</t>
        </is>
      </c>
      <c r="U98" s="47" t="inlineStr">
        <is>
          <t>Chất lượng thủy lực kém hơn Owin/Maxpro</t>
        </is>
      </c>
      <c r="V98" s="47" t="inlineStr">
        <is>
          <t>✓</t>
        </is>
      </c>
      <c r="W98" s="47" t="inlineStr">
        <is>
          <t>✗</t>
        </is>
      </c>
      <c r="X98" s="47" t="inlineStr">
        <is>
          <t>✓</t>
        </is>
      </c>
      <c r="Y98" s="47" t="inlineStr">
        <is>
          <t>✓</t>
        </is>
      </c>
      <c r="Z98" s="47" t="inlineStr">
        <is>
          <t>Đang nghiên cứu</t>
        </is>
      </c>
      <c r="AA98" s="62" t="n">
        <v>60</v>
      </c>
      <c r="AB98" s="47" t="inlineStr">
        <is>
          <t>https://yangli.vn</t>
        </is>
      </c>
      <c r="AC98" s="47" t="inlineStr"/>
      <c r="AD98" s="47" t="inlineStr"/>
    </row>
    <row r="99" ht="35" customHeight="1">
      <c r="A99" s="16" t="inlineStr">
        <is>
          <t>YL-005</t>
        </is>
      </c>
      <c r="B99" s="16" t="inlineStr">
        <is>
          <t>Trượt lùa</t>
        </is>
      </c>
      <c r="C99" s="16" t="inlineStr">
        <is>
          <t>Yangli Lùa 95/97</t>
        </is>
      </c>
      <c r="D99" s="16" t="inlineStr">
        <is>
          <t>Yangli</t>
        </is>
      </c>
      <c r="E99" s="16" t="inlineStr">
        <is>
          <t>Trung Quốc/Việt Nam</t>
        </is>
      </c>
      <c r="F99" s="16" t="inlineStr">
        <is>
          <t>QCVN</t>
        </is>
      </c>
      <c r="G99" s="16" t="inlineStr">
        <is>
          <t>Cửa đi + Cửa sổ</t>
        </is>
      </c>
      <c r="H99" s="16" t="inlineStr">
        <is>
          <t>Trượt lùa (Sliding)</t>
        </is>
      </c>
      <c r="I99" s="16" t="inlineStr">
        <is>
          <t>Khung 95-97mm + Ray inox</t>
        </is>
      </c>
      <c r="J99" s="16" t="inlineStr">
        <is>
          <t>Ngoại thất</t>
        </is>
      </c>
      <c r="K99" s="16" t="inlineStr">
        <is>
          <t>Nhà phố, biệt thự trung cấp</t>
        </is>
      </c>
      <c r="L99" s="16" t="n">
        <v>1.4</v>
      </c>
      <c r="M99" s="16" t="inlineStr">
        <is>
          <t>5-12mm</t>
        </is>
      </c>
      <c r="N99" s="16" t="inlineStr">
        <is>
          <t>12mm</t>
        </is>
      </c>
      <c r="O99" s="16" t="inlineStr">
        <is>
          <t>4000×2400</t>
        </is>
      </c>
      <c r="P99" s="16" t="n">
        <v>150</v>
      </c>
      <c r="Q99" s="16" t="inlineStr">
        <is>
          <t>Ray inox SUS304</t>
        </is>
      </c>
      <c r="R99" s="16" t="inlineStr">
        <is>
          <t>Gioăng EPDM / Silicon</t>
        </is>
      </c>
      <c r="S99" s="16" t="inlineStr">
        <is>
          <t>Anodized, sơn tĩnh điện</t>
        </is>
      </c>
      <c r="T99" s="16" t="inlineStr">
        <is>
          <t>Ray inox bền, giá cạnh tranh</t>
        </is>
      </c>
      <c r="U99" s="16" t="inlineStr">
        <is>
          <t>Kín khít thấp hơn Lift Slide</t>
        </is>
      </c>
      <c r="V99" s="16" t="inlineStr">
        <is>
          <t>✓</t>
        </is>
      </c>
      <c r="W99" s="16" t="inlineStr">
        <is>
          <t>✗</t>
        </is>
      </c>
      <c r="X99" s="16" t="inlineStr">
        <is>
          <t>✓</t>
        </is>
      </c>
      <c r="Y99" s="16" t="inlineStr">
        <is>
          <t>✓</t>
        </is>
      </c>
      <c r="Z99" s="16" t="inlineStr">
        <is>
          <t>Hoàn thành</t>
        </is>
      </c>
      <c r="AA99" s="56" t="n">
        <v>68</v>
      </c>
      <c r="AB99" s="16" t="inlineStr">
        <is>
          <t>https://yangli.vn</t>
        </is>
      </c>
      <c r="AC99" s="16" t="inlineStr"/>
      <c r="AD99" s="16" t="inlineStr"/>
    </row>
    <row r="100" ht="35" customHeight="1">
      <c r="A100" s="47" t="inlineStr">
        <is>
          <t>YL-006</t>
        </is>
      </c>
      <c r="B100" s="47" t="inlineStr">
        <is>
          <t>Trượt lùa Rộng</t>
        </is>
      </c>
      <c r="C100" s="47" t="inlineStr">
        <is>
          <t>Yangli Lùa 120</t>
        </is>
      </c>
      <c r="D100" s="47" t="inlineStr">
        <is>
          <t>Yangli</t>
        </is>
      </c>
      <c r="E100" s="47" t="inlineStr">
        <is>
          <t>Trung Quốc/Việt Nam</t>
        </is>
      </c>
      <c r="F100" s="47" t="inlineStr">
        <is>
          <t>QCVN</t>
        </is>
      </c>
      <c r="G100" s="47" t="inlineStr">
        <is>
          <t>Cửa đi</t>
        </is>
      </c>
      <c r="H100" s="47" t="inlineStr">
        <is>
          <t>Trượt lùa 2 ray (Sliding)</t>
        </is>
      </c>
      <c r="I100" s="47" t="inlineStr">
        <is>
          <t>Khung 120mm + Ray inox</t>
        </is>
      </c>
      <c r="J100" s="47" t="inlineStr">
        <is>
          <t>Ngoại thất</t>
        </is>
      </c>
      <c r="K100" s="47" t="inlineStr">
        <is>
          <t>Biệt thự</t>
        </is>
      </c>
      <c r="L100" s="47" t="n">
        <v>1.5</v>
      </c>
      <c r="M100" s="47" t="inlineStr">
        <is>
          <t>Kính hộp 20-28mm</t>
        </is>
      </c>
      <c r="N100" s="47" t="inlineStr">
        <is>
          <t>15mm</t>
        </is>
      </c>
      <c r="O100" s="47" t="inlineStr">
        <is>
          <t>5000×2600</t>
        </is>
      </c>
      <c r="P100" s="47" t="n">
        <v>200</v>
      </c>
      <c r="Q100" s="47" t="inlineStr">
        <is>
          <t>Ray inox SUS304</t>
        </is>
      </c>
      <c r="R100" s="47" t="inlineStr">
        <is>
          <t>Gioăng EPDM kép / Silicon</t>
        </is>
      </c>
      <c r="S100" s="47" t="inlineStr">
        <is>
          <t>Anodized, sơn bột</t>
        </is>
      </c>
      <c r="T100" s="47" t="inlineStr">
        <is>
          <t>Cánh lùa rộng 2 ray, giá tốt</t>
        </is>
      </c>
      <c r="U100" s="47" t="inlineStr">
        <is>
          <t>Kín khít kém hơn Lift Slide</t>
        </is>
      </c>
      <c r="V100" s="47" t="inlineStr">
        <is>
          <t>✓</t>
        </is>
      </c>
      <c r="W100" s="47" t="inlineStr">
        <is>
          <t>✗</t>
        </is>
      </c>
      <c r="X100" s="47" t="inlineStr">
        <is>
          <t>✓</t>
        </is>
      </c>
      <c r="Y100" s="47" t="inlineStr">
        <is>
          <t>✓</t>
        </is>
      </c>
      <c r="Z100" s="47" t="inlineStr">
        <is>
          <t>Hoàn thành</t>
        </is>
      </c>
      <c r="AA100" s="62" t="n">
        <v>65</v>
      </c>
      <c r="AB100" s="47" t="inlineStr">
        <is>
          <t>https://yangli.vn</t>
        </is>
      </c>
      <c r="AC100" s="47" t="inlineStr"/>
      <c r="AD100" s="47" t="inlineStr"/>
    </row>
    <row r="101" ht="35" customHeight="1">
      <c r="A101" s="47" t="inlineStr">
        <is>
          <t>YL-007</t>
        </is>
      </c>
      <c r="B101" s="47" t="inlineStr">
        <is>
          <t>Trượt lùa 3 Ray</t>
        </is>
      </c>
      <c r="C101" s="47" t="inlineStr">
        <is>
          <t>Yangli Lùa 180</t>
        </is>
      </c>
      <c r="D101" s="47" t="inlineStr">
        <is>
          <t>Yangli</t>
        </is>
      </c>
      <c r="E101" s="47" t="inlineStr">
        <is>
          <t>Trung Quốc/Việt Nam</t>
        </is>
      </c>
      <c r="F101" s="47" t="inlineStr">
        <is>
          <t>QCVN</t>
        </is>
      </c>
      <c r="G101" s="47" t="inlineStr">
        <is>
          <t>Cửa đi</t>
        </is>
      </c>
      <c r="H101" s="47" t="inlineStr">
        <is>
          <t>Trượt lùa 3 ray (Sliding)</t>
        </is>
      </c>
      <c r="I101" s="47" t="inlineStr">
        <is>
          <t>Khung 180mm + Ray inox</t>
        </is>
      </c>
      <c r="J101" s="47" t="inlineStr">
        <is>
          <t>Ngoại thất</t>
        </is>
      </c>
      <c r="K101" s="47" t="inlineStr">
        <is>
          <t>Biệt thự, resort</t>
        </is>
      </c>
      <c r="L101" s="47" t="n">
        <v>1.6</v>
      </c>
      <c r="M101" s="47" t="inlineStr">
        <is>
          <t>Kính hộp 20-28mm</t>
        </is>
      </c>
      <c r="N101" s="47" t="inlineStr">
        <is>
          <t>15mm</t>
        </is>
      </c>
      <c r="O101" s="47" t="inlineStr">
        <is>
          <t>7000×2800</t>
        </is>
      </c>
      <c r="P101" s="47" t="n">
        <v>250</v>
      </c>
      <c r="Q101" s="47" t="inlineStr">
        <is>
          <t>Ray inox SUS304</t>
        </is>
      </c>
      <c r="R101" s="47" t="inlineStr">
        <is>
          <t>Gioăng EPDM 3 lớp / Silicon</t>
        </is>
      </c>
      <c r="S101" s="47" t="inlineStr">
        <is>
          <t>Anodized, sơn bột</t>
        </is>
      </c>
      <c r="T101" s="47" t="inlineStr">
        <is>
          <t>Mở 3 cánh, giá tốt nhất cho hệ 3 ray</t>
        </is>
      </c>
      <c r="U101" s="47" t="inlineStr">
        <is>
          <t>Kín khít kém hơn VRE180</t>
        </is>
      </c>
      <c r="V101" s="47" t="inlineStr">
        <is>
          <t>✓</t>
        </is>
      </c>
      <c r="W101" s="47" t="inlineStr">
        <is>
          <t>✗</t>
        </is>
      </c>
      <c r="X101" s="47" t="inlineStr">
        <is>
          <t>✓</t>
        </is>
      </c>
      <c r="Y101" s="47" t="inlineStr">
        <is>
          <t>✓</t>
        </is>
      </c>
      <c r="Z101" s="47" t="inlineStr">
        <is>
          <t>Đang nghiên cứu</t>
        </is>
      </c>
      <c r="AA101" s="62" t="n">
        <v>62</v>
      </c>
      <c r="AB101" s="47" t="inlineStr">
        <is>
          <t>https://yangli.vn</t>
        </is>
      </c>
      <c r="AC101" s="47" t="inlineStr"/>
      <c r="AD101" s="47" t="inlineStr"/>
    </row>
    <row r="102" ht="35" customHeight="1">
      <c r="A102" s="47" t="inlineStr">
        <is>
          <t>YL-008</t>
        </is>
      </c>
      <c r="B102" s="47" t="inlineStr">
        <is>
          <t>Slim hiện đại</t>
        </is>
      </c>
      <c r="C102" s="47" t="inlineStr">
        <is>
          <t>Yangli Slim 40/45</t>
        </is>
      </c>
      <c r="D102" s="47" t="inlineStr">
        <is>
          <t>Yangli</t>
        </is>
      </c>
      <c r="E102" s="47" t="inlineStr">
        <is>
          <t>Trung Quốc/Việt Nam</t>
        </is>
      </c>
      <c r="F102" s="47" t="inlineStr">
        <is>
          <t>QCVN</t>
        </is>
      </c>
      <c r="G102" s="47" t="inlineStr">
        <is>
          <t>Cửa đi + Cửa sổ</t>
        </is>
      </c>
      <c r="H102" s="47" t="inlineStr">
        <is>
          <t>Mở quay (Minimal Slim)</t>
        </is>
      </c>
      <c r="I102" s="47" t="inlineStr">
        <is>
          <t>Profile siêu mỏng 40-45mm</t>
        </is>
      </c>
      <c r="J102" s="47" t="inlineStr">
        <is>
          <t>Ngoại thất hiện đại</t>
        </is>
      </c>
      <c r="K102" s="47" t="inlineStr">
        <is>
          <t>Nhà phố hiện đại, căn hộ tối giản</t>
        </is>
      </c>
      <c r="L102" s="47" t="n">
        <v>1.1</v>
      </c>
      <c r="M102" s="47" t="inlineStr">
        <is>
          <t>Kính đơn 5-10mm</t>
        </is>
      </c>
      <c r="N102" s="47" t="inlineStr">
        <is>
          <t>10mm</t>
        </is>
      </c>
      <c r="O102" s="47" t="inlineStr">
        <is>
          <t>1200×2400</t>
        </is>
      </c>
      <c r="P102" s="47" t="n">
        <v>60</v>
      </c>
      <c r="Q102" s="47" t="inlineStr">
        <is>
          <t>Rãnh C mỏng</t>
        </is>
      </c>
      <c r="R102" s="47" t="inlineStr">
        <is>
          <t>Gioăng EPDM mỏng / Silicon</t>
        </is>
      </c>
      <c r="S102" s="47" t="inlineStr">
        <is>
          <t>Anodized bạc siêu mỏng, đen mờ</t>
        </is>
      </c>
      <c r="T102" s="47" t="inlineStr">
        <is>
          <t>Profile siêu mỏng 40-45mm – tỷ lệ kính/nhôm tối ưu nhất</t>
        </is>
      </c>
      <c r="U102" s="47" t="inlineStr">
        <is>
          <t>Tải trọng rất giới hạn</t>
        </is>
      </c>
      <c r="V102" s="47" t="inlineStr">
        <is>
          <t>✓</t>
        </is>
      </c>
      <c r="W102" s="47" t="inlineStr">
        <is>
          <t>✗</t>
        </is>
      </c>
      <c r="X102" s="47" t="inlineStr">
        <is>
          <t>✓</t>
        </is>
      </c>
      <c r="Y102" s="47" t="inlineStr">
        <is>
          <t>✓</t>
        </is>
      </c>
      <c r="Z102" s="47" t="inlineStr">
        <is>
          <t>Đang nghiên cứu</t>
        </is>
      </c>
      <c r="AA102" s="62" t="n">
        <v>60</v>
      </c>
      <c r="AB102" s="47" t="inlineStr">
        <is>
          <t>https://yangli.vn</t>
        </is>
      </c>
      <c r="AC102" s="47" t="inlineStr"/>
      <c r="AD102" s="47" t="inlineStr"/>
    </row>
    <row r="103" ht="35" customHeight="1">
      <c r="A103" s="47" t="inlineStr">
        <is>
          <t>YL-009</t>
        </is>
      </c>
      <c r="B103" s="47" t="inlineStr">
        <is>
          <t>Xếp trượt</t>
        </is>
      </c>
      <c r="C103" s="47" t="inlineStr">
        <is>
          <t>Yangli Folding 80</t>
        </is>
      </c>
      <c r="D103" s="47" t="inlineStr">
        <is>
          <t>Yangli</t>
        </is>
      </c>
      <c r="E103" s="47" t="inlineStr">
        <is>
          <t>Trung Quốc/Việt Nam</t>
        </is>
      </c>
      <c r="F103" s="47" t="inlineStr">
        <is>
          <t>QCVN</t>
        </is>
      </c>
      <c r="G103" s="47" t="inlineStr">
        <is>
          <t>Cửa đi</t>
        </is>
      </c>
      <c r="H103" s="47" t="inlineStr">
        <is>
          <t>Xếp trượt (Folding 80)</t>
        </is>
      </c>
      <c r="I103" s="47" t="inlineStr">
        <is>
          <t>Cánh xếp gấp 80mm</t>
        </is>
      </c>
      <c r="J103" s="47" t="inlineStr">
        <is>
          <t>Ngoại thất</t>
        </is>
      </c>
      <c r="K103" s="47" t="inlineStr">
        <is>
          <t>Biệt thự, nhà hàng</t>
        </is>
      </c>
      <c r="L103" s="47" t="n">
        <v>1.5</v>
      </c>
      <c r="M103" s="47" t="inlineStr">
        <is>
          <t>Kính cường lực 8-12mm</t>
        </is>
      </c>
      <c r="N103" s="47" t="inlineStr">
        <is>
          <t>12mm</t>
        </is>
      </c>
      <c r="O103" s="47" t="inlineStr">
        <is>
          <t>5000×2800</t>
        </is>
      </c>
      <c r="P103" s="47" t="n">
        <v>40</v>
      </c>
      <c r="Q103" s="47" t="inlineStr">
        <is>
          <t>Hopo Bi-fold / OPK</t>
        </is>
      </c>
      <c r="R103" s="47" t="inlineStr">
        <is>
          <t>Gioăng EPDM / Silicon</t>
        </is>
      </c>
      <c r="S103" s="47" t="inlineStr">
        <is>
          <t>Anodized, sơn bột</t>
        </is>
      </c>
      <c r="T103" s="47" t="inlineStr">
        <is>
          <t>Xếp trượt giá tốt</t>
        </is>
      </c>
      <c r="U103" s="47" t="inlineStr">
        <is>
          <t>Kín khít kém nhất</t>
        </is>
      </c>
      <c r="V103" s="47" t="inlineStr">
        <is>
          <t>✓</t>
        </is>
      </c>
      <c r="W103" s="47" t="inlineStr">
        <is>
          <t>✗</t>
        </is>
      </c>
      <c r="X103" s="47" t="inlineStr">
        <is>
          <t>✓</t>
        </is>
      </c>
      <c r="Y103" s="47" t="inlineStr">
        <is>
          <t>✓</t>
        </is>
      </c>
      <c r="Z103" s="47" t="inlineStr">
        <is>
          <t>Đang nghiên cứu</t>
        </is>
      </c>
      <c r="AA103" s="48" t="n">
        <v>58</v>
      </c>
      <c r="AB103" s="47" t="inlineStr">
        <is>
          <t>https://yangli.vn</t>
        </is>
      </c>
      <c r="AC103" s="47" t="inlineStr"/>
      <c r="AD103" s="47" t="inlineStr"/>
    </row>
    <row r="104" ht="35" customHeight="1">
      <c r="A104" s="6" t="inlineStr">
        <is>
          <t>YL-010</t>
        </is>
      </c>
      <c r="B104" s="6" t="inlineStr">
        <is>
          <t>Mặt dựng</t>
        </is>
      </c>
      <c r="C104" s="6" t="inlineStr">
        <is>
          <t>Yangli Mặt dựng 52/65</t>
        </is>
      </c>
      <c r="D104" s="6" t="inlineStr">
        <is>
          <t>Yangli</t>
        </is>
      </c>
      <c r="E104" s="6" t="inlineStr">
        <is>
          <t>Trung Quốc/Việt Nam</t>
        </is>
      </c>
      <c r="F104" s="6" t="inlineStr">
        <is>
          <t>QCVN</t>
        </is>
      </c>
      <c r="G104" s="6" t="inlineStr">
        <is>
          <t>Vách mặt dựng</t>
        </is>
      </c>
      <c r="H104" s="6" t="inlineStr">
        <is>
          <t>Cố định (Stick System)</t>
        </is>
      </c>
      <c r="I104" s="6" t="inlineStr">
        <is>
          <t>Module mặt dựng 52-65mm lắp tại chỗ</t>
        </is>
      </c>
      <c r="J104" s="6" t="inlineStr">
        <is>
          <t>Ngoại thất – Công trình</t>
        </is>
      </c>
      <c r="K104" s="6" t="inlineStr">
        <is>
          <t>Tòa nhà thương mại, công trình công nghiệp</t>
        </is>
      </c>
      <c r="L104" s="6" t="n">
        <v>1.8</v>
      </c>
      <c r="M104" s="6" t="inlineStr">
        <is>
          <t>Kính hộp 20-32mm</t>
        </is>
      </c>
      <c r="N104" s="6" t="inlineStr">
        <is>
          <t>32mm</t>
        </is>
      </c>
      <c r="O104" s="6" t="inlineStr">
        <is>
          <t>Không giới hạn</t>
        </is>
      </c>
      <c r="P104" s="6" t="n">
        <v>600</v>
      </c>
      <c r="Q104" s="6" t="inlineStr">
        <is>
          <t>Hệ Stick Yangli</t>
        </is>
      </c>
      <c r="R104" s="6" t="inlineStr">
        <is>
          <t>Silicon kết cấu Sika</t>
        </is>
      </c>
      <c r="S104" s="6" t="inlineStr">
        <is>
          <t>Anodized, sơn bột</t>
        </is>
      </c>
      <c r="T104" s="6" t="inlineStr">
        <is>
          <t>Chi phí thấp nhất cho mặt dựng, phù hợp dự án ngân sách trung bình</t>
        </is>
      </c>
      <c r="U104" s="6" t="inlineStr">
        <is>
          <t>Kém tiêu chuẩn Châu Âu</t>
        </is>
      </c>
      <c r="V104" s="6" t="inlineStr">
        <is>
          <t>✓</t>
        </is>
      </c>
      <c r="W104" s="6" t="inlineStr">
        <is>
          <t>✗</t>
        </is>
      </c>
      <c r="X104" s="6" t="inlineStr">
        <is>
          <t>✓</t>
        </is>
      </c>
      <c r="Y104" s="6" t="inlineStr">
        <is>
          <t>✓</t>
        </is>
      </c>
      <c r="Z104" s="6" t="inlineStr">
        <is>
          <t>Đang nghiên cứu</t>
        </is>
      </c>
      <c r="AA104" s="72" t="n">
        <v>55</v>
      </c>
      <c r="AB104" s="6" t="inlineStr">
        <is>
          <t>https://yangli.vn</t>
        </is>
      </c>
      <c r="AC104" s="6" t="inlineStr"/>
      <c r="AD104" s="6" t="inlineStr"/>
    </row>
    <row r="105" ht="35" customHeight="1">
      <c r="A105" s="73" t="inlineStr">
        <is>
          <t>SH-001</t>
        </is>
      </c>
      <c r="B105" s="73" t="inlineStr">
        <is>
          <t>Casement Đức Cao cấp</t>
        </is>
      </c>
      <c r="C105" s="73" t="inlineStr">
        <is>
          <t>AWS 65</t>
        </is>
      </c>
      <c r="D105" s="73" t="inlineStr">
        <is>
          <t>Schüco</t>
        </is>
      </c>
      <c r="E105" s="73" t="inlineStr">
        <is>
          <t>Đức</t>
        </is>
      </c>
      <c r="F105" s="73" t="inlineStr">
        <is>
          <t>EN 14351-1 / EN 12207 Cls4 / CE</t>
        </is>
      </c>
      <c r="G105" s="73" t="inlineStr">
        <is>
          <t>Cửa sổ + Cửa đi</t>
        </is>
      </c>
      <c r="H105" s="73" t="inlineStr">
        <is>
          <t>Mở quay + Tilt-Turn (Casement + Tilt-Turn)</t>
        </is>
      </c>
      <c r="I105" s="73" t="inlineStr">
        <is>
          <t>Khung 65mm cầu cách nhiệt PA66 GF25</t>
        </is>
      </c>
      <c r="J105" s="73" t="inlineStr">
        <is>
          <t>Ngoại thất – Công trình xanh</t>
        </is>
      </c>
      <c r="K105" s="73" t="inlineStr">
        <is>
          <t>Biệt thự, khách sạn 5 sao, văn phòng hạng A</t>
        </is>
      </c>
      <c r="L105" s="73" t="n">
        <v>2</v>
      </c>
      <c r="M105" s="73" t="inlineStr">
        <is>
          <t>Kính hộp Low-E 24-36mm / Kính 3 lớp 44mm</t>
        </is>
      </c>
      <c r="N105" s="73" t="inlineStr">
        <is>
          <t>18mm</t>
        </is>
      </c>
      <c r="O105" s="73" t="inlineStr">
        <is>
          <t>1800×3000</t>
        </is>
      </c>
      <c r="P105" s="73" t="n">
        <v>200</v>
      </c>
      <c r="Q105" s="73" t="inlineStr">
        <is>
          <t>Rãnh C Euro Groove – tương thích Roto/Siegenia/Maco</t>
        </is>
      </c>
      <c r="R105" s="73" t="inlineStr">
        <is>
          <t>Gioăng EPDM 4 lớp / Dow Corning 795</t>
        </is>
      </c>
      <c r="S105" s="73" t="inlineStr">
        <is>
          <t>Anodized tách màu, PVDF 70%, wood-look, RAL đặc chủng</t>
        </is>
      </c>
      <c r="T105" s="73" t="inlineStr">
        <is>
          <t>Uf=1.3 W/(m²K), cách âm Rw 45dB, bền 50 năm, phụ kiện AvanTec nguyên bộ Châu Âu</t>
        </is>
      </c>
      <c r="U105" s="73" t="inlineStr">
        <is>
          <t>Giá cao hơn VN 3-5 lần, nhập khẩu dài ngày</t>
        </is>
      </c>
      <c r="V105" s="73" t="inlineStr">
        <is>
          <t>✓</t>
        </is>
      </c>
      <c r="W105" s="73" t="inlineStr">
        <is>
          <t>✓</t>
        </is>
      </c>
      <c r="X105" s="73" t="inlineStr">
        <is>
          <t>✓</t>
        </is>
      </c>
      <c r="Y105" s="73" t="inlineStr">
        <is>
          <t>✓</t>
        </is>
      </c>
      <c r="Z105" s="73" t="inlineStr">
        <is>
          <t>Hoàn thành</t>
        </is>
      </c>
      <c r="AA105" s="74" t="n">
        <v>90</v>
      </c>
      <c r="AB105" s="73" t="inlineStr">
        <is>
          <t>https://www.schueco.com</t>
        </is>
      </c>
      <c r="AC105" s="73" t="inlineStr"/>
      <c r="AD105" s="73" t="inlineStr"/>
    </row>
    <row r="106" ht="35" customHeight="1">
      <c r="A106" s="75" t="inlineStr">
        <is>
          <t>SH-002</t>
        </is>
      </c>
      <c r="B106" s="75" t="inlineStr">
        <is>
          <t>Casement Đức Passive House</t>
        </is>
      </c>
      <c r="C106" s="75" t="inlineStr">
        <is>
          <t>AWS 75.SI</t>
        </is>
      </c>
      <c r="D106" s="75" t="inlineStr">
        <is>
          <t>Schüco</t>
        </is>
      </c>
      <c r="E106" s="75" t="inlineStr">
        <is>
          <t>Đức</t>
        </is>
      </c>
      <c r="F106" s="75" t="inlineStr">
        <is>
          <t>EN 14351-1 / PHI Passive</t>
        </is>
      </c>
      <c r="G106" s="75" t="inlineStr">
        <is>
          <t>Cửa sổ + Cửa đi</t>
        </is>
      </c>
      <c r="H106" s="75" t="inlineStr">
        <is>
          <t>Mở quay + Tilt-Turn</t>
        </is>
      </c>
      <c r="I106" s="75" t="inlineStr">
        <is>
          <t>Khung 75mm cầu cách nhiệt PA66 GF25 siêu dày</t>
        </is>
      </c>
      <c r="J106" s="75" t="inlineStr">
        <is>
          <t>Ngoại thất – Passive House</t>
        </is>
      </c>
      <c r="K106" s="75" t="inlineStr">
        <is>
          <t>Nhà thụ động (Passive House), tòa nhà Zero Energy</t>
        </is>
      </c>
      <c r="L106" s="75" t="n">
        <v>2</v>
      </c>
      <c r="M106" s="75" t="inlineStr">
        <is>
          <t>Kính 3 lớp 44-52mm / Kính chân không triple</t>
        </is>
      </c>
      <c r="N106" s="75" t="inlineStr">
        <is>
          <t>20mm</t>
        </is>
      </c>
      <c r="O106" s="75" t="inlineStr">
        <is>
          <t>2000×3500</t>
        </is>
      </c>
      <c r="P106" s="75" t="n">
        <v>250</v>
      </c>
      <c r="Q106" s="75" t="inlineStr">
        <is>
          <t>Rãnh C Châu Âu đặc biệt</t>
        </is>
      </c>
      <c r="R106" s="75" t="inlineStr">
        <is>
          <t>Gioăng EPDM 5 lớp cách nhiệt siêu cao cấp</t>
        </is>
      </c>
      <c r="S106" s="75" t="inlineStr">
        <is>
          <t>Anodized 2 màu, PVDF 2 lớp</t>
        </is>
      </c>
      <c r="T106" s="75" t="inlineStr">
        <is>
          <t>Uf=0.97 W/(m²K) – đạt Passive House PHI, cách âm 52dB, bền 60 năm</t>
        </is>
      </c>
      <c r="U106" s="75" t="inlineStr">
        <is>
          <t>Giá cực cao, thị trường VN rất hạn chế</t>
        </is>
      </c>
      <c r="V106" s="75" t="inlineStr">
        <is>
          <t>✓</t>
        </is>
      </c>
      <c r="W106" s="75" t="inlineStr">
        <is>
          <t>✓</t>
        </is>
      </c>
      <c r="X106" s="75" t="inlineStr">
        <is>
          <t>✓</t>
        </is>
      </c>
      <c r="Y106" s="75" t="inlineStr">
        <is>
          <t>✓</t>
        </is>
      </c>
      <c r="Z106" s="75" t="inlineStr">
        <is>
          <t>Đang nghiên cứu</t>
        </is>
      </c>
      <c r="AA106" s="76" t="n">
        <v>60</v>
      </c>
      <c r="AB106" s="75" t="inlineStr">
        <is>
          <t>https://www.schueco.com</t>
        </is>
      </c>
      <c r="AC106" s="75" t="inlineStr"/>
      <c r="AD106" s="75" t="inlineStr"/>
    </row>
    <row r="107" ht="35" customHeight="1">
      <c r="A107" s="77" t="inlineStr">
        <is>
          <t>SH-003</t>
        </is>
      </c>
      <c r="B107" s="77" t="inlineStr">
        <is>
          <t>Sliding Đức Cao cấp</t>
        </is>
      </c>
      <c r="C107" s="77" t="inlineStr">
        <is>
          <t>ADS 70.HI</t>
        </is>
      </c>
      <c r="D107" s="77" t="inlineStr">
        <is>
          <t>Schüco</t>
        </is>
      </c>
      <c r="E107" s="77" t="inlineStr">
        <is>
          <t>Đức</t>
        </is>
      </c>
      <c r="F107" s="77" t="inlineStr">
        <is>
          <t>EN 12207/12208</t>
        </is>
      </c>
      <c r="G107" s="77" t="inlineStr">
        <is>
          <t>Cửa đi</t>
        </is>
      </c>
      <c r="H107" s="77" t="inlineStr">
        <is>
          <t>Trượt lùa cách nhiệt (Thermal Sliding)</t>
        </is>
      </c>
      <c r="I107" s="77" t="inlineStr">
        <is>
          <t>Khung cánh cách nhiệt ADS 70</t>
        </is>
      </c>
      <c r="J107" s="77" t="inlineStr">
        <is>
          <t>Ngoại thất</t>
        </is>
      </c>
      <c r="K107" s="77" t="inlineStr">
        <is>
          <t>Biệt thự, văn phòng cao cấp</t>
        </is>
      </c>
      <c r="L107" s="77" t="n">
        <v>2</v>
      </c>
      <c r="M107" s="77" t="inlineStr">
        <is>
          <t>Kính hộp 24-40mm</t>
        </is>
      </c>
      <c r="N107" s="77" t="inlineStr">
        <is>
          <t>18mm</t>
        </is>
      </c>
      <c r="O107" s="77" t="inlineStr">
        <is>
          <t>6000×2800</t>
        </is>
      </c>
      <c r="P107" s="77" t="n">
        <v>400</v>
      </c>
      <c r="Q107" s="77" t="inlineStr">
        <is>
          <t>Schüco AvanTec Slide</t>
        </is>
      </c>
      <c r="R107" s="77" t="inlineStr">
        <is>
          <t>Gioăng EPDM 4 lớp cách nhiệt / Dow Corning</t>
        </is>
      </c>
      <c r="S107" s="77" t="inlineStr">
        <is>
          <t>Anodized, PVDF</t>
        </is>
      </c>
      <c r="T107" s="77" t="inlineStr">
        <is>
          <t>Uf=1.3 W/(m²K), cách âm Rw 44dB, bền vững cao</t>
        </is>
      </c>
      <c r="U107" s="77" t="inlineStr">
        <is>
          <t>Giá nhập khẩu cao</t>
        </is>
      </c>
      <c r="V107" s="77" t="inlineStr">
        <is>
          <t>✓</t>
        </is>
      </c>
      <c r="W107" s="77" t="inlineStr">
        <is>
          <t>✓</t>
        </is>
      </c>
      <c r="X107" s="77" t="inlineStr">
        <is>
          <t>✓</t>
        </is>
      </c>
      <c r="Y107" s="77" t="inlineStr">
        <is>
          <t>✓</t>
        </is>
      </c>
      <c r="Z107" s="77" t="inlineStr">
        <is>
          <t>Đang nghiên cứu</t>
        </is>
      </c>
      <c r="AA107" s="78" t="n">
        <v>55</v>
      </c>
      <c r="AB107" s="77" t="inlineStr">
        <is>
          <t>https://www.schueco.com</t>
        </is>
      </c>
      <c r="AC107" s="77" t="inlineStr"/>
      <c r="AD107" s="77" t="inlineStr"/>
    </row>
    <row r="108" ht="35" customHeight="1">
      <c r="A108" s="79" t="inlineStr">
        <is>
          <t>SH-004</t>
        </is>
      </c>
      <c r="B108" s="79" t="inlineStr">
        <is>
          <t>Lift Slide Đức Siêu cao cấp</t>
        </is>
      </c>
      <c r="C108" s="79" t="inlineStr">
        <is>
          <t>ASS 77 PD.HI</t>
        </is>
      </c>
      <c r="D108" s="79" t="inlineStr">
        <is>
          <t>Schüco</t>
        </is>
      </c>
      <c r="E108" s="79" t="inlineStr">
        <is>
          <t>Đức</t>
        </is>
      </c>
      <c r="F108" s="79" t="inlineStr">
        <is>
          <t>EN 13830/12208</t>
        </is>
      </c>
      <c r="G108" s="79" t="inlineStr">
        <is>
          <t>Cửa đi</t>
        </is>
      </c>
      <c r="H108" s="79" t="inlineStr">
        <is>
          <t>Trượt nâng cách nhiệt (Thermal Lift &amp; Slide)</t>
        </is>
      </c>
      <c r="I108" s="79" t="inlineStr">
        <is>
          <t>Khung cầu cách nhiệt + Cánh nặng Lift Slide</t>
        </is>
      </c>
      <c r="J108" s="79" t="inlineStr">
        <is>
          <t>Ngoại thất – Siêu biệt thự</t>
        </is>
      </c>
      <c r="K108" s="79" t="inlineStr">
        <is>
          <t>Penthouse, biệt thự siêu sang, resort 6 sao</t>
        </is>
      </c>
      <c r="L108" s="79" t="n">
        <v>2.5</v>
      </c>
      <c r="M108" s="79" t="inlineStr">
        <is>
          <t>Kính 3 lớp 48-60mm</t>
        </is>
      </c>
      <c r="N108" s="79" t="inlineStr">
        <is>
          <t>22mm</t>
        </is>
      </c>
      <c r="O108" s="79" t="inlineStr">
        <is>
          <t>10000×3500</t>
        </is>
      </c>
      <c r="P108" s="79" t="n">
        <v>800</v>
      </c>
      <c r="Q108" s="79" t="inlineStr">
        <is>
          <t>Schüco AvanTec đặc chủng</t>
        </is>
      </c>
      <c r="R108" s="79" t="inlineStr">
        <is>
          <t>Gioăng EPDM cầu cách nhiệt 5 lớp</t>
        </is>
      </c>
      <c r="S108" s="79" t="inlineStr">
        <is>
          <t>Anodized, PVDF 70%, gỗ ốp mặt trong</t>
        </is>
      </c>
      <c r="T108" s="79" t="inlineStr">
        <is>
          <t>Lift Slide rộng nhất thế giới (10m), cách nhiệt kép Uf&lt;1.5 W/(m²K)</t>
        </is>
      </c>
      <c r="U108" s="79" t="inlineStr">
        <is>
          <t>Giá 2-10 tỷ VND/bộ</t>
        </is>
      </c>
      <c r="V108" s="79" t="inlineStr">
        <is>
          <t>✓</t>
        </is>
      </c>
      <c r="W108" s="79" t="inlineStr">
        <is>
          <t>✓</t>
        </is>
      </c>
      <c r="X108" s="79" t="inlineStr">
        <is>
          <t>✓</t>
        </is>
      </c>
      <c r="Y108" s="79" t="inlineStr">
        <is>
          <t>✓</t>
        </is>
      </c>
      <c r="Z108" s="79" t="inlineStr">
        <is>
          <t>Đang nghiên cứu</t>
        </is>
      </c>
      <c r="AA108" s="80" t="n">
        <v>55</v>
      </c>
      <c r="AB108" s="79" t="inlineStr">
        <is>
          <t>https://www.schueco.com</t>
        </is>
      </c>
      <c r="AC108" s="79" t="inlineStr"/>
      <c r="AD108" s="79" t="inlineStr"/>
    </row>
    <row r="109" ht="35" customHeight="1">
      <c r="A109" s="81" t="inlineStr">
        <is>
          <t>SH-005</t>
        </is>
      </c>
      <c r="B109" s="81" t="inlineStr">
        <is>
          <t>Curtain Wall Đức</t>
        </is>
      </c>
      <c r="C109" s="81" t="inlineStr">
        <is>
          <t>FW 50+</t>
        </is>
      </c>
      <c r="D109" s="81" t="inlineStr">
        <is>
          <t>Schüco</t>
        </is>
      </c>
      <c r="E109" s="81" t="inlineStr">
        <is>
          <t>Đức</t>
        </is>
      </c>
      <c r="F109" s="81" t="inlineStr">
        <is>
          <t>EN 13830 / CWCT</t>
        </is>
      </c>
      <c r="G109" s="81" t="inlineStr">
        <is>
          <t>Vách mặt dựng</t>
        </is>
      </c>
      <c r="H109" s="81" t="inlineStr">
        <is>
          <t>Cố định (Stick/Unitized)</t>
        </is>
      </c>
      <c r="I109" s="81" t="inlineStr">
        <is>
          <t>Module đố đứng đố ngang cấu trúc Schüco</t>
        </is>
      </c>
      <c r="J109" s="81" t="inlineStr">
        <is>
          <t>Ngoại thất – Mặt dựng</t>
        </is>
      </c>
      <c r="K109" s="81" t="inlineStr">
        <is>
          <t>Tòa nhà văn phòng hạng A, khách sạn quốc tế</t>
        </is>
      </c>
      <c r="L109" s="81" t="n">
        <v>2.5</v>
      </c>
      <c r="M109" s="81" t="inlineStr">
        <is>
          <t>Kính hộp 24-50mm / Kính 3 lớp 60mm</t>
        </is>
      </c>
      <c r="N109" s="81" t="inlineStr">
        <is>
          <t>50mm</t>
        </is>
      </c>
      <c r="O109" s="81" t="inlineStr">
        <is>
          <t>Không giới hạn</t>
        </is>
      </c>
      <c r="P109" s="81" t="n">
        <v>1000</v>
      </c>
      <c r="Q109" s="81" t="inlineStr">
        <is>
          <t>Hệ Stick + Unitized AvanTec CW</t>
        </is>
      </c>
      <c r="R109" s="81" t="inlineStr">
        <is>
          <t>Silicon kết cấu Dow 983 / Sika SG-500</t>
        </is>
      </c>
      <c r="S109" s="81" t="inlineStr">
        <is>
          <t>Anodized, PVDF 70% AkzoNobel, mill finish</t>
        </is>
      </c>
      <c r="T109" s="81" t="inlineStr">
        <is>
          <t>Tiêu chuẩn tòa nhà thế giới, bền 60 năm, tối ưu tải gió động đất</t>
        </is>
      </c>
      <c r="U109" s="81" t="inlineStr">
        <is>
          <t>Giá nhập khẩu cực cao</t>
        </is>
      </c>
      <c r="V109" s="81" t="inlineStr">
        <is>
          <t>✓</t>
        </is>
      </c>
      <c r="W109" s="81" t="inlineStr">
        <is>
          <t>✓</t>
        </is>
      </c>
      <c r="X109" s="81" t="inlineStr">
        <is>
          <t>✓</t>
        </is>
      </c>
      <c r="Y109" s="81" t="inlineStr">
        <is>
          <t>✓</t>
        </is>
      </c>
      <c r="Z109" s="81" t="inlineStr">
        <is>
          <t>Đang nghiên cứu</t>
        </is>
      </c>
      <c r="AA109" s="82" t="n">
        <v>60</v>
      </c>
      <c r="AB109" s="81" t="inlineStr">
        <is>
          <t>https://www.schueco.com</t>
        </is>
      </c>
      <c r="AC109" s="81" t="inlineStr"/>
      <c r="AD109" s="81" t="inlineStr"/>
    </row>
    <row r="110" ht="35" customHeight="1">
      <c r="A110" s="83" t="inlineStr">
        <is>
          <t>RY-001</t>
        </is>
      </c>
      <c r="B110" s="83" t="inlineStr">
        <is>
          <t>Casement Bỉ Cao cấp</t>
        </is>
      </c>
      <c r="C110" s="83" t="inlineStr">
        <is>
          <t>CS 60</t>
        </is>
      </c>
      <c r="D110" s="83" t="inlineStr">
        <is>
          <t>Reynaers</t>
        </is>
      </c>
      <c r="E110" s="83" t="inlineStr">
        <is>
          <t>Bỉ</t>
        </is>
      </c>
      <c r="F110" s="83" t="inlineStr">
        <is>
          <t>EN 14351-1/12207 CE</t>
        </is>
      </c>
      <c r="G110" s="83" t="inlineStr">
        <is>
          <t>Cửa sổ + Cửa đi</t>
        </is>
      </c>
      <c r="H110" s="83" t="inlineStr">
        <is>
          <t>Mở quay + Tilt-Turn</t>
        </is>
      </c>
      <c r="I110" s="83" t="inlineStr">
        <is>
          <t>Khung 60mm cầu cách nhiệt PA66</t>
        </is>
      </c>
      <c r="J110" s="83" t="inlineStr">
        <is>
          <t>Ngoại thất</t>
        </is>
      </c>
      <c r="K110" s="83" t="inlineStr">
        <is>
          <t>Biệt thự, khách sạn 5 sao, văn phòng cao cấp</t>
        </is>
      </c>
      <c r="L110" s="83" t="n">
        <v>1.8</v>
      </c>
      <c r="M110" s="83" t="inlineStr">
        <is>
          <t>Kính hộp Low-E 24-36mm / Kính 3 lớp 44mm</t>
        </is>
      </c>
      <c r="N110" s="83" t="inlineStr">
        <is>
          <t>16mm</t>
        </is>
      </c>
      <c r="O110" s="83" t="inlineStr">
        <is>
          <t>1800×3000</t>
        </is>
      </c>
      <c r="P110" s="83" t="n">
        <v>180</v>
      </c>
      <c r="Q110" s="83" t="inlineStr">
        <is>
          <t>Rãnh C Euro Groove</t>
        </is>
      </c>
      <c r="R110" s="83" t="inlineStr">
        <is>
          <t>Gioăng EPDM đa khoang 3 lớp / Dow Corning</t>
        </is>
      </c>
      <c r="S110" s="83" t="inlineStr">
        <is>
          <t>Anodized tách màu, PVDF 70%</t>
        </is>
      </c>
      <c r="T110" s="83" t="inlineStr">
        <is>
          <t>Uf=1.5 W/(m²K), thiết kế Bỉ sang trọng, bền 50 năm</t>
        </is>
      </c>
      <c r="U110" s="83" t="inlineStr">
        <is>
          <t>Giá nhập khẩu cao, giao hàng lâu</t>
        </is>
      </c>
      <c r="V110" s="83" t="inlineStr">
        <is>
          <t>✓</t>
        </is>
      </c>
      <c r="W110" s="83" t="inlineStr">
        <is>
          <t>✓</t>
        </is>
      </c>
      <c r="X110" s="83" t="inlineStr">
        <is>
          <t>✓</t>
        </is>
      </c>
      <c r="Y110" s="83" t="inlineStr">
        <is>
          <t>✓</t>
        </is>
      </c>
      <c r="Z110" s="83" t="inlineStr">
        <is>
          <t>Đang nghiên cứu</t>
        </is>
      </c>
      <c r="AA110" s="84" t="n">
        <v>65</v>
      </c>
      <c r="AB110" s="83" t="inlineStr">
        <is>
          <t>https://www.reynaers.com</t>
        </is>
      </c>
      <c r="AC110" s="83" t="inlineStr"/>
      <c r="AD110" s="83" t="inlineStr"/>
    </row>
    <row r="111" ht="35" customHeight="1">
      <c r="A111" s="85" t="inlineStr">
        <is>
          <t>RY-002</t>
        </is>
      </c>
      <c r="B111" s="85" t="inlineStr">
        <is>
          <t>Casement Bỉ Passive</t>
        </is>
      </c>
      <c r="C111" s="85" t="inlineStr">
        <is>
          <t>CS 77</t>
        </is>
      </c>
      <c r="D111" s="85" t="inlineStr">
        <is>
          <t>Reynaers</t>
        </is>
      </c>
      <c r="E111" s="85" t="inlineStr">
        <is>
          <t>Bỉ</t>
        </is>
      </c>
      <c r="F111" s="85" t="inlineStr">
        <is>
          <t>EN 14351-1 / PHI Passive</t>
        </is>
      </c>
      <c r="G111" s="85" t="inlineStr">
        <is>
          <t>Cửa sổ + Cửa đi</t>
        </is>
      </c>
      <c r="H111" s="85" t="inlineStr">
        <is>
          <t>Mở quay + Tilt-Turn</t>
        </is>
      </c>
      <c r="I111" s="85" t="inlineStr">
        <is>
          <t>Khung 77mm cầu cách nhiệt siêu dày</t>
        </is>
      </c>
      <c r="J111" s="85" t="inlineStr">
        <is>
          <t>Ngoại thất – Passive House</t>
        </is>
      </c>
      <c r="K111" s="85" t="inlineStr">
        <is>
          <t>Biệt thự siêu sang, Zero Energy Building</t>
        </is>
      </c>
      <c r="L111" s="85" t="n">
        <v>2</v>
      </c>
      <c r="M111" s="85" t="inlineStr">
        <is>
          <t>Kính 3 lớp 44-56mm</t>
        </is>
      </c>
      <c r="N111" s="85" t="inlineStr">
        <is>
          <t>20mm</t>
        </is>
      </c>
      <c r="O111" s="85" t="inlineStr">
        <is>
          <t>2000×3500</t>
        </is>
      </c>
      <c r="P111" s="85" t="n">
        <v>250</v>
      </c>
      <c r="Q111" s="85" t="inlineStr">
        <is>
          <t>Rãnh C Châu Âu siêu cao cấp</t>
        </is>
      </c>
      <c r="R111" s="85" t="inlineStr">
        <is>
          <t>Gioăng EPDM 5 lớp</t>
        </is>
      </c>
      <c r="S111" s="85" t="inlineStr">
        <is>
          <t>Anodized 2 màu, PVDF 2 lớp</t>
        </is>
      </c>
      <c r="T111" s="85" t="inlineStr">
        <is>
          <t>Uf=1.0 W/(m²K), cách âm 48dB, Passive House chuẩn Bỉ</t>
        </is>
      </c>
      <c r="U111" s="85" t="inlineStr">
        <is>
          <t>Giá cực cao, thị trường VN rất hạn chế</t>
        </is>
      </c>
      <c r="V111" s="85" t="inlineStr">
        <is>
          <t>✓</t>
        </is>
      </c>
      <c r="W111" s="85" t="inlineStr">
        <is>
          <t>✓</t>
        </is>
      </c>
      <c r="X111" s="85" t="inlineStr">
        <is>
          <t>✓</t>
        </is>
      </c>
      <c r="Y111" s="85" t="inlineStr">
        <is>
          <t>✓</t>
        </is>
      </c>
      <c r="Z111" s="85" t="inlineStr">
        <is>
          <t>Đang nghiên cứu</t>
        </is>
      </c>
      <c r="AA111" s="86" t="n">
        <v>50</v>
      </c>
      <c r="AB111" s="85" t="inlineStr">
        <is>
          <t>https://www.reynaers.com</t>
        </is>
      </c>
      <c r="AC111" s="85" t="inlineStr"/>
      <c r="AD111" s="85" t="inlineStr"/>
    </row>
    <row r="112" ht="35" customHeight="1">
      <c r="A112" s="87" t="inlineStr">
        <is>
          <t>RY-003</t>
        </is>
      </c>
      <c r="B112" s="87" t="inlineStr">
        <is>
          <t>Lift Slide Bỉ</t>
        </is>
      </c>
      <c r="C112" s="87" t="inlineStr">
        <is>
          <t>CP 155-LS</t>
        </is>
      </c>
      <c r="D112" s="87" t="inlineStr">
        <is>
          <t>Reynaers</t>
        </is>
      </c>
      <c r="E112" s="87" t="inlineStr">
        <is>
          <t>Bỉ</t>
        </is>
      </c>
      <c r="F112" s="87" t="inlineStr">
        <is>
          <t>EN 13830</t>
        </is>
      </c>
      <c r="G112" s="87" t="inlineStr">
        <is>
          <t>Cửa đi</t>
        </is>
      </c>
      <c r="H112" s="87" t="inlineStr">
        <is>
          <t>Trượt nâng (Lift &amp; Slide)</t>
        </is>
      </c>
      <c r="I112" s="87" t="inlineStr">
        <is>
          <t>Khung cách nhiệt + Cánh nặng Lift Slide Reynaers</t>
        </is>
      </c>
      <c r="J112" s="87" t="inlineStr">
        <is>
          <t>Ngoại thất – Siêu biệt thự</t>
        </is>
      </c>
      <c r="K112" s="87" t="inlineStr">
        <is>
          <t>Biệt thự cao cấp Châu Âu, penthouse</t>
        </is>
      </c>
      <c r="L112" s="87" t="n">
        <v>2.5</v>
      </c>
      <c r="M112" s="87" t="inlineStr">
        <is>
          <t>Kính 3 lớp 44-56mm</t>
        </is>
      </c>
      <c r="N112" s="87" t="inlineStr">
        <is>
          <t>20mm</t>
        </is>
      </c>
      <c r="O112" s="87" t="inlineStr">
        <is>
          <t>8000×3200</t>
        </is>
      </c>
      <c r="P112" s="87" t="n">
        <v>600</v>
      </c>
      <c r="Q112" s="87" t="inlineStr">
        <is>
          <t>Phụ kiện Reynaers LSS</t>
        </is>
      </c>
      <c r="R112" s="87" t="inlineStr">
        <is>
          <t>Gioăng EPDM cầu cách nhiệt 4 lớp</t>
        </is>
      </c>
      <c r="S112" s="87" t="inlineStr">
        <is>
          <t>Anodized tách màu, PVDF</t>
        </is>
      </c>
      <c r="T112" s="87" t="inlineStr">
        <is>
          <t>Uf&lt;1.5 W/(m²K), Lift Slide cách nhiệt chuẩn Bỉ hàng đầu</t>
        </is>
      </c>
      <c r="U112" s="87" t="inlineStr">
        <is>
          <t>Nhập khẩu lâu, giá cực cao</t>
        </is>
      </c>
      <c r="V112" s="87" t="inlineStr">
        <is>
          <t>✓</t>
        </is>
      </c>
      <c r="W112" s="87" t="inlineStr">
        <is>
          <t>✓</t>
        </is>
      </c>
      <c r="X112" s="87" t="inlineStr">
        <is>
          <t>✓</t>
        </is>
      </c>
      <c r="Y112" s="87" t="inlineStr">
        <is>
          <t>✓</t>
        </is>
      </c>
      <c r="Z112" s="87" t="inlineStr">
        <is>
          <t>Đang nghiên cứu</t>
        </is>
      </c>
      <c r="AA112" s="88" t="n">
        <v>50</v>
      </c>
      <c r="AB112" s="87" t="inlineStr">
        <is>
          <t>https://www.reynaers.com</t>
        </is>
      </c>
      <c r="AC112" s="87" t="inlineStr"/>
      <c r="AD112" s="87" t="inlineStr"/>
    </row>
    <row r="113" ht="35" customHeight="1">
      <c r="A113" s="89" t="inlineStr">
        <is>
          <t>RY-004</t>
        </is>
      </c>
      <c r="B113" s="89" t="inlineStr">
        <is>
          <t>Curtain Wall Bỉ</t>
        </is>
      </c>
      <c r="C113" s="89" t="inlineStr">
        <is>
          <t>CW 50</t>
        </is>
      </c>
      <c r="D113" s="89" t="inlineStr">
        <is>
          <t>Reynaers</t>
        </is>
      </c>
      <c r="E113" s="89" t="inlineStr">
        <is>
          <t>Bỉ</t>
        </is>
      </c>
      <c r="F113" s="89" t="inlineStr">
        <is>
          <t>EN 13830</t>
        </is>
      </c>
      <c r="G113" s="89" t="inlineStr">
        <is>
          <t>Vách mặt dựng</t>
        </is>
      </c>
      <c r="H113" s="89" t="inlineStr">
        <is>
          <t>Cố định (Stick/Unitized)</t>
        </is>
      </c>
      <c r="I113" s="89" t="inlineStr">
        <is>
          <t>Module CW Reynaers Châu Âu</t>
        </is>
      </c>
      <c r="J113" s="89" t="inlineStr">
        <is>
          <t>Ngoại thất – Tòa nhà cao tầng</t>
        </is>
      </c>
      <c r="K113" s="89" t="inlineStr">
        <is>
          <t>Tòa nhà cao tầng Châu Âu</t>
        </is>
      </c>
      <c r="L113" s="89" t="n">
        <v>2</v>
      </c>
      <c r="M113" s="89" t="inlineStr">
        <is>
          <t>Kính hộp 24-48mm</t>
        </is>
      </c>
      <c r="N113" s="89" t="inlineStr">
        <is>
          <t>48mm</t>
        </is>
      </c>
      <c r="O113" s="89" t="inlineStr">
        <is>
          <t>Không giới hạn</t>
        </is>
      </c>
      <c r="P113" s="89" t="n">
        <v>1000</v>
      </c>
      <c r="Q113" s="89" t="inlineStr">
        <is>
          <t>Hệ Stick/Unitized Reynaers</t>
        </is>
      </c>
      <c r="R113" s="89" t="inlineStr">
        <is>
          <t>Silicon kết cấu Dow/Sika</t>
        </is>
      </c>
      <c r="S113" s="89" t="inlineStr">
        <is>
          <t>Anodized, PVDF</t>
        </is>
      </c>
      <c r="T113" s="89" t="inlineStr">
        <is>
          <t>Chuẩn Châu Âu, bền 50 năm</t>
        </is>
      </c>
      <c r="U113" s="89" t="inlineStr">
        <is>
          <t>Nhập khẩu, giá cao</t>
        </is>
      </c>
      <c r="V113" s="89" t="inlineStr">
        <is>
          <t>✓</t>
        </is>
      </c>
      <c r="W113" s="89" t="inlineStr">
        <is>
          <t>✓</t>
        </is>
      </c>
      <c r="X113" s="89" t="inlineStr">
        <is>
          <t>✓</t>
        </is>
      </c>
      <c r="Y113" s="89" t="inlineStr">
        <is>
          <t>✓</t>
        </is>
      </c>
      <c r="Z113" s="89" t="inlineStr">
        <is>
          <t>Đang nghiên cứu</t>
        </is>
      </c>
      <c r="AA113" s="90" t="n">
        <v>50</v>
      </c>
      <c r="AB113" s="89" t="inlineStr">
        <is>
          <t>https://www.reynaers.com</t>
        </is>
      </c>
      <c r="AC113" s="89" t="inlineStr"/>
      <c r="AD113" s="89" t="inlineStr"/>
    </row>
    <row r="114" ht="35" customHeight="1">
      <c r="A114" s="91" t="inlineStr">
        <is>
          <t>XF-001</t>
        </is>
      </c>
      <c r="B114" s="91" t="inlineStr">
        <is>
          <t>Nhập khẩu tem đỏ</t>
        </is>
      </c>
      <c r="C114" s="91" t="inlineStr">
        <is>
          <t>Xingfa Guangdong 55</t>
        </is>
      </c>
      <c r="D114" s="91" t="inlineStr">
        <is>
          <t>Xingfa</t>
        </is>
      </c>
      <c r="E114" s="91" t="inlineStr">
        <is>
          <t>Trung Quốc</t>
        </is>
      </c>
      <c r="F114" s="91" t="inlineStr">
        <is>
          <t>GB/T 8478</t>
        </is>
      </c>
      <c r="G114" s="91" t="inlineStr">
        <is>
          <t>Cửa sổ + Cửa đi</t>
        </is>
      </c>
      <c r="H114" s="91" t="inlineStr">
        <is>
          <t>Mở quay (Casement)</t>
        </is>
      </c>
      <c r="I114" s="91" t="inlineStr">
        <is>
          <t>Khung 55mm tem đỏ Quảng Đông</t>
        </is>
      </c>
      <c r="J114" s="91" t="inlineStr">
        <is>
          <t>Ngoại thất</t>
        </is>
      </c>
      <c r="K114" s="91" t="inlineStr">
        <is>
          <t>Nhà phố, biệt thự phổ thông, chung cư</t>
        </is>
      </c>
      <c r="L114" s="91" t="n">
        <v>1.4</v>
      </c>
      <c r="M114" s="91" t="inlineStr">
        <is>
          <t>5-10mm / Kính hộp đến 24mm</t>
        </is>
      </c>
      <c r="N114" s="91" t="inlineStr">
        <is>
          <t>24mm</t>
        </is>
      </c>
      <c r="O114" s="91" t="inlineStr">
        <is>
          <t>1200×2200</t>
        </is>
      </c>
      <c r="P114" s="91" t="n">
        <v>80</v>
      </c>
      <c r="Q114" s="91" t="inlineStr">
        <is>
          <t>Phụ kiện Kinlong / Draho rãnh 22</t>
        </is>
      </c>
      <c r="R114" s="91" t="inlineStr">
        <is>
          <t>Gioăng EPDM kép / Silicon Apollo</t>
        </is>
      </c>
      <c r="S114" s="91" t="inlineStr">
        <is>
          <t>Sơn tĩnh điện chất lượng cao</t>
        </is>
      </c>
      <c r="T114" s="91" t="inlineStr">
        <is>
          <t>Cực kỳ cứng chắc nhờ gân gia cường, màu sơn đẹp bền màu đạt chuẩn Qualicoat</t>
        </is>
      </c>
      <c r="U114" s="91" t="inlineStr">
        <is>
          <t>Nhiều hàng giả hàng nhái, rãnh 22 không lắp được phụ kiện rãnh C</t>
        </is>
      </c>
      <c r="V114" s="91" t="inlineStr">
        <is>
          <t>✓</t>
        </is>
      </c>
      <c r="W114" s="91" t="inlineStr">
        <is>
          <t>✗</t>
        </is>
      </c>
      <c r="X114" s="91" t="inlineStr">
        <is>
          <t>✓</t>
        </is>
      </c>
      <c r="Y114" s="91" t="inlineStr">
        <is>
          <t>✓</t>
        </is>
      </c>
      <c r="Z114" s="91" t="inlineStr">
        <is>
          <t>Hoàn thành</t>
        </is>
      </c>
      <c r="AA114" s="92" t="n">
        <v>90</v>
      </c>
      <c r="AB114" s="91" t="inlineStr">
        <is>
          <t>https://www.xingfa-alu.com</t>
        </is>
      </c>
      <c r="AC114" s="91" t="inlineStr">
        <is>
          <t>https://nhomkinhdaiphuc.com/catalogue/catalogue-nhom-xingfa-nhap-khau-quang-dong-1.html</t>
        </is>
      </c>
      <c r="AD114" s="91" t="inlineStr"/>
    </row>
    <row r="115" ht="35" customHeight="1">
      <c r="A115" s="91" t="inlineStr">
        <is>
          <t>XF-002</t>
        </is>
      </c>
      <c r="B115" s="91" t="inlineStr">
        <is>
          <t>Nhập khẩu tem đỏ</t>
        </is>
      </c>
      <c r="C115" s="91" t="inlineStr">
        <is>
          <t>Xingfa Guangdong 93</t>
        </is>
      </c>
      <c r="D115" s="91" t="inlineStr">
        <is>
          <t>Xingfa</t>
        </is>
      </c>
      <c r="E115" s="91" t="inlineStr">
        <is>
          <t>Trung Quốc</t>
        </is>
      </c>
      <c r="F115" s="91" t="inlineStr">
        <is>
          <t>GB/T 8478</t>
        </is>
      </c>
      <c r="G115" s="91" t="inlineStr">
        <is>
          <t>Cửa đi</t>
        </is>
      </c>
      <c r="H115" s="91" t="inlineStr">
        <is>
          <t>Trượt lùa (Sliding)</t>
        </is>
      </c>
      <c r="I115" s="91" t="inlineStr">
        <is>
          <t>Khung trượt 93mm 2 ray/3 ray</t>
        </is>
      </c>
      <c r="J115" s="91" t="inlineStr">
        <is>
          <t>Ngoại thất</t>
        </is>
      </c>
      <c r="K115" s="91" t="inlineStr">
        <is>
          <t>Căn hộ, văn phòng, biệt thự</t>
        </is>
      </c>
      <c r="L115" s="91" t="n">
        <v>2</v>
      </c>
      <c r="M115" s="91" t="inlineStr">
        <is>
          <t>Kính đơn/hộp 6-24mm</t>
        </is>
      </c>
      <c r="N115" s="91" t="inlineStr">
        <is>
          <t>24mm</t>
        </is>
      </c>
      <c r="O115" s="91" t="inlineStr">
        <is>
          <t>4000×2400</t>
        </is>
      </c>
      <c r="P115" s="91" t="n">
        <v>150</v>
      </c>
      <c r="Q115" s="91" t="inlineStr">
        <is>
          <t>Bánh xe chịu lực kép &amp; khóa chữ D Kinlong</t>
        </is>
      </c>
      <c r="R115" s="91" t="inlineStr">
        <is>
          <t>Gioăng EPDM kép chèn nỉ</t>
        </is>
      </c>
      <c r="S115" s="91" t="inlineStr">
        <is>
          <t>Sơn tĩnh điện bóng/mờ</t>
        </is>
      </c>
      <c r="T115" s="91" t="inlineStr">
        <is>
          <t>Thanh nhôm dày 2.0mm cực kỳ vững chãi, chịu bão gió giật ven biển rất tốt</t>
        </is>
      </c>
      <c r="U115" s="91" t="inlineStr">
        <is>
          <t>Thanh ray dưới đúc nổi gây vấp chân khi đi lại nếu không âm sàn</t>
        </is>
      </c>
      <c r="V115" s="91" t="inlineStr">
        <is>
          <t>✓</t>
        </is>
      </c>
      <c r="W115" s="91" t="inlineStr">
        <is>
          <t>✗</t>
        </is>
      </c>
      <c r="X115" s="91" t="inlineStr">
        <is>
          <t>✓</t>
        </is>
      </c>
      <c r="Y115" s="91" t="inlineStr">
        <is>
          <t>✓</t>
        </is>
      </c>
      <c r="Z115" s="91" t="inlineStr">
        <is>
          <t>Hoàn thành</t>
        </is>
      </c>
      <c r="AA115" s="92" t="n">
        <v>85</v>
      </c>
      <c r="AB115" s="91" t="inlineStr">
        <is>
          <t>https://www.xingfa-alu.com</t>
        </is>
      </c>
      <c r="AC115" s="91" t="inlineStr">
        <is>
          <t>https://nhomkinhdaiphuc.com/catalogue/catalogue-nhom-xingfa-nhap-khau-quang-dong-1.html</t>
        </is>
      </c>
      <c r="AD115" s="91" t="inlineStr"/>
    </row>
    <row r="116" ht="35" customHeight="1">
      <c r="A116" s="91" t="inlineStr">
        <is>
          <t>XF-003</t>
        </is>
      </c>
      <c r="B116" s="91" t="inlineStr">
        <is>
          <t>Nhập khẩu tem đỏ</t>
        </is>
      </c>
      <c r="C116" s="91" t="inlineStr">
        <is>
          <t>Xingfa Guangdong 55 Slide</t>
        </is>
      </c>
      <c r="D116" s="91" t="inlineStr">
        <is>
          <t>Xingfa</t>
        </is>
      </c>
      <c r="E116" s="91" t="inlineStr">
        <is>
          <t>Trung Quốc</t>
        </is>
      </c>
      <c r="F116" s="91" t="inlineStr">
        <is>
          <t>GB/T 8478</t>
        </is>
      </c>
      <c r="G116" s="91" t="inlineStr">
        <is>
          <t>Cửa sổ</t>
        </is>
      </c>
      <c r="H116" s="91" t="inlineStr">
        <is>
          <t>Trượt lùa (Sliding)</t>
        </is>
      </c>
      <c r="I116" s="91" t="inlineStr">
        <is>
          <t>Khung lùa bản mỏng 55mm</t>
        </is>
      </c>
      <c r="J116" s="91" t="inlineStr">
        <is>
          <t>Ngoại thất</t>
        </is>
      </c>
      <c r="K116" s="91" t="inlineStr">
        <is>
          <t>Chung cư, nhà phố diện tích hẹp</t>
        </is>
      </c>
      <c r="L116" s="91" t="n">
        <v>1.2</v>
      </c>
      <c r="M116" s="91" t="inlineStr">
        <is>
          <t>Kính đơn 5-10mm</t>
        </is>
      </c>
      <c r="N116" s="91" t="inlineStr">
        <is>
          <t>10mm</t>
        </is>
      </c>
      <c r="O116" s="91" t="inlineStr">
        <is>
          <t>1800×1400</t>
        </is>
      </c>
      <c r="P116" s="91" t="n">
        <v>70</v>
      </c>
      <c r="Q116" s="91" t="inlineStr">
        <is>
          <t>Bánh xe đơn &amp; khóa sập Kinlong</t>
        </is>
      </c>
      <c r="R116" s="91" t="inlineStr">
        <is>
          <t>Gioăng chèn nỉ / Silicon Apollo</t>
        </is>
      </c>
      <c r="S116" s="91" t="inlineStr">
        <is>
          <t>Sơn tĩnh điện mờ</t>
        </is>
      </c>
      <c r="T116" s="91" t="inlineStr">
        <is>
          <t>Giải pháp cửa sổ lùa cực kỳ gọn nhẹ tiết kiệm diện tích mở cánh, giá rẻ</t>
        </is>
      </c>
      <c r="U116" s="91" t="inlineStr">
        <is>
          <t>Kết cấu mỏng nhẹ không lắp được cánh cửa đi lớn</t>
        </is>
      </c>
      <c r="V116" s="91" t="inlineStr">
        <is>
          <t>✓</t>
        </is>
      </c>
      <c r="W116" s="91" t="inlineStr">
        <is>
          <t>✗</t>
        </is>
      </c>
      <c r="X116" s="91" t="inlineStr">
        <is>
          <t>✓</t>
        </is>
      </c>
      <c r="Y116" s="91" t="inlineStr">
        <is>
          <t>✓</t>
        </is>
      </c>
      <c r="Z116" s="91" t="inlineStr">
        <is>
          <t>Hoàn thành</t>
        </is>
      </c>
      <c r="AA116" s="92" t="n">
        <v>80</v>
      </c>
      <c r="AB116" s="91" t="inlineStr">
        <is>
          <t>https://www.xingfa-alu.com</t>
        </is>
      </c>
      <c r="AC116" s="91" t="inlineStr">
        <is>
          <t>https://nhomkinhdaiphuc.com/catalogue/catalogue-nhom-xingfa-nhap-khau-quang-dong-1.html</t>
        </is>
      </c>
      <c r="AD116" s="91" t="inlineStr"/>
    </row>
    <row r="117" ht="35" customHeight="1">
      <c r="A117" s="91" t="inlineStr">
        <is>
          <t>XF-004</t>
        </is>
      </c>
      <c r="B117" s="91" t="inlineStr">
        <is>
          <t>Nhập khẩu tem đỏ</t>
        </is>
      </c>
      <c r="C117" s="91" t="inlineStr">
        <is>
          <t>Xingfa Guangdong 63</t>
        </is>
      </c>
      <c r="D117" s="91" t="inlineStr">
        <is>
          <t>Xingfa</t>
        </is>
      </c>
      <c r="E117" s="91" t="inlineStr">
        <is>
          <t>Trung Quốc</t>
        </is>
      </c>
      <c r="F117" s="91" t="inlineStr">
        <is>
          <t>GB/T 8478</t>
        </is>
      </c>
      <c r="G117" s="91" t="inlineStr">
        <is>
          <t>Cửa đi</t>
        </is>
      </c>
      <c r="H117" s="91" t="inlineStr">
        <is>
          <t>Xếp trượt gấp (Bifold)</t>
        </is>
      </c>
      <c r="I117" s="91" t="inlineStr">
        <is>
          <t>Khung lùa xếp bản dày rãnh C</t>
        </is>
      </c>
      <c r="J117" s="91" t="inlineStr">
        <is>
          <t>Ngoại thất</t>
        </is>
      </c>
      <c r="K117" s="91" t="inlineStr">
        <is>
          <t>Biệt thự sân vườn, lối ra ban công penhouse lớn</t>
        </is>
      </c>
      <c r="L117" s="91" t="n">
        <v>1.5</v>
      </c>
      <c r="M117" s="91" t="inlineStr">
        <is>
          <t>Kính đơn/hộp 6-28mm</t>
        </is>
      </c>
      <c r="N117" s="91" t="inlineStr">
        <is>
          <t>28mm</t>
        </is>
      </c>
      <c r="O117" s="91" t="inlineStr">
        <is>
          <t>6000×2800</t>
        </is>
      </c>
      <c r="P117" s="91" t="n">
        <v>200</v>
      </c>
      <c r="Q117" s="91" t="inlineStr">
        <is>
          <t>Bánh xe treo &amp; bản lề liên kết Kinlong</t>
        </is>
      </c>
      <c r="R117" s="91" t="inlineStr">
        <is>
          <t>Gioăng chèn nỉ đa lớp / Silicon Dow</t>
        </is>
      </c>
      <c r="S117" s="91" t="inlineStr">
        <is>
          <t>Sơn tĩnh điện bóng/mờ</t>
        </is>
      </c>
      <c r="T117" s="91" t="inlineStr">
        <is>
          <t>Mở rộng tối đa 99% khẩu độ ô cửa lấy thoáng tối đa, sang trọng biệt thự</t>
        </is>
      </c>
      <c r="U117" s="91" t="inlineStr">
        <is>
          <t>Kỹ thuật căn chỉnh bản lề bánh xe phức tạp, phụ kiện đắt</t>
        </is>
      </c>
      <c r="V117" s="91" t="inlineStr">
        <is>
          <t>✓</t>
        </is>
      </c>
      <c r="W117" s="91" t="inlineStr">
        <is>
          <t>✗</t>
        </is>
      </c>
      <c r="X117" s="91" t="inlineStr">
        <is>
          <t>✓</t>
        </is>
      </c>
      <c r="Y117" s="91" t="inlineStr">
        <is>
          <t>✓</t>
        </is>
      </c>
      <c r="Z117" s="91" t="inlineStr">
        <is>
          <t>Hoàn thành</t>
        </is>
      </c>
      <c r="AA117" s="92" t="n">
        <v>85</v>
      </c>
      <c r="AB117" s="91" t="inlineStr">
        <is>
          <t>https://www.xingfa-alu.com</t>
        </is>
      </c>
      <c r="AC117" s="91" t="inlineStr">
        <is>
          <t>https://nhomkinhdaiphuc.com/catalogue/catalogue-nhom-xingfa-nhap-khau-quang-dong-1.html</t>
        </is>
      </c>
      <c r="AD117" s="91" t="inlineStr"/>
    </row>
    <row r="118" ht="35" customHeight="1">
      <c r="A118" s="91" t="inlineStr">
        <is>
          <t>XF-005</t>
        </is>
      </c>
      <c r="B118" s="91" t="inlineStr">
        <is>
          <t>Nhập khẩu tem đỏ</t>
        </is>
      </c>
      <c r="C118" s="91" t="inlineStr">
        <is>
          <t>Xingfa Guangdong 65</t>
        </is>
      </c>
      <c r="D118" s="91" t="inlineStr">
        <is>
          <t>Xingfa</t>
        </is>
      </c>
      <c r="E118" s="91" t="inlineStr">
        <is>
          <t>Trung Quốc</t>
        </is>
      </c>
      <c r="F118" s="91" t="inlineStr">
        <is>
          <t>GB/T 8478</t>
        </is>
      </c>
      <c r="G118" s="91" t="inlineStr">
        <is>
          <t>Vách mặt dựng</t>
        </is>
      </c>
      <c r="H118" s="91" t="inlineStr">
        <is>
          <t>Cố định (Fixed Curtain Wall)</t>
        </is>
      </c>
      <c r="I118" s="91" t="inlineStr">
        <is>
          <t>Xương mặt dựng Stick bản 65mm</t>
        </is>
      </c>
      <c r="J118" s="91" t="inlineStr">
        <is>
          <t>Ngoại thất</t>
        </is>
      </c>
      <c r="K118" s="91" t="inlineStr">
        <is>
          <t>Tòa nhà văn phòng cao tầng, showroom ô tô mặt tiền lớn</t>
        </is>
      </c>
      <c r="L118" s="91" t="n">
        <v>2.5</v>
      </c>
      <c r="M118" s="91" t="inlineStr">
        <is>
          <t>Kính cường lực / Kính hộp phản quang</t>
        </is>
      </c>
      <c r="N118" s="91" t="inlineStr">
        <is>
          <t>32mm</t>
        </is>
      </c>
      <c r="O118" s="91" t="inlineStr">
        <is>
          <t>Không giới hạn</t>
        </is>
      </c>
      <c r="P118" s="91" t="n">
        <v>500</v>
      </c>
      <c r="Q118" s="91" t="inlineStr">
        <is>
          <t>Ke chịu lực kết cấu &amp; bulong inox</t>
        </is>
      </c>
      <c r="R118" s="91" t="inlineStr">
        <is>
          <t>Silicon kết cấu Dow Corning 791/895</t>
        </is>
      </c>
      <c r="S118" s="91" t="inlineStr">
        <is>
          <t>Anodized, PVDF 3 lớp</t>
        </is>
      </c>
      <c r="T118" s="91" t="inlineStr">
        <is>
          <t>Xương chịu lực cực dày cản gió bão lớn cao tầng, mạ bề mặt bền bỉ</t>
        </is>
      </c>
      <c r="U118" s="91" t="inlineStr">
        <is>
          <t>Thi công lắp dựng leo giàn giáo bên ngoài nguy hiểm phức tạp</t>
        </is>
      </c>
      <c r="V118" s="91" t="inlineStr">
        <is>
          <t>✓</t>
        </is>
      </c>
      <c r="W118" s="91" t="inlineStr">
        <is>
          <t>✓</t>
        </is>
      </c>
      <c r="X118" s="91" t="inlineStr">
        <is>
          <t>✓</t>
        </is>
      </c>
      <c r="Y118" s="91" t="inlineStr">
        <is>
          <t>✓</t>
        </is>
      </c>
      <c r="Z118" s="91" t="inlineStr">
        <is>
          <t>Hoàn thành</t>
        </is>
      </c>
      <c r="AA118" s="92" t="n">
        <v>85</v>
      </c>
      <c r="AB118" s="91" t="inlineStr">
        <is>
          <t>https://www.xingfa-alu.com</t>
        </is>
      </c>
      <c r="AC118" s="91" t="inlineStr">
        <is>
          <t>https://nhomkinhdaiphuc.com/catalogue/catalogue-nhom-xingfa-nhap-khau-quang-dong-1.html</t>
        </is>
      </c>
      <c r="AD118" s="91" t="inlineStr"/>
    </row>
    <row r="119" ht="35" customHeight="1">
      <c r="A119" s="47" t="inlineStr">
        <is>
          <t>XF-006</t>
        </is>
      </c>
      <c r="B119" s="47" t="inlineStr">
        <is>
          <t>Cao cấp Class A</t>
        </is>
      </c>
      <c r="C119" s="47" t="inlineStr">
        <is>
          <t>Xingfa Class A</t>
        </is>
      </c>
      <c r="D119" s="47" t="inlineStr">
        <is>
          <t>Xingfa</t>
        </is>
      </c>
      <c r="E119" s="47" t="inlineStr">
        <is>
          <t>Trung Quốc/VN</t>
        </is>
      </c>
      <c r="F119" s="47" t="inlineStr">
        <is>
          <t>GB/T &amp; EN</t>
        </is>
      </c>
      <c r="G119" s="47" t="inlineStr">
        <is>
          <t>Cửa đi + Cửa sổ</t>
        </is>
      </c>
      <c r="H119" s="47" t="inlineStr">
        <is>
          <t>Mở quay</t>
        </is>
      </c>
      <c r="I119" s="47" t="inlineStr">
        <is>
          <t>Khung phẳng rãnh C Châu Âu mạ ED</t>
        </is>
      </c>
      <c r="J119" s="47" t="inlineStr">
        <is>
          <t>Ngoại thất</t>
        </is>
      </c>
      <c r="K119" s="47" t="inlineStr">
        <is>
          <t>Biệt thự Luxury, resort ven biển cao cấp</t>
        </is>
      </c>
      <c r="L119" s="47" t="n">
        <v>2</v>
      </c>
      <c r="M119" s="47" t="inlineStr">
        <is>
          <t>Kính hộp Low-E cách âm cách nhiệt</t>
        </is>
      </c>
      <c r="N119" s="47" t="inlineStr">
        <is>
          <t>32mm</t>
        </is>
      </c>
      <c r="O119" s="47" t="inlineStr">
        <is>
          <t>1600×2800</t>
        </is>
      </c>
      <c r="P119" s="47" t="n">
        <v>150</v>
      </c>
      <c r="Q119" s="47" t="inlineStr">
        <is>
          <t>Phụ kiện CMECH / Roto rãnh C Châu Âu</t>
        </is>
      </c>
      <c r="R119" s="47" t="inlineStr">
        <is>
          <t>Gioăng EPDM đa khoang trung tâm</t>
        </is>
      </c>
      <c r="S119" s="47" t="inlineStr">
        <is>
          <t>Mạ điện di Anodized ED bảo hành 25 năm</t>
        </is>
      </c>
      <c r="T119" s="47" t="inlineStr">
        <is>
          <t>Bản nhôm phẳng không gân hiện đại, xi mạ ED chống muối mặn ăn mòn muối biển</t>
        </is>
      </c>
      <c r="U119" s="47" t="inlineStr">
        <is>
          <t>Giá thành nhôm thanh và phụ kiện đi kèm thuộc hàng đắt nhất</t>
        </is>
      </c>
      <c r="V119" s="47" t="inlineStr">
        <is>
          <t>✓</t>
        </is>
      </c>
      <c r="W119" s="47" t="inlineStr">
        <is>
          <t>✓</t>
        </is>
      </c>
      <c r="X119" s="47" t="inlineStr">
        <is>
          <t>✓</t>
        </is>
      </c>
      <c r="Y119" s="47" t="inlineStr">
        <is>
          <t>✓</t>
        </is>
      </c>
      <c r="Z119" s="47" t="inlineStr">
        <is>
          <t>Hoàn thành</t>
        </is>
      </c>
      <c r="AA119" s="50" t="n">
        <v>80</v>
      </c>
      <c r="AB119" s="47" t="inlineStr">
        <is>
          <t>https://www.xingfa-alu.com</t>
        </is>
      </c>
      <c r="AC119" s="47" t="inlineStr">
        <is>
          <t>https://nhomkinhdaiphuc.com/catalogue/catalogue-nhom-xingfa-nhap-khau-quang-dong-1.html</t>
        </is>
      </c>
      <c r="AD119" s="47" t="inlineStr"/>
    </row>
    <row r="120" ht="35" customHeight="1">
      <c r="A120" s="2" t="inlineStr">
        <is>
          <t>XF-007</t>
        </is>
      </c>
      <c r="B120" s="2" t="inlineStr">
        <is>
          <t>Việt Nam sản xuất</t>
        </is>
      </c>
      <c r="C120" s="2" t="inlineStr">
        <is>
          <t>Xingfa Việt Nam 55</t>
        </is>
      </c>
      <c r="D120" s="2" t="inlineStr">
        <is>
          <t>Nhiều nhà máy</t>
        </is>
      </c>
      <c r="E120" s="2" t="inlineStr">
        <is>
          <t>Việt Nam</t>
        </is>
      </c>
      <c r="F120" s="2" t="inlineStr">
        <is>
          <t>TCVN</t>
        </is>
      </c>
      <c r="G120" s="2" t="inlineStr">
        <is>
          <t>Cửa đi + Cửa sổ</t>
        </is>
      </c>
      <c r="H120" s="2" t="inlineStr">
        <is>
          <t>Mở quay</t>
        </is>
      </c>
      <c r="I120" s="2" t="inlineStr">
        <is>
          <t>Khung 55mm đùn ép trong nước</t>
        </is>
      </c>
      <c r="J120" s="2" t="inlineStr">
        <is>
          <t>Nội/Ngoại thất</t>
        </is>
      </c>
      <c r="K120" s="2" t="inlineStr">
        <is>
          <t>Nhà phố dân dụng phổ thông, văn phòng giá rẻ</t>
        </is>
      </c>
      <c r="L120" s="2" t="n">
        <v>1.2</v>
      </c>
      <c r="M120" s="2" t="inlineStr">
        <is>
          <t>Kính đơn 5-10mm / Kính dán</t>
        </is>
      </c>
      <c r="N120" s="2" t="inlineStr">
        <is>
          <t>10mm</t>
        </is>
      </c>
      <c r="O120" s="2" t="inlineStr">
        <is>
          <t>1200×2200</t>
        </is>
      </c>
      <c r="P120" s="2" t="n">
        <v>80</v>
      </c>
      <c r="Q120" s="2" t="inlineStr">
        <is>
          <t>Phụ kiện PMA / Kinlong rãnh 22</t>
        </is>
      </c>
      <c r="R120" s="2" t="inlineStr">
        <is>
          <t>Gioăng EPDM đơn / Silicon Apollo</t>
        </is>
      </c>
      <c r="S120" s="2" t="inlineStr">
        <is>
          <t>Sơn tĩnh điện nội địa</t>
        </is>
      </c>
      <c r="T120" s="2" t="inlineStr">
        <is>
          <t>Chi phí cực kỳ kinh tế rẻ hơn hàng nhập 35%, sẵn hàng nhanh chóng</t>
        </is>
      </c>
      <c r="U120" s="2" t="inlineStr">
        <is>
          <t>Kết cấu mỏng, chống gió bão giật yếu hơn hàng nhập khẩu Quảng Đông</t>
        </is>
      </c>
      <c r="V120" s="2" t="inlineStr">
        <is>
          <t>✓</t>
        </is>
      </c>
      <c r="W120" s="2" t="inlineStr">
        <is>
          <t>✗</t>
        </is>
      </c>
      <c r="X120" s="2" t="inlineStr">
        <is>
          <t>✓</t>
        </is>
      </c>
      <c r="Y120" s="2" t="inlineStr">
        <is>
          <t>✓</t>
        </is>
      </c>
      <c r="Z120" s="2" t="inlineStr">
        <is>
          <t>Hoàn thành</t>
        </is>
      </c>
      <c r="AA120" s="3" t="n">
        <v>85</v>
      </c>
      <c r="AB120" s="2" t="inlineStr">
        <is>
          <t>https://vietphapshal.com.vn</t>
        </is>
      </c>
      <c r="AC120" s="2" t="inlineStr">
        <is>
          <t>https://nhomkinhdaiphuc.com/catalogue/catalogue-nhom-xingfa-viet-nam-10.html</t>
        </is>
      </c>
      <c r="AD120" s="2" t="inlineStr"/>
    </row>
    <row r="121" ht="35" customHeight="1">
      <c r="A121" s="2" t="inlineStr">
        <is>
          <t>XF-008</t>
        </is>
      </c>
      <c r="B121" s="2" t="inlineStr">
        <is>
          <t>Việt Nam sản xuất</t>
        </is>
      </c>
      <c r="C121" s="2" t="inlineStr">
        <is>
          <t>Xingfa Việt Nam 93</t>
        </is>
      </c>
      <c r="D121" s="2" t="inlineStr">
        <is>
          <t>Nhiều nhà máy</t>
        </is>
      </c>
      <c r="E121" s="2" t="inlineStr">
        <is>
          <t>Việt Nam</t>
        </is>
      </c>
      <c r="F121" s="2" t="inlineStr">
        <is>
          <t>TCVN</t>
        </is>
      </c>
      <c r="G121" s="2" t="inlineStr">
        <is>
          <t>Cửa đi</t>
        </is>
      </c>
      <c r="H121" s="2" t="inlineStr">
        <is>
          <t>Trượt lùa (Sliding)</t>
        </is>
      </c>
      <c r="I121" s="2" t="inlineStr">
        <is>
          <t>Khung trượt 93mm trong nước</t>
        </is>
      </c>
      <c r="J121" s="2" t="inlineStr">
        <is>
          <t>Ngoại thất</t>
        </is>
      </c>
      <c r="K121" s="2" t="inlineStr">
        <is>
          <t>Cửa đi thông phòng văn phòng, nhà xưởng</t>
        </is>
      </c>
      <c r="L121" s="2" t="n">
        <v>1.4</v>
      </c>
      <c r="M121" s="2" t="inlineStr">
        <is>
          <t>Kính đơn 5-12mm</t>
        </is>
      </c>
      <c r="N121" s="2" t="inlineStr">
        <is>
          <t>12mm</t>
        </is>
      </c>
      <c r="O121" s="2" t="inlineStr">
        <is>
          <t>3000×2400</t>
        </is>
      </c>
      <c r="P121" s="2" t="n">
        <v>100</v>
      </c>
      <c r="Q121" s="2" t="inlineStr">
        <is>
          <t>Bánh xe đơn &amp; khóa sập trong nước</t>
        </is>
      </c>
      <c r="R121" s="2" t="inlineStr">
        <is>
          <t>Gioăng chèn nỉ mỏng / Apollo</t>
        </is>
      </c>
      <c r="S121" s="2" t="inlineStr">
        <is>
          <t>Sơn tĩnh điện mờ</t>
        </is>
      </c>
      <c r="T121" s="2" t="inlineStr">
        <is>
          <t>Giải pháp cửa đi trượt lùa vô cùng kinh tế giúp tiết kiệm không gian</t>
        </is>
      </c>
      <c r="U121" s="2" t="inlineStr">
        <is>
          <t>Ray trượt dễ bị mòn xước, trượt không đầm chắc tay</t>
        </is>
      </c>
      <c r="V121" s="2" t="inlineStr">
        <is>
          <t>✓</t>
        </is>
      </c>
      <c r="W121" s="2" t="inlineStr">
        <is>
          <t>✗</t>
        </is>
      </c>
      <c r="X121" s="2" t="inlineStr">
        <is>
          <t>✓</t>
        </is>
      </c>
      <c r="Y121" s="2" t="inlineStr">
        <is>
          <t>✓</t>
        </is>
      </c>
      <c r="Z121" s="2" t="inlineStr">
        <is>
          <t>Hoàn thành</t>
        </is>
      </c>
      <c r="AA121" s="3" t="n">
        <v>80</v>
      </c>
      <c r="AB121" s="2" t="inlineStr">
        <is>
          <t>https://vietphapshal.com.vn</t>
        </is>
      </c>
      <c r="AC121" s="2" t="inlineStr">
        <is>
          <t>https://nhomkinhdaiphuc.com/catalogue/catalogue-nhom-xingfa-viet-nam-10.html</t>
        </is>
      </c>
      <c r="AD121" s="2" t="inlineStr"/>
    </row>
    <row r="122" ht="35" customHeight="1">
      <c r="A122" s="2" t="inlineStr">
        <is>
          <t>XF-009</t>
        </is>
      </c>
      <c r="B122" s="2" t="inlineStr">
        <is>
          <t>Việt Nam sản xuất</t>
        </is>
      </c>
      <c r="C122" s="2" t="inlineStr">
        <is>
          <t>Xingfa Việt Nam 63</t>
        </is>
      </c>
      <c r="D122" s="2" t="inlineStr">
        <is>
          <t>Nhiều nhà máy</t>
        </is>
      </c>
      <c r="E122" s="2" t="inlineStr">
        <is>
          <t>Việt Nam</t>
        </is>
      </c>
      <c r="F122" s="2" t="inlineStr">
        <is>
          <t>TCVN</t>
        </is>
      </c>
      <c r="G122" s="2" t="inlineStr">
        <is>
          <t>Cửa đi</t>
        </is>
      </c>
      <c r="H122" s="2" t="inlineStr">
        <is>
          <t>Xếp trượt gấp (Bifold)</t>
        </is>
      </c>
      <c r="I122" s="2" t="inlineStr">
        <is>
          <t>Khung xếp gấp đùn ép trong nước</t>
        </is>
      </c>
      <c r="J122" s="2" t="inlineStr">
        <is>
          <t>Ngoại thất</t>
        </is>
      </c>
      <c r="K122" s="2" t="inlineStr">
        <is>
          <t>Nhà dân trung cấp, cửa ra ban công rẻ</t>
        </is>
      </c>
      <c r="L122" s="2" t="n">
        <v>1.4</v>
      </c>
      <c r="M122" s="2" t="inlineStr">
        <is>
          <t>Kính đơn/dán 6-12mm</t>
        </is>
      </c>
      <c r="N122" s="2" t="inlineStr">
        <is>
          <t>12mm</t>
        </is>
      </c>
      <c r="O122" s="2" t="inlineStr">
        <is>
          <t>4500×2400</t>
        </is>
      </c>
      <c r="P122" s="2" t="n">
        <v>120</v>
      </c>
      <c r="Q122" s="2" t="inlineStr">
        <is>
          <t>Phụ kiện xếp gấp Kinlong / Draho nội địa</t>
        </is>
      </c>
      <c r="R122" s="2" t="inlineStr">
        <is>
          <t>Gioăng EPDM kép / Silicon Apollo</t>
        </is>
      </c>
      <c r="S122" s="2" t="inlineStr">
        <is>
          <t>Sơn tĩnh điện</t>
        </is>
      </c>
      <c r="T122" s="2" t="inlineStr">
        <is>
          <t>Chi phí đầu tư rẻ, dễ mua sẵn hàng thi công nhanh chóng</t>
        </is>
      </c>
      <c r="U122" s="2" t="inlineStr">
        <is>
          <t>Khung mỏng dễ sệ cánh nếu số lượng cánh trên 5 cánh</t>
        </is>
      </c>
      <c r="V122" s="2" t="inlineStr">
        <is>
          <t>✓</t>
        </is>
      </c>
      <c r="W122" s="2" t="inlineStr">
        <is>
          <t>✗</t>
        </is>
      </c>
      <c r="X122" s="2" t="inlineStr">
        <is>
          <t>✓</t>
        </is>
      </c>
      <c r="Y122" s="2" t="inlineStr">
        <is>
          <t>✓</t>
        </is>
      </c>
      <c r="Z122" s="2" t="inlineStr">
        <is>
          <t>Hoàn thành</t>
        </is>
      </c>
      <c r="AA122" s="3" t="n">
        <v>80</v>
      </c>
      <c r="AB122" s="2" t="inlineStr">
        <is>
          <t>https://vietphapshal.com.vn</t>
        </is>
      </c>
      <c r="AC122" s="2" t="inlineStr">
        <is>
          <t>https://nhomkinhdaiphuc.com/catalogue/catalogue-nhom-xingfa-viet-nam-10.html</t>
        </is>
      </c>
      <c r="AD122" s="2" t="inlineStr"/>
    </row>
    <row r="123" ht="35" customHeight="1">
      <c r="A123" s="2" t="inlineStr">
        <is>
          <t>XF-010</t>
        </is>
      </c>
      <c r="B123" s="2" t="inlineStr">
        <is>
          <t>Việt Nam sản xuất</t>
        </is>
      </c>
      <c r="C123" s="2" t="inlineStr">
        <is>
          <t>Xingfa Việt Nam 65</t>
        </is>
      </c>
      <c r="D123" s="2" t="inlineStr">
        <is>
          <t>Nhiều nhà máy</t>
        </is>
      </c>
      <c r="E123" s="2" t="inlineStr">
        <is>
          <t>Việt Nam</t>
        </is>
      </c>
      <c r="F123" s="2" t="inlineStr">
        <is>
          <t>TCVN</t>
        </is>
      </c>
      <c r="G123" s="2" t="inlineStr">
        <is>
          <t>Vách mặt dựng</t>
        </is>
      </c>
      <c r="H123" s="2" t="inlineStr">
        <is>
          <t>Cố định (Stick)</t>
        </is>
      </c>
      <c r="I123" s="2" t="inlineStr">
        <is>
          <t>Profile xương mặt dựng Stick nội địa</t>
        </is>
      </c>
      <c r="J123" s="2" t="inlineStr">
        <is>
          <t>Ngoại thất</t>
        </is>
      </c>
      <c r="K123" s="2" t="inlineStr">
        <is>
          <t>Showroom, vách mặt tiền nhà phố trung tầng</t>
        </is>
      </c>
      <c r="L123" s="2" t="n">
        <v>2</v>
      </c>
      <c r="M123" s="2" t="inlineStr">
        <is>
          <t>Bulong &amp; ke chịu lực nội địa</t>
        </is>
      </c>
      <c r="N123" s="2" t="inlineStr">
        <is>
          <t>24mm</t>
        </is>
      </c>
      <c r="O123" s="2" t="inlineStr">
        <is>
          <t>Không giới hạn</t>
        </is>
      </c>
      <c r="P123" s="2" t="n">
        <v>350</v>
      </c>
      <c r="Q123" s="2" t="inlineStr">
        <is>
          <t>Chốt kết cấu thép mạ kẽm</t>
        </is>
      </c>
      <c r="R123" s="2" t="inlineStr">
        <is>
          <t>Silicon Apollo kết cấu chống nước</t>
        </is>
      </c>
      <c r="S123" s="2" t="inlineStr">
        <is>
          <t>Sơn tĩnh điện thường</t>
        </is>
      </c>
      <c r="T123" s="2" t="inlineStr">
        <is>
          <t>Rút ngắn thời gian đặt hàng nhập khẩu, giá rẻ, dễ lắp ráp Stick</t>
        </is>
      </c>
      <c r="U123" s="2" t="inlineStr">
        <is>
          <t>Chỉ phù hợp tòa nhà thấp tầng, chống rung chấn trung bình</t>
        </is>
      </c>
      <c r="V123" s="2" t="inlineStr">
        <is>
          <t>✓</t>
        </is>
      </c>
      <c r="W123" s="2" t="inlineStr">
        <is>
          <t>✗</t>
        </is>
      </c>
      <c r="X123" s="2" t="inlineStr">
        <is>
          <t>✓</t>
        </is>
      </c>
      <c r="Y123" s="2" t="inlineStr">
        <is>
          <t>✓</t>
        </is>
      </c>
      <c r="Z123" s="2" t="inlineStr">
        <is>
          <t>Hoàn thành</t>
        </is>
      </c>
      <c r="AA123" s="3" t="n">
        <v>80</v>
      </c>
      <c r="AB123" s="2" t="inlineStr">
        <is>
          <t>https://vietphapshal.com.vn</t>
        </is>
      </c>
      <c r="AC123" s="2" t="inlineStr">
        <is>
          <t>https://nhomkinhdaiphuc.com/catalogue/catalogue-nhom-xingfa-viet-nam-10.html</t>
        </is>
      </c>
      <c r="AD123" s="2" t="inlineStr"/>
    </row>
    <row r="124" ht="35" customHeight="1">
      <c r="A124" s="93" t="inlineStr">
        <is>
          <t>PI-001</t>
        </is>
      </c>
      <c r="B124" s="93" t="inlineStr">
        <is>
          <t>Tầm trung rãnh C</t>
        </is>
      </c>
      <c r="C124" s="93" t="inlineStr">
        <is>
          <t>PMI PE45</t>
        </is>
      </c>
      <c r="D124" s="93" t="inlineStr">
        <is>
          <t>PMI</t>
        </is>
      </c>
      <c r="E124" s="93" t="inlineStr">
        <is>
          <t>Malaysia</t>
        </is>
      </c>
      <c r="F124" s="93" t="inlineStr">
        <is>
          <t>AAMA, Qualicoat</t>
        </is>
      </c>
      <c r="G124" s="93" t="inlineStr">
        <is>
          <t>Cửa đi + Cửa sổ</t>
        </is>
      </c>
      <c r="H124" s="93" t="inlineStr">
        <is>
          <t>Mở quay</t>
        </is>
      </c>
      <c r="I124" s="93" t="inlineStr">
        <is>
          <t>Khung rãnh C 45mm + Cánh</t>
        </is>
      </c>
      <c r="J124" s="93" t="inlineStr">
        <is>
          <t>Ngoại thất</t>
        </is>
      </c>
      <c r="K124" s="93" t="inlineStr">
        <is>
          <t>Căn hộ chung cư, nhà phố trung cấp</t>
        </is>
      </c>
      <c r="L124" s="93" t="n">
        <v>1.4</v>
      </c>
      <c r="M124" s="93" t="inlineStr">
        <is>
          <t>Kính đơn/hộp 6-24mm</t>
        </is>
      </c>
      <c r="N124" s="93" t="inlineStr">
        <is>
          <t>24mm</t>
        </is>
      </c>
      <c r="O124" s="93" t="inlineStr">
        <is>
          <t>1400×2400</t>
        </is>
      </c>
      <c r="P124" s="93" t="n">
        <v>100</v>
      </c>
      <c r="Q124" s="93" t="inlineStr">
        <is>
          <t>Phụ kiện rãnh C Châu Âu (Sigico, Hopo)</t>
        </is>
      </c>
      <c r="R124" s="93" t="inlineStr">
        <is>
          <t>Gioăng EPDM kép / Silicon Dow</t>
        </is>
      </c>
      <c r="S124" s="93" t="inlineStr">
        <is>
          <t>Sơn tĩnh điện AkzoNobel</t>
        </is>
      </c>
      <c r="T124" s="93" t="inlineStr">
        <is>
          <t>Khung rãnh C chuẩn Châu Âu, dễ gia công lắp phụ kiện cao cấp, nước sơn mịn</t>
        </is>
      </c>
      <c r="U124" s="93" t="inlineStr">
        <is>
          <t>Không có cầu cách nhiệt nên cản nhiệt trung bình</t>
        </is>
      </c>
      <c r="V124" s="93" t="inlineStr">
        <is>
          <t>✓</t>
        </is>
      </c>
      <c r="W124" s="93" t="inlineStr">
        <is>
          <t>✓</t>
        </is>
      </c>
      <c r="X124" s="93" t="inlineStr">
        <is>
          <t>✓</t>
        </is>
      </c>
      <c r="Y124" s="93" t="inlineStr">
        <is>
          <t>✓</t>
        </is>
      </c>
      <c r="Z124" s="93" t="inlineStr">
        <is>
          <t>Hoàn thành</t>
        </is>
      </c>
      <c r="AA124" s="94" t="n">
        <v>85</v>
      </c>
      <c r="AB124" s="93" t="inlineStr">
        <is>
          <t>https://nhomkinhdaiphuc.com/catalogue/catalogue-nhom-pmi-16.html</t>
        </is>
      </c>
      <c r="AC124" s="93" t="inlineStr">
        <is>
          <t>https://nhomkinhdaiphuc.com/catalogue/catalogue-nhom-pmi-16.html</t>
        </is>
      </c>
      <c r="AD124" s="93" t="inlineStr"/>
    </row>
    <row r="125" ht="35" customHeight="1">
      <c r="A125" s="24" t="inlineStr">
        <is>
          <t>PI-002</t>
        </is>
      </c>
      <c r="B125" s="24" t="inlineStr">
        <is>
          <t>Cầu cách nhiệt</t>
        </is>
      </c>
      <c r="C125" s="24" t="inlineStr">
        <is>
          <t>PMI DPE56</t>
        </is>
      </c>
      <c r="D125" s="24" t="inlineStr">
        <is>
          <t>PMI</t>
        </is>
      </c>
      <c r="E125" s="24" t="inlineStr">
        <is>
          <t>Malaysia</t>
        </is>
      </c>
      <c r="F125" s="24" t="inlineStr">
        <is>
          <t>AAMA, Qualicoat</t>
        </is>
      </c>
      <c r="G125" s="24" t="inlineStr">
        <is>
          <t>Cửa đi + Cửa sổ</t>
        </is>
      </c>
      <c r="H125" s="24" t="inlineStr">
        <is>
          <t>Mở quay</t>
        </is>
      </c>
      <c r="I125" s="24" t="inlineStr">
        <is>
          <t>Khung cầu Polyamide 56mm</t>
        </is>
      </c>
      <c r="J125" s="24" t="inlineStr">
        <is>
          <t>Ngoại thất</t>
        </is>
      </c>
      <c r="K125" s="24" t="inlineStr">
        <is>
          <t>Biệt thự, resort, phòng ngủ hướng Tây nắng nóng</t>
        </is>
      </c>
      <c r="L125" s="24" t="n">
        <v>1.4</v>
      </c>
      <c r="M125" s="24" t="inlineStr">
        <is>
          <t>Kính hộp Low-E cách nhiệt 24-32mm</t>
        </is>
      </c>
      <c r="N125" s="24" t="inlineStr">
        <is>
          <t>32mm</t>
        </is>
      </c>
      <c r="O125" s="24" t="inlineStr">
        <is>
          <t>1400×2600</t>
        </is>
      </c>
      <c r="P125" s="24" t="n">
        <v>120</v>
      </c>
      <c r="Q125" s="24" t="inlineStr">
        <is>
          <t>Phụ kiện CMECH / Roto rãnh C cách nhiệt</t>
        </is>
      </c>
      <c r="R125" s="24" t="inlineStr">
        <is>
          <t>Gioăng EPDM đa khoang trung tâm</t>
        </is>
      </c>
      <c r="S125" s="24" t="inlineStr">
        <is>
          <t>Sơn tĩnh điện cao cấp</t>
        </is>
      </c>
      <c r="T125" s="24" t="inlineStr">
        <is>
          <t>Khả năng cách âm cách nhiệt tuyệt vời, giảm truyền nhiệt phòng điều hòa 30%</t>
        </is>
      </c>
      <c r="U125" s="24" t="inlineStr">
        <is>
          <t>Chi phí phôi nhôm cầu cách nhiệt nhập khẩu đắt đỏ</t>
        </is>
      </c>
      <c r="V125" s="24" t="inlineStr">
        <is>
          <t>✓</t>
        </is>
      </c>
      <c r="W125" s="24" t="inlineStr">
        <is>
          <t>✓</t>
        </is>
      </c>
      <c r="X125" s="24" t="inlineStr">
        <is>
          <t>✓</t>
        </is>
      </c>
      <c r="Y125" s="24" t="inlineStr">
        <is>
          <t>✓</t>
        </is>
      </c>
      <c r="Z125" s="24" t="inlineStr">
        <is>
          <t>Hoàn thành</t>
        </is>
      </c>
      <c r="AA125" s="25" t="n">
        <v>80</v>
      </c>
      <c r="AB125" s="24" t="inlineStr">
        <is>
          <t>https://nhomkinhdaiphuc.com/catalogue/catalogue-nhom-pmi-16.html</t>
        </is>
      </c>
      <c r="AC125" s="24" t="inlineStr">
        <is>
          <t>https://nhomkinhdaiphuc.com/catalogue/catalogue-nhom-pmi-16.html</t>
        </is>
      </c>
      <c r="AD125" s="24" t="inlineStr"/>
    </row>
    <row r="126" ht="35" customHeight="1">
      <c r="A126" s="4" t="inlineStr">
        <is>
          <t>PI-003</t>
        </is>
      </c>
      <c r="B126" s="4" t="inlineStr">
        <is>
          <t>Tầm trung phổ thông</t>
        </is>
      </c>
      <c r="C126" s="4" t="inlineStr">
        <is>
          <t>PMI P55D</t>
        </is>
      </c>
      <c r="D126" s="4" t="inlineStr">
        <is>
          <t>PMI</t>
        </is>
      </c>
      <c r="E126" s="4" t="inlineStr">
        <is>
          <t>Malaysia</t>
        </is>
      </c>
      <c r="F126" s="4" t="inlineStr">
        <is>
          <t>AAMA, Qualicoat</t>
        </is>
      </c>
      <c r="G126" s="4" t="inlineStr">
        <is>
          <t>Cửa đi + Cửa sổ</t>
        </is>
      </c>
      <c r="H126" s="4" t="inlineStr">
        <is>
          <t>Mở quay</t>
        </is>
      </c>
      <c r="I126" s="4" t="inlineStr">
        <is>
          <t>Khung bao rãnh 22 kiểu Xingfa</t>
        </is>
      </c>
      <c r="J126" s="4" t="inlineStr">
        <is>
          <t>Ngoại thất</t>
        </is>
      </c>
      <c r="K126" s="4" t="inlineStr">
        <is>
          <t>Nhà phố dân dụng, biệt thự vườn phổ thông</t>
        </is>
      </c>
      <c r="L126" s="4" t="n">
        <v>1.4</v>
      </c>
      <c r="M126" s="4" t="inlineStr">
        <is>
          <t>Kính đơn/hộp 6-20mm</t>
        </is>
      </c>
      <c r="N126" s="4" t="inlineStr">
        <is>
          <t>20mm</t>
        </is>
      </c>
      <c r="O126" s="4" t="inlineStr">
        <is>
          <t>1200×2200</t>
        </is>
      </c>
      <c r="P126" s="4" t="n">
        <v>85</v>
      </c>
      <c r="Q126" s="4" t="inlineStr">
        <is>
          <t>Phụ kiện PMA / Kinlong rãnh 22</t>
        </is>
      </c>
      <c r="R126" s="4" t="inlineStr">
        <is>
          <t>Gioăng EPDM đơn / Apollo</t>
        </is>
      </c>
      <c r="S126" s="4" t="inlineStr">
        <is>
          <t>Sơn tĩnh điện mờ</t>
        </is>
      </c>
      <c r="T126" s="4" t="inlineStr">
        <is>
          <t>Thẩm mỹ vát góc kiểu Xingfa dễ bán, bề mặt nước sơn mịn đẹp đặc trưng PMI</t>
        </is>
      </c>
      <c r="U126" s="4" t="inlineStr">
        <is>
          <t>Phân khúc giá nhôm thanh hơi cao hơn Xingfa TQ</t>
        </is>
      </c>
      <c r="V126" s="4" t="inlineStr">
        <is>
          <t>✓</t>
        </is>
      </c>
      <c r="W126" s="4" t="inlineStr">
        <is>
          <t>✗</t>
        </is>
      </c>
      <c r="X126" s="4" t="inlineStr">
        <is>
          <t>✓</t>
        </is>
      </c>
      <c r="Y126" s="4" t="inlineStr">
        <is>
          <t>✓</t>
        </is>
      </c>
      <c r="Z126" s="4" t="inlineStr">
        <is>
          <t>Hoàn thành</t>
        </is>
      </c>
      <c r="AA126" s="5" t="n">
        <v>80</v>
      </c>
      <c r="AB126" s="4" t="inlineStr">
        <is>
          <t>https://nhomkinhdaiphuc.com/catalogue/catalogue-nhom-pmi-16.html</t>
        </is>
      </c>
      <c r="AC126" s="4" t="inlineStr">
        <is>
          <t>https://nhomkinhdaiphuc.com/catalogue/catalogue-nhom-pmi-16.html</t>
        </is>
      </c>
      <c r="AD126" s="4" t="inlineStr"/>
    </row>
    <row r="127" ht="35" customHeight="1">
      <c r="A127" s="14" t="inlineStr">
        <is>
          <t>PI-004</t>
        </is>
      </c>
      <c r="B127" s="14" t="inlineStr">
        <is>
          <t>Cao cấp rãnh C</t>
        </is>
      </c>
      <c r="C127" s="14" t="inlineStr">
        <is>
          <t>PMI P55M</t>
        </is>
      </c>
      <c r="D127" s="14" t="inlineStr">
        <is>
          <t>PMI</t>
        </is>
      </c>
      <c r="E127" s="14" t="inlineStr">
        <is>
          <t>Malaysia</t>
        </is>
      </c>
      <c r="F127" s="14" t="inlineStr">
        <is>
          <t>AAMA, Qualicoat</t>
        </is>
      </c>
      <c r="G127" s="14" t="inlineStr">
        <is>
          <t>Cửa đi</t>
        </is>
      </c>
      <c r="H127" s="14" t="inlineStr">
        <is>
          <t>Mở quay</t>
        </is>
      </c>
      <c r="I127" s="14" t="inlineStr">
        <is>
          <t>Khung bao bản cánh 55mm dày dặn</t>
        </is>
      </c>
      <c r="J127" s="14" t="inlineStr">
        <is>
          <t>Nội/Ngoại thất</t>
        </is>
      </c>
      <c r="K127" s="14" t="inlineStr">
        <is>
          <t>Cửa chính biệt thự, cửa đi thông phòng</t>
        </is>
      </c>
      <c r="L127" s="14" t="n">
        <v>2</v>
      </c>
      <c r="M127" s="14" t="inlineStr">
        <is>
          <t>Kính cường lực 10-15mm / Kính hộp</t>
        </is>
      </c>
      <c r="N127" s="14" t="inlineStr">
        <is>
          <t>24mm</t>
        </is>
      </c>
      <c r="O127" s="14" t="inlineStr">
        <is>
          <t>1600×2800</t>
        </is>
      </c>
      <c r="P127" s="14" t="n">
        <v>150</v>
      </c>
      <c r="Q127" s="14" t="inlineStr">
        <is>
          <t>Bản lề cối chịu lực Hopo / CMECH</t>
        </is>
      </c>
      <c r="R127" s="14" t="inlineStr">
        <is>
          <t>Gioăng EPDM kép / Silicon Dow</t>
        </is>
      </c>
      <c r="S127" s="14" t="inlineStr">
        <is>
          <t>Sơn tĩnh điện bảo hành 15 năm</t>
        </is>
      </c>
      <c r="T127" s="14" t="inlineStr">
        <is>
          <t>Cực kỳ cứng vững, chống rung chấn, an toàn chống đột nhập tốt</t>
        </is>
      </c>
      <c r="U127" s="14" t="inlineStr">
        <is>
          <t>Trọng lượng cánh nặng, đòi hỏi bản lề chịu tải tốt</t>
        </is>
      </c>
      <c r="V127" s="14" t="inlineStr">
        <is>
          <t>✓</t>
        </is>
      </c>
      <c r="W127" s="14" t="inlineStr">
        <is>
          <t>✓</t>
        </is>
      </c>
      <c r="X127" s="14" t="inlineStr">
        <is>
          <t>✓</t>
        </is>
      </c>
      <c r="Y127" s="14" t="inlineStr">
        <is>
          <t>✓</t>
        </is>
      </c>
      <c r="Z127" s="14" t="inlineStr">
        <is>
          <t>Hoàn thành</t>
        </is>
      </c>
      <c r="AA127" s="15" t="n">
        <v>80</v>
      </c>
      <c r="AB127" s="14" t="inlineStr">
        <is>
          <t>https://nhomkinhdaiphuc.com/catalogue/catalogue-nhom-pmi-16.html</t>
        </is>
      </c>
      <c r="AC127" s="14" t="inlineStr">
        <is>
          <t>https://nhomkinhdaiphuc.com/catalogue/catalogue-nhom-pmi-16.html</t>
        </is>
      </c>
      <c r="AD127" s="14" t="inlineStr"/>
    </row>
    <row r="128" ht="35" customHeight="1">
      <c r="A128" s="93" t="inlineStr">
        <is>
          <t>PI-005</t>
        </is>
      </c>
      <c r="B128" s="93" t="inlineStr">
        <is>
          <t>Tầm trung rãnh C</t>
        </is>
      </c>
      <c r="C128" s="93" t="inlineStr">
        <is>
          <t>PMI MP58A</t>
        </is>
      </c>
      <c r="D128" s="93" t="inlineStr">
        <is>
          <t>PMI</t>
        </is>
      </c>
      <c r="E128" s="93" t="inlineStr">
        <is>
          <t>Malaysia</t>
        </is>
      </c>
      <c r="F128" s="93" t="inlineStr">
        <is>
          <t>AAMA, Qualicoat</t>
        </is>
      </c>
      <c r="G128" s="93" t="inlineStr">
        <is>
          <t>Cửa đi + Cửa sổ</t>
        </is>
      </c>
      <c r="H128" s="93" t="inlineStr">
        <is>
          <t>Mở quay</t>
        </is>
      </c>
      <c r="I128" s="93" t="inlineStr">
        <is>
          <t>Khung phẳng rãnh C cải tiến</t>
        </is>
      </c>
      <c r="J128" s="93" t="inlineStr">
        <is>
          <t>Nội/Ngoại thất</t>
        </is>
      </c>
      <c r="K128" s="93" t="inlineStr">
        <is>
          <t>Chung cư cao cấp, văn phòng công ty</t>
        </is>
      </c>
      <c r="L128" s="93" t="n">
        <v>1.4</v>
      </c>
      <c r="M128" s="93" t="inlineStr">
        <is>
          <t>Kính đơn/hộp 6-24mm</t>
        </is>
      </c>
      <c r="N128" s="93" t="inlineStr">
        <is>
          <t>24mm</t>
        </is>
      </c>
      <c r="O128" s="93" t="inlineStr">
        <is>
          <t>1400×2600</t>
        </is>
      </c>
      <c r="P128" s="93" t="n">
        <v>100</v>
      </c>
      <c r="Q128" s="93" t="inlineStr">
        <is>
          <t>Phụ kiện Sigico / Hopo rãnh C</t>
        </is>
      </c>
      <c r="R128" s="93" t="inlineStr">
        <is>
          <t>Gioăng chèn nỉ / Silicon Sika</t>
        </is>
      </c>
      <c r="S128" s="93" t="inlineStr">
        <is>
          <t>Sơn tĩnh điện mờ</t>
        </is>
      </c>
      <c r="T128" s="93" t="inlineStr">
        <is>
          <t>Đáp ứng tốt tiêu chuẩn thiết kế hiện đại phẳng phiu, tiết kiệm năng lượng</t>
        </is>
      </c>
      <c r="U128" s="93" t="inlineStr">
        <is>
          <t>Giá phụ kiện rãnh C cao hơn rãnh thường</t>
        </is>
      </c>
      <c r="V128" s="93" t="inlineStr">
        <is>
          <t>✓</t>
        </is>
      </c>
      <c r="W128" s="93" t="inlineStr">
        <is>
          <t>✓</t>
        </is>
      </c>
      <c r="X128" s="93" t="inlineStr">
        <is>
          <t>✓</t>
        </is>
      </c>
      <c r="Y128" s="93" t="inlineStr">
        <is>
          <t>✓</t>
        </is>
      </c>
      <c r="Z128" s="93" t="inlineStr">
        <is>
          <t>Hoàn thành</t>
        </is>
      </c>
      <c r="AA128" s="94" t="n">
        <v>80</v>
      </c>
      <c r="AB128" s="93" t="inlineStr">
        <is>
          <t>https://nhomkinhdaiphuc.com/catalogue/catalogue-nhom-pmi-16.html</t>
        </is>
      </c>
      <c r="AC128" s="93" t="inlineStr">
        <is>
          <t>https://nhomkinhdaiphuc.com/catalogue/catalogue-nhom-pmi-16.html</t>
        </is>
      </c>
      <c r="AD128" s="93" t="inlineStr"/>
    </row>
    <row r="129" ht="35" customHeight="1">
      <c r="A129" s="24" t="inlineStr">
        <is>
          <t>PI-006</t>
        </is>
      </c>
      <c r="B129" s="24" t="inlineStr">
        <is>
          <t>Cầu cách nhiệt</t>
        </is>
      </c>
      <c r="C129" s="24" t="inlineStr">
        <is>
          <t>PMI MP75A</t>
        </is>
      </c>
      <c r="D129" s="24" t="inlineStr">
        <is>
          <t>PMI</t>
        </is>
      </c>
      <c r="E129" s="24" t="inlineStr">
        <is>
          <t>Malaysia</t>
        </is>
      </c>
      <c r="F129" s="24" t="inlineStr">
        <is>
          <t>AAMA, Qualicoat</t>
        </is>
      </c>
      <c r="G129" s="24" t="inlineStr">
        <is>
          <t>Cửa đi</t>
        </is>
      </c>
      <c r="H129" s="24" t="inlineStr">
        <is>
          <t>Mở quay</t>
        </is>
      </c>
      <c r="I129" s="24" t="inlineStr">
        <is>
          <t>Khung cầu cách nhiệt bản 75mm dày</t>
        </is>
      </c>
      <c r="J129" s="24" t="inlineStr">
        <is>
          <t>Ngoại thất</t>
        </is>
      </c>
      <c r="K129" s="24" t="inlineStr">
        <is>
          <t>Biệt thự cao cấp ven biển, penhouse chịu bão</t>
        </is>
      </c>
      <c r="L129" s="24" t="n">
        <v>2</v>
      </c>
      <c r="M129" s="24" t="inlineStr">
        <is>
          <t>Kính hộp Low-E cách âm cách nhiệt</t>
        </is>
      </c>
      <c r="N129" s="24" t="inlineStr">
        <is>
          <t>32mm</t>
        </is>
      </c>
      <c r="O129" s="24" t="inlineStr">
        <is>
          <t>1800×2800</t>
        </is>
      </c>
      <c r="P129" s="24" t="n">
        <v>150</v>
      </c>
      <c r="Q129" s="24" t="inlineStr">
        <is>
          <t>Phụ kiện an ninh chống cạy RC2 Sobinco</t>
        </is>
      </c>
      <c r="R129" s="24" t="inlineStr">
        <is>
          <t>Gioăng đúc xốp kép trung tâm</t>
        </is>
      </c>
      <c r="S129" s="24" t="inlineStr">
        <is>
          <t>Sơn tĩnh điện bảo hành 15 năm</t>
        </is>
      </c>
      <c r="T129" s="24" t="inlineStr">
        <is>
          <t>Cách âm và cách nhiệt vượt trội, chống bão gió giật ven biển rất tốt</t>
        </is>
      </c>
      <c r="U129" s="24" t="inlineStr">
        <is>
          <t>Giá thành cực cao ở phân khúc siêu cao cấp</t>
        </is>
      </c>
      <c r="V129" s="24" t="inlineStr">
        <is>
          <t>✓</t>
        </is>
      </c>
      <c r="W129" s="24" t="inlineStr">
        <is>
          <t>✓</t>
        </is>
      </c>
      <c r="X129" s="24" t="inlineStr">
        <is>
          <t>✓</t>
        </is>
      </c>
      <c r="Y129" s="24" t="inlineStr">
        <is>
          <t>✓</t>
        </is>
      </c>
      <c r="Z129" s="24" t="inlineStr">
        <is>
          <t>Hoàn thành</t>
        </is>
      </c>
      <c r="AA129" s="25" t="n">
        <v>80</v>
      </c>
      <c r="AB129" s="24" t="inlineStr">
        <is>
          <t>https://nhomkinhdaiphuc.com/catalogue/catalogue-nhom-pmi-16.html</t>
        </is>
      </c>
      <c r="AC129" s="24" t="inlineStr">
        <is>
          <t>https://nhomkinhdaiphuc.com/catalogue/catalogue-nhom-pmi-16.html</t>
        </is>
      </c>
      <c r="AD129" s="24" t="inlineStr"/>
    </row>
    <row r="130" ht="35" customHeight="1">
      <c r="A130" s="16" t="inlineStr">
        <is>
          <t>PI-007</t>
        </is>
      </c>
      <c r="B130" s="16" t="inlineStr">
        <is>
          <t>Trượt lùa</t>
        </is>
      </c>
      <c r="C130" s="16" t="inlineStr">
        <is>
          <t>PMI L100</t>
        </is>
      </c>
      <c r="D130" s="16" t="inlineStr">
        <is>
          <t>PMI</t>
        </is>
      </c>
      <c r="E130" s="16" t="inlineStr">
        <is>
          <t>Malaysia</t>
        </is>
      </c>
      <c r="F130" s="16" t="inlineStr">
        <is>
          <t>AAMA, Qualicoat</t>
        </is>
      </c>
      <c r="G130" s="16" t="inlineStr">
        <is>
          <t>Cửa đi</t>
        </is>
      </c>
      <c r="H130" s="16" t="inlineStr">
        <is>
          <t>Trượt lùa (Sliding)</t>
        </is>
      </c>
      <c r="I130" s="16" t="inlineStr">
        <is>
          <t>Khung trượt lùa 100mm 2 ray/3 ray</t>
        </is>
      </c>
      <c r="J130" s="16" t="inlineStr">
        <is>
          <t>Ngoại thất</t>
        </is>
      </c>
      <c r="K130" s="16" t="inlineStr">
        <is>
          <t>Nhà phố, căn hộ có ban công rộng</t>
        </is>
      </c>
      <c r="L130" s="16" t="n">
        <v>1.4</v>
      </c>
      <c r="M130" s="16" t="inlineStr">
        <is>
          <t>Kính đơn/hộp 6-24mm</t>
        </is>
      </c>
      <c r="N130" s="16" t="inlineStr">
        <is>
          <t>24mm</t>
        </is>
      </c>
      <c r="O130" s="16" t="inlineStr">
        <is>
          <t>4000×2400</t>
        </is>
      </c>
      <c r="P130" s="16" t="n">
        <v>120</v>
      </c>
      <c r="Q130" s="16" t="inlineStr">
        <is>
          <t>Bánh xe chịu lực &amp; tay gạt Hopo</t>
        </is>
      </c>
      <c r="R130" s="16" t="inlineStr">
        <is>
          <t>Gioăng EPDM kép chèn nỉ</t>
        </is>
      </c>
      <c r="S130" s="16" t="inlineStr">
        <is>
          <t>Sơn tĩnh điện mờ</t>
        </is>
      </c>
      <c r="T130" s="16" t="inlineStr">
        <is>
          <t>Khung bản 100mm cứng cáp trượt rất đầm chắc chắn, tối ưu không gian</t>
        </is>
      </c>
      <c r="U130" s="16" t="inlineStr">
        <is>
          <t>Chiếm diện tích độ rộng tường lắp khuôn lớn</t>
        </is>
      </c>
      <c r="V130" s="16" t="inlineStr">
        <is>
          <t>✓</t>
        </is>
      </c>
      <c r="W130" s="16" t="inlineStr">
        <is>
          <t>✗</t>
        </is>
      </c>
      <c r="X130" s="16" t="inlineStr">
        <is>
          <t>✓</t>
        </is>
      </c>
      <c r="Y130" s="16" t="inlineStr">
        <is>
          <t>✓</t>
        </is>
      </c>
      <c r="Z130" s="16" t="inlineStr">
        <is>
          <t>Hoàn thành</t>
        </is>
      </c>
      <c r="AA130" s="17" t="n">
        <v>80</v>
      </c>
      <c r="AB130" s="16" t="inlineStr">
        <is>
          <t>https://nhomkinhdaiphuc.com/catalogue/catalogue-nhom-pmi-16.html</t>
        </is>
      </c>
      <c r="AC130" s="16" t="inlineStr">
        <is>
          <t>https://nhomkinhdaiphuc.com/catalogue/catalogue-nhom-pmi-16.html</t>
        </is>
      </c>
      <c r="AD130" s="16" t="inlineStr"/>
    </row>
    <row r="131" ht="35" customHeight="1">
      <c r="A131" s="16" t="inlineStr">
        <is>
          <t>PI-008</t>
        </is>
      </c>
      <c r="B131" s="16" t="inlineStr">
        <is>
          <t>Trượt lùa</t>
        </is>
      </c>
      <c r="C131" s="16" t="inlineStr">
        <is>
          <t>PMI LE70</t>
        </is>
      </c>
      <c r="D131" s="16" t="inlineStr">
        <is>
          <t>PMI</t>
        </is>
      </c>
      <c r="E131" s="16" t="inlineStr">
        <is>
          <t>Malaysia</t>
        </is>
      </c>
      <c r="F131" s="16" t="inlineStr">
        <is>
          <t>AAMA, Qualicoat</t>
        </is>
      </c>
      <c r="G131" s="16" t="inlineStr">
        <is>
          <t>Cửa lùa</t>
        </is>
      </c>
      <c r="H131" s="16" t="inlineStr">
        <is>
          <t>Trượt lùa bản mỏng (Sliding)</t>
        </is>
      </c>
      <c r="I131" s="16" t="inlineStr">
        <is>
          <t>Khung lùa bản nhỏ 70mm gọn nhẹ</t>
        </is>
      </c>
      <c r="J131" s="16" t="inlineStr">
        <is>
          <t>Nội/Ngoại thất</t>
        </is>
      </c>
      <c r="K131" s="16" t="inlineStr">
        <is>
          <t>Vách ngăn phòng, cửa lùa phụ biệt thự</t>
        </is>
      </c>
      <c r="L131" s="16" t="n">
        <v>1.4</v>
      </c>
      <c r="M131" s="16" t="inlineStr">
        <is>
          <t>Kính cường lực 8-12mm</t>
        </is>
      </c>
      <c r="N131" s="16" t="inlineStr">
        <is>
          <t>12mm</t>
        </is>
      </c>
      <c r="O131" s="16" t="inlineStr">
        <is>
          <t>3000×2200</t>
        </is>
      </c>
      <c r="P131" s="16" t="n">
        <v>80</v>
      </c>
      <c r="Q131" s="16" t="inlineStr">
        <is>
          <t>Bánh xe trượt nhẹ &amp; chốt sập PMI</t>
        </is>
      </c>
      <c r="R131" s="16" t="inlineStr">
        <is>
          <t>Gioăng chèn nỉ mỏng / Apollo</t>
        </is>
      </c>
      <c r="S131" s="16" t="inlineStr">
        <is>
          <t>Sơn tĩnh điện mờ</t>
        </is>
      </c>
      <c r="T131" s="16" t="inlineStr">
        <is>
          <t>Thanh nhôm mảnh mai tinh tế, đóng mở nhẹ nhàng, chi phí bảo trì rất thấp</t>
        </is>
      </c>
      <c r="U131" s="16" t="inlineStr">
        <is>
          <t>Không chịu tải bão lớn ngoài trời, cản nước mưa kém hơn bản 100</t>
        </is>
      </c>
      <c r="V131" s="16" t="inlineStr">
        <is>
          <t>✓</t>
        </is>
      </c>
      <c r="W131" s="16" t="inlineStr">
        <is>
          <t>✗</t>
        </is>
      </c>
      <c r="X131" s="16" t="inlineStr">
        <is>
          <t>✓</t>
        </is>
      </c>
      <c r="Y131" s="16" t="inlineStr">
        <is>
          <t>✓</t>
        </is>
      </c>
      <c r="Z131" s="16" t="inlineStr">
        <is>
          <t>Hoàn thành</t>
        </is>
      </c>
      <c r="AA131" s="17" t="n">
        <v>80</v>
      </c>
      <c r="AB131" s="16" t="inlineStr">
        <is>
          <t>https://nhomkinhdaiphuc.com/catalogue/catalogue-nhom-pmi-16.html</t>
        </is>
      </c>
      <c r="AC131" s="16" t="inlineStr">
        <is>
          <t>https://nhomkinhdaiphuc.com/catalogue/catalogue-nhom-pmi-16.html</t>
        </is>
      </c>
      <c r="AD131" s="16" t="inlineStr"/>
    </row>
    <row r="132" ht="35" customHeight="1">
      <c r="A132" s="20" t="inlineStr">
        <is>
          <t>PI-009</t>
        </is>
      </c>
      <c r="B132" s="20" t="inlineStr">
        <is>
          <t>Lift &amp; Slide</t>
        </is>
      </c>
      <c r="C132" s="20" t="inlineStr">
        <is>
          <t>PMI L120C</t>
        </is>
      </c>
      <c r="D132" s="20" t="inlineStr">
        <is>
          <t>PMI</t>
        </is>
      </c>
      <c r="E132" s="20" t="inlineStr">
        <is>
          <t>Malaysia</t>
        </is>
      </c>
      <c r="F132" s="20" t="inlineStr">
        <is>
          <t>AAMA, Qualicoat</t>
        </is>
      </c>
      <c r="G132" s="20" t="inlineStr">
        <is>
          <t>Cửa đi</t>
        </is>
      </c>
      <c r="H132" s="20" t="inlineStr">
        <is>
          <t>Trượt nâng (Lift &amp; Slide)</t>
        </is>
      </c>
      <c r="I132" s="20" t="inlineStr">
        <is>
          <t>Khung trượt nâng bản 120mm</t>
        </is>
      </c>
      <c r="J132" s="20" t="inlineStr">
        <is>
          <t>Ngoại thất</t>
        </is>
      </c>
      <c r="K132" s="20" t="inlineStr">
        <is>
          <t>Resort cao cấp, biệt thự sân vườn lớn</t>
        </is>
      </c>
      <c r="L132" s="20" t="n">
        <v>2</v>
      </c>
      <c r="M132" s="20" t="inlineStr">
        <is>
          <t>Kính hộp cách âm cách nhiệt 24-32mm</t>
        </is>
      </c>
      <c r="N132" s="20" t="inlineStr">
        <is>
          <t>32mm</t>
        </is>
      </c>
      <c r="O132" s="20" t="inlineStr">
        <is>
          <t>6000×2800</t>
        </is>
      </c>
      <c r="P132" s="20" t="n">
        <v>300</v>
      </c>
      <c r="Q132" s="20" t="inlineStr">
        <is>
          <t>Bánh xe nâng hạ &amp; tay gạt Sobinco/Hopo</t>
        </is>
      </c>
      <c r="R132" s="20" t="inlineStr">
        <is>
          <t>Gioăng nén EPDM phẳng sàn</t>
        </is>
      </c>
      <c r="S132" s="20" t="inlineStr">
        <is>
          <t>Sơn tĩnh điện bảo hành 15 năm</t>
        </is>
      </c>
      <c r="T132" s="20" t="inlineStr">
        <is>
          <t>Trượt nâng hạ nén gioăng kín khít tuyệt đối cách âm tốt, lướt êm ái</t>
        </is>
      </c>
      <c r="U132" s="20" t="inlineStr">
        <is>
          <t>Giá bộ phụ kiện nâng hạ nhập khẩu đắt đỏ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  <c r="Y132" s="20" t="inlineStr">
        <is>
          <t>✓</t>
        </is>
      </c>
      <c r="Z132" s="20" t="inlineStr">
        <is>
          <t>Hoàn thành</t>
        </is>
      </c>
      <c r="AA132" s="21" t="n">
        <v>80</v>
      </c>
      <c r="AB132" s="20" t="inlineStr">
        <is>
          <t>https://nhomkinhdaiphuc.com/catalogue/catalogue-nhom-pmi-16.html</t>
        </is>
      </c>
      <c r="AC132" s="20" t="inlineStr">
        <is>
          <t>https://nhomkinhdaiphuc.com/catalogue/catalogue-nhom-pmi-16.html</t>
        </is>
      </c>
      <c r="AD132" s="20" t="inlineStr"/>
    </row>
    <row r="133" ht="35" customHeight="1">
      <c r="A133" s="20" t="inlineStr">
        <is>
          <t>PI-010</t>
        </is>
      </c>
      <c r="B133" s="20" t="inlineStr">
        <is>
          <t>Lift &amp; Slide</t>
        </is>
      </c>
      <c r="C133" s="20" t="inlineStr">
        <is>
          <t>PMI DLM128</t>
        </is>
      </c>
      <c r="D133" s="20" t="inlineStr">
        <is>
          <t>PMI</t>
        </is>
      </c>
      <c r="E133" s="20" t="inlineStr">
        <is>
          <t>Malaysia</t>
        </is>
      </c>
      <c r="F133" s="20" t="inlineStr">
        <is>
          <t>AAMA, Qualicoat</t>
        </is>
      </c>
      <c r="G133" s="20" t="inlineStr">
        <is>
          <t>Cửa đi</t>
        </is>
      </c>
      <c r="H133" s="20" t="inlineStr">
        <is>
          <t>Trượt nâng siêu tải (Lift &amp; Slide)</t>
        </is>
      </c>
      <c r="I133" s="20" t="inlineStr">
        <is>
          <t>Khung trượt nâng 128mm cực dày</t>
        </is>
      </c>
      <c r="J133" s="20" t="inlineStr">
        <is>
          <t>Ngoại thất</t>
        </is>
      </c>
      <c r="K133" s="20" t="inlineStr">
        <is>
          <t>Biệt thự Luxury diện tích mặt lớn, penthouses</t>
        </is>
      </c>
      <c r="L133" s="20" t="n">
        <v>2.2</v>
      </c>
      <c r="M133" s="20" t="inlineStr">
        <is>
          <t>Kính hộp Low-E dải rộng</t>
        </is>
      </c>
      <c r="N133" s="20" t="inlineStr">
        <is>
          <t>36mm</t>
        </is>
      </c>
      <c r="O133" s="20" t="inlineStr">
        <is>
          <t>7000×3000</t>
        </is>
      </c>
      <c r="P133" s="20" t="n">
        <v>350</v>
      </c>
      <c r="Q133" s="20" t="inlineStr">
        <is>
          <t>Phụ kiện trượt nâng siêu tải Hopo/CMECH</t>
        </is>
      </c>
      <c r="R133" s="20" t="inlineStr">
        <is>
          <t>Gioăng đúc đa khoang chịu lực</t>
        </is>
      </c>
      <c r="S133" s="20" t="inlineStr">
        <is>
          <t>Sơn tĩnh điện bảo hành 15 năm</t>
        </is>
      </c>
      <c r="T133" s="20" t="inlineStr">
        <is>
          <t>Kết cấu vững chãi chịu gió bão ven biển tốt nhất, mở rộng khẩu độ cánh lớn</t>
        </is>
      </c>
      <c r="U133" s="20" t="inlineStr">
        <is>
          <t>Chi phí cực kỳ đắt đỏ, đòi hỏi nền sàn phẳng tuyệt đối khi lắp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  <c r="Y133" s="20" t="inlineStr">
        <is>
          <t>✓</t>
        </is>
      </c>
      <c r="Z133" s="20" t="inlineStr">
        <is>
          <t>Hoàn thành</t>
        </is>
      </c>
      <c r="AA133" s="21" t="n">
        <v>80</v>
      </c>
      <c r="AB133" s="20" t="inlineStr">
        <is>
          <t>https://nhomkinhdaiphuc.com/catalogue/catalogue-nhom-pmi-16.html</t>
        </is>
      </c>
      <c r="AC133" s="20" t="inlineStr">
        <is>
          <t>https://nhomkinhdaiphuc.com/catalogue/catalogue-nhom-pmi-16.html</t>
        </is>
      </c>
      <c r="AD133" s="20" t="inlineStr"/>
    </row>
    <row r="134" ht="35" customHeight="1">
      <c r="A134" s="95" t="inlineStr">
        <is>
          <t>YK-001</t>
        </is>
      </c>
      <c r="B134" s="95" t="inlineStr">
        <is>
          <t>Casement Nhật</t>
        </is>
      </c>
      <c r="C134" s="95" t="inlineStr">
        <is>
          <t>YKK WS55</t>
        </is>
      </c>
      <c r="D134" s="95" t="inlineStr">
        <is>
          <t>YKK AP</t>
        </is>
      </c>
      <c r="E134" s="95" t="inlineStr">
        <is>
          <t>Nhật Bản</t>
        </is>
      </c>
      <c r="F134" s="95" t="inlineStr">
        <is>
          <t>JIS A 4702 / JIS A 4706</t>
        </is>
      </c>
      <c r="G134" s="95" t="inlineStr">
        <is>
          <t>Cửa sổ + Cửa đi</t>
        </is>
      </c>
      <c r="H134" s="95" t="inlineStr">
        <is>
          <t>Mở quay + Mở hất (Casement + Awning)</t>
        </is>
      </c>
      <c r="I134" s="95" t="inlineStr">
        <is>
          <t>Khung 55mm chuẩn Nhật + Cánh đặc chủng Nhật</t>
        </is>
      </c>
      <c r="J134" s="95" t="inlineStr">
        <is>
          <t>Ngoại thất</t>
        </is>
      </c>
      <c r="K134" s="95" t="inlineStr">
        <is>
          <t>Biệt thự, chung cư cao cấp Nhật và Việt Nam</t>
        </is>
      </c>
      <c r="L134" s="95" t="n">
        <v>1.6</v>
      </c>
      <c r="M134" s="95" t="inlineStr">
        <is>
          <t>5-12mm / Kính hộp 20-28mm</t>
        </is>
      </c>
      <c r="N134" s="95" t="inlineStr">
        <is>
          <t>12mm</t>
        </is>
      </c>
      <c r="O134" s="95" t="inlineStr">
        <is>
          <t>1600×2800</t>
        </is>
      </c>
      <c r="P134" s="95" t="n">
        <v>150</v>
      </c>
      <c r="Q134" s="95" t="inlineStr">
        <is>
          <t>Phụ kiện YKK AP nguyên bộ Nhật</t>
        </is>
      </c>
      <c r="R134" s="95" t="inlineStr">
        <is>
          <t>Gioăng EPDM Nhật tiêu chuẩn JIS</t>
        </is>
      </c>
      <c r="S134" s="95" t="inlineStr">
        <is>
          <t>Anodized Nhật bạc tự nhiên – bền 40 năm chuẩn Nhật</t>
        </is>
      </c>
      <c r="T134" s="95" t="inlineStr">
        <is>
          <t>Kiểm soát chất lượng chuẩn Nhật JIS, độ bền vượt trội, thẩm mỹ tinh tế</t>
        </is>
      </c>
      <c r="U134" s="95" t="inlineStr">
        <is>
          <t>Giá cao hơn hàng VN 2-3 lần</t>
        </is>
      </c>
      <c r="V134" s="95" t="inlineStr">
        <is>
          <t>✓</t>
        </is>
      </c>
      <c r="W134" s="95" t="inlineStr">
        <is>
          <t>✓</t>
        </is>
      </c>
      <c r="X134" s="95" t="inlineStr">
        <is>
          <t>✓</t>
        </is>
      </c>
      <c r="Y134" s="95" t="inlineStr">
        <is>
          <t>✓</t>
        </is>
      </c>
      <c r="Z134" s="95" t="inlineStr">
        <is>
          <t>Đang nghiên cứu</t>
        </is>
      </c>
      <c r="AA134" s="96" t="n">
        <v>65</v>
      </c>
      <c r="AB134" s="95" t="inlineStr">
        <is>
          <t>https://www.ykkap.co.jp</t>
        </is>
      </c>
      <c r="AC134" s="95" t="inlineStr"/>
      <c r="AD134" s="95" t="inlineStr"/>
    </row>
    <row r="135" ht="35" customHeight="1">
      <c r="A135" s="97" t="inlineStr">
        <is>
          <t>YK-002</t>
        </is>
      </c>
      <c r="B135" s="97" t="inlineStr">
        <is>
          <t>Sliding Nhật</t>
        </is>
      </c>
      <c r="C135" s="97" t="inlineStr">
        <is>
          <t>YKK SL90</t>
        </is>
      </c>
      <c r="D135" s="97" t="inlineStr">
        <is>
          <t>YKK AP</t>
        </is>
      </c>
      <c r="E135" s="97" t="inlineStr">
        <is>
          <t>Nhật Bản</t>
        </is>
      </c>
      <c r="F135" s="97" t="inlineStr">
        <is>
          <t>JIS A 4706</t>
        </is>
      </c>
      <c r="G135" s="97" t="inlineStr">
        <is>
          <t>Cửa đi</t>
        </is>
      </c>
      <c r="H135" s="97" t="inlineStr">
        <is>
          <t>Trượt lùa (Sliding)</t>
        </is>
      </c>
      <c r="I135" s="97" t="inlineStr">
        <is>
          <t>Khung + Ray inox Nhật tiêu chuẩn JIS</t>
        </is>
      </c>
      <c r="J135" s="97" t="inlineStr">
        <is>
          <t>Ngoại thất</t>
        </is>
      </c>
      <c r="K135" s="97" t="inlineStr">
        <is>
          <t>Biệt thự, chung cư cao cấp</t>
        </is>
      </c>
      <c r="L135" s="97" t="n">
        <v>1.8</v>
      </c>
      <c r="M135" s="97" t="inlineStr">
        <is>
          <t>Kính cường lực 10-15mm / Kính hộp 20-28mm</t>
        </is>
      </c>
      <c r="N135" s="97" t="inlineStr">
        <is>
          <t>15mm</t>
        </is>
      </c>
      <c r="O135" s="97" t="inlineStr">
        <is>
          <t>4000×2400</t>
        </is>
      </c>
      <c r="P135" s="97" t="n">
        <v>200</v>
      </c>
      <c r="Q135" s="97" t="inlineStr">
        <is>
          <t>Ray inox SUS304 Nhật</t>
        </is>
      </c>
      <c r="R135" s="97" t="inlineStr">
        <is>
          <t>Gioăng EPDM Nhật</t>
        </is>
      </c>
      <c r="S135" s="97" t="inlineStr">
        <is>
          <t>Anodized Nhật, sơn bột Nhật</t>
        </is>
      </c>
      <c r="T135" s="97" t="inlineStr">
        <is>
          <t>Trượt cực êm chuẩn Nhật JIS, bánh xe chịu tải cao</t>
        </is>
      </c>
      <c r="U135" s="97" t="inlineStr">
        <is>
          <t>Giá cao, phân phối hạn chế VN</t>
        </is>
      </c>
      <c r="V135" s="97" t="inlineStr">
        <is>
          <t>✓</t>
        </is>
      </c>
      <c r="W135" s="97" t="inlineStr">
        <is>
          <t>✓</t>
        </is>
      </c>
      <c r="X135" s="97" t="inlineStr">
        <is>
          <t>✓</t>
        </is>
      </c>
      <c r="Y135" s="97" t="inlineStr">
        <is>
          <t>✓</t>
        </is>
      </c>
      <c r="Z135" s="97" t="inlineStr">
        <is>
          <t>Đang nghiên cứu</t>
        </is>
      </c>
      <c r="AA135" s="98" t="n">
        <v>60</v>
      </c>
      <c r="AB135" s="97" t="inlineStr">
        <is>
          <t>https://www.ykkap.co.jp</t>
        </is>
      </c>
      <c r="AC135" s="97" t="inlineStr"/>
      <c r="AD135" s="97" t="inlineStr"/>
    </row>
    <row r="136" ht="35" customHeight="1">
      <c r="A136" s="33" t="inlineStr">
        <is>
          <t>HD-001</t>
        </is>
      </c>
      <c r="B136" s="33" t="inlineStr">
        <is>
          <t>Anodized Cao cấp</t>
        </is>
      </c>
      <c r="C136" s="33" t="inlineStr">
        <is>
          <t>Hondalex LV 60</t>
        </is>
      </c>
      <c r="D136" s="33" t="inlineStr">
        <is>
          <t>Hondalex</t>
        </is>
      </c>
      <c r="E136" s="33" t="inlineStr">
        <is>
          <t>Nhật Bản/VN</t>
        </is>
      </c>
      <c r="F136" s="33" t="inlineStr">
        <is>
          <t>JIS H4100</t>
        </is>
      </c>
      <c r="G136" s="33" t="inlineStr">
        <is>
          <t>Cửa đi</t>
        </is>
      </c>
      <c r="H136" s="33" t="inlineStr">
        <is>
          <t>Mở quay</t>
        </is>
      </c>
      <c r="I136" s="33" t="inlineStr">
        <is>
          <t>Khung bản dày 60mm + Cánh</t>
        </is>
      </c>
      <c r="J136" s="33" t="inlineStr">
        <is>
          <t>Ngoại thất</t>
        </is>
      </c>
      <c r="K136" s="33" t="inlineStr">
        <is>
          <t>Biệt thự cao cấp, khách sạn mặt tiền biển</t>
        </is>
      </c>
      <c r="L136" s="33" t="n">
        <v>1.8</v>
      </c>
      <c r="M136" s="33" t="inlineStr">
        <is>
          <t>Kính cường lực 10-15mm / Kính hộp</t>
        </is>
      </c>
      <c r="N136" s="33" t="inlineStr">
        <is>
          <t>24mm</t>
        </is>
      </c>
      <c r="O136" s="33" t="inlineStr">
        <is>
          <t>1600×2800</t>
        </is>
      </c>
      <c r="P136" s="33" t="n">
        <v>150</v>
      </c>
      <c r="Q136" s="33" t="inlineStr">
        <is>
          <t>Phụ kiện Hopo / CMECH / Long Vân rãnh C</t>
        </is>
      </c>
      <c r="R136" s="33" t="inlineStr">
        <is>
          <t>Gioăng EPDM Nhật Bản / Silicon Dow</t>
        </is>
      </c>
      <c r="S136" s="33" t="inlineStr">
        <is>
          <t>Mạ điện di Anodize ED bền trên 40 năm</t>
        </is>
      </c>
      <c r="T136" s="33" t="inlineStr">
        <is>
          <t>Lớp bề mặt Anodize ED bóng mịn chống ăn mòn cực cao, bền trên 40 năm chuẩn JIS Nhật Bản</t>
        </is>
      </c>
      <c r="U136" s="33" t="inlineStr">
        <is>
          <t>Giá thành nhôm thanh xi mạ ED và phụ kiện đi kèm khá cao, kén thợ</t>
        </is>
      </c>
      <c r="V136" s="33" t="inlineStr">
        <is>
          <t>✓</t>
        </is>
      </c>
      <c r="W136" s="33" t="inlineStr">
        <is>
          <t>✓</t>
        </is>
      </c>
      <c r="X136" s="33" t="inlineStr">
        <is>
          <t>✓</t>
        </is>
      </c>
      <c r="Y136" s="33" t="inlineStr">
        <is>
          <t>✓</t>
        </is>
      </c>
      <c r="Z136" s="33" t="inlineStr">
        <is>
          <t>Hoàn thành</t>
        </is>
      </c>
      <c r="AA136" s="34" t="n">
        <v>80</v>
      </c>
      <c r="AB136" s="33" t="inlineStr">
        <is>
          <t>https://vietphapshal.com.vn</t>
        </is>
      </c>
      <c r="AC136" s="33" t="inlineStr">
        <is>
          <t>https://nhomkinhdaiphuc.com/catalogue/catalogue-nhom-hondalex-longvangroup-50.html</t>
        </is>
      </c>
      <c r="AD136" s="33" t="inlineStr"/>
    </row>
    <row r="137" ht="35" customHeight="1">
      <c r="A137" s="37" t="inlineStr">
        <is>
          <t>HD-002</t>
        </is>
      </c>
      <c r="B137" s="37" t="inlineStr">
        <is>
          <t>Anodized Trung cấp</t>
        </is>
      </c>
      <c r="C137" s="37" t="inlineStr">
        <is>
          <t>Hondalex LV 34</t>
        </is>
      </c>
      <c r="D137" s="37" t="inlineStr">
        <is>
          <t>Hondalex</t>
        </is>
      </c>
      <c r="E137" s="37" t="inlineStr">
        <is>
          <t>Nhật Bản/VN</t>
        </is>
      </c>
      <c r="F137" s="37" t="inlineStr">
        <is>
          <t>JIS H4100</t>
        </is>
      </c>
      <c r="G137" s="37" t="inlineStr">
        <is>
          <t>Cửa đi</t>
        </is>
      </c>
      <c r="H137" s="37" t="inlineStr">
        <is>
          <t>Mở quay</t>
        </is>
      </c>
      <c r="I137" s="37" t="inlineStr">
        <is>
          <t>Khung bản nhỏ gọn + Cánh</t>
        </is>
      </c>
      <c r="J137" s="37" t="inlineStr">
        <is>
          <t>Nội thất</t>
        </is>
      </c>
      <c r="K137" s="37" t="inlineStr">
        <is>
          <t>Cửa thông phòng biệt thự, cửa đi căn hộ chung cư</t>
        </is>
      </c>
      <c r="L137" s="37" t="n">
        <v>1.2</v>
      </c>
      <c r="M137" s="37" t="inlineStr">
        <is>
          <t>Kính đơn 5-10mm</t>
        </is>
      </c>
      <c r="N137" s="37" t="inlineStr">
        <is>
          <t>10mm</t>
        </is>
      </c>
      <c r="O137" s="37" t="inlineStr">
        <is>
          <t>1200×2400</t>
        </is>
      </c>
      <c r="P137" s="37" t="n">
        <v>90</v>
      </c>
      <c r="Q137" s="37" t="inlineStr">
        <is>
          <t>Phụ kiện đồng bộ Long Vân rãnh 22</t>
        </is>
      </c>
      <c r="R137" s="37" t="inlineStr">
        <is>
          <t>Gioăng cao su chèn sập / Silicon Apollo</t>
        </is>
      </c>
      <c r="S137" s="37" t="inlineStr">
        <is>
          <t>Mạ điện di Anodize ED</t>
        </is>
      </c>
      <c r="T137" s="37" t="inlineStr">
        <is>
          <t>Thẩm mỹ gọn nhẹ tinh giản kiểu Nhật Bản, giá thành hợp lý, dễ sản xuất</t>
        </is>
      </c>
      <c r="U137" s="37" t="inlineStr">
        <is>
          <t>Bản nhôm mỏng không lắp được kính hộp quá dày cách âm</t>
        </is>
      </c>
      <c r="V137" s="37" t="inlineStr">
        <is>
          <t>✓</t>
        </is>
      </c>
      <c r="W137" s="37" t="inlineStr">
        <is>
          <t>✗</t>
        </is>
      </c>
      <c r="X137" s="37" t="inlineStr">
        <is>
          <t>✓</t>
        </is>
      </c>
      <c r="Y137" s="37" t="inlineStr">
        <is>
          <t>✓</t>
        </is>
      </c>
      <c r="Z137" s="37" t="inlineStr">
        <is>
          <t>Hoàn thành</t>
        </is>
      </c>
      <c r="AA137" s="38" t="n">
        <v>80</v>
      </c>
      <c r="AB137" s="37" t="inlineStr">
        <is>
          <t>https://vietphapshal.com.vn</t>
        </is>
      </c>
      <c r="AC137" s="37" t="inlineStr">
        <is>
          <t>https://nhomkinhdaiphuc.com/catalogue/catalogue-nhom-hondalex-longvangroup-50.html</t>
        </is>
      </c>
      <c r="AD137" s="37" t="inlineStr"/>
    </row>
    <row r="138" ht="35" customHeight="1">
      <c r="A138" s="37" t="inlineStr">
        <is>
          <t>HD-003</t>
        </is>
      </c>
      <c r="B138" s="37" t="inlineStr">
        <is>
          <t>Anodized Trung cấp</t>
        </is>
      </c>
      <c r="C138" s="37" t="inlineStr">
        <is>
          <t>Hondalex LV 70</t>
        </is>
      </c>
      <c r="D138" s="37" t="inlineStr">
        <is>
          <t>Hondalex</t>
        </is>
      </c>
      <c r="E138" s="37" t="inlineStr">
        <is>
          <t>Nhật Bản/VN</t>
        </is>
      </c>
      <c r="F138" s="37" t="inlineStr">
        <is>
          <t>JIS H4100</t>
        </is>
      </c>
      <c r="G138" s="37" t="inlineStr">
        <is>
          <t>Cửa đi</t>
        </is>
      </c>
      <c r="H138" s="37" t="inlineStr">
        <is>
          <t>Mở quay</t>
        </is>
      </c>
      <c r="I138" s="37" t="inlineStr">
        <is>
          <t>Khung bản 70mm tối ưu nhẹ</t>
        </is>
      </c>
      <c r="J138" s="37" t="inlineStr">
        <is>
          <t>Ngoại thất</t>
        </is>
      </c>
      <c r="K138" s="37" t="inlineStr">
        <is>
          <t>Căn hộ, văn phòng làm việc, nhà phố</t>
        </is>
      </c>
      <c r="L138" s="37" t="n">
        <v>1.2</v>
      </c>
      <c r="M138" s="37" t="inlineStr">
        <is>
          <t>Kính đơn 5-12mm / Kính hộp</t>
        </is>
      </c>
      <c r="N138" s="37" t="inlineStr">
        <is>
          <t>18mm</t>
        </is>
      </c>
      <c r="O138" s="37" t="inlineStr">
        <is>
          <t>1400×2400</t>
        </is>
      </c>
      <c r="P138" s="37" t="n">
        <v>100</v>
      </c>
      <c r="Q138" s="37" t="inlineStr">
        <is>
          <t>Phụ kiện chốt gạt Long Vân / Kinlong</t>
        </is>
      </c>
      <c r="R138" s="37" t="inlineStr">
        <is>
          <t>Gioăng EPDM / Silicon Apollo</t>
        </is>
      </c>
      <c r="S138" s="37" t="inlineStr">
        <is>
          <t>Mạ điện di Anodize ED</t>
        </is>
      </c>
      <c r="T138" s="37" t="inlineStr">
        <is>
          <t>Trọng lượng tối ưu giúp vận hành đóng mở nhẹ tay êm ái, xi mạ chống xước rất tốt</t>
        </is>
      </c>
      <c r="U138" s="37" t="inlineStr">
        <is>
          <t>Độ chắn gió giật ngoại thất kém hơn bản LV 60 dày</t>
        </is>
      </c>
      <c r="V138" s="37" t="inlineStr">
        <is>
          <t>✓</t>
        </is>
      </c>
      <c r="W138" s="37" t="inlineStr">
        <is>
          <t>✗</t>
        </is>
      </c>
      <c r="X138" s="37" t="inlineStr">
        <is>
          <t>✓</t>
        </is>
      </c>
      <c r="Y138" s="37" t="inlineStr">
        <is>
          <t>✓</t>
        </is>
      </c>
      <c r="Z138" s="37" t="inlineStr">
        <is>
          <t>Hoàn thành</t>
        </is>
      </c>
      <c r="AA138" s="38" t="n">
        <v>80</v>
      </c>
      <c r="AB138" s="37" t="inlineStr">
        <is>
          <t>https://vietphapshal.com.vn</t>
        </is>
      </c>
      <c r="AC138" s="37" t="inlineStr">
        <is>
          <t>https://nhomkinhdaiphuc.com/catalogue/catalogue-nhom-hondalex-longvangroup-50.html</t>
        </is>
      </c>
      <c r="AD138" s="37" t="inlineStr"/>
    </row>
    <row r="139" ht="35" customHeight="1">
      <c r="A139" s="33" t="inlineStr">
        <is>
          <t>HD-004</t>
        </is>
      </c>
      <c r="B139" s="33" t="inlineStr">
        <is>
          <t>Anodized Cao cấp</t>
        </is>
      </c>
      <c r="C139" s="33" t="inlineStr">
        <is>
          <t>Hondalex LV 60 Window</t>
        </is>
      </c>
      <c r="D139" s="33" t="inlineStr">
        <is>
          <t>Hondalex</t>
        </is>
      </c>
      <c r="E139" s="33" t="inlineStr">
        <is>
          <t>Nhật Bản/VN</t>
        </is>
      </c>
      <c r="F139" s="33" t="inlineStr">
        <is>
          <t>JIS H4100</t>
        </is>
      </c>
      <c r="G139" s="33" t="inlineStr">
        <is>
          <t>Cửa sổ</t>
        </is>
      </c>
      <c r="H139" s="33" t="inlineStr">
        <is>
          <t>Mở hất + Mở quay</t>
        </is>
      </c>
      <c r="I139" s="33" t="inlineStr">
        <is>
          <t>Khung sổ 60mm chống dột</t>
        </is>
      </c>
      <c r="J139" s="33" t="inlineStr">
        <is>
          <t>Ngoại thất</t>
        </is>
      </c>
      <c r="K139" s="33" t="inlineStr">
        <is>
          <t>Cửa sổ nhà cao tầng, biệt thự ven biển</t>
        </is>
      </c>
      <c r="L139" s="33" t="n">
        <v>1.5</v>
      </c>
      <c r="M139" s="33" t="inlineStr">
        <is>
          <t>Kính đơn/hộp 6-24mm</t>
        </is>
      </c>
      <c r="N139" s="33" t="inlineStr">
        <is>
          <t>24mm</t>
        </is>
      </c>
      <c r="O139" s="33" t="inlineStr">
        <is>
          <t>1400×1600</t>
        </is>
      </c>
      <c r="P139" s="33" t="n">
        <v>120</v>
      </c>
      <c r="Q139" s="33" t="inlineStr">
        <is>
          <t>Bản lề chữ A &amp; tay gạt đa điểm rãnh C</t>
        </is>
      </c>
      <c r="R139" s="33" t="inlineStr">
        <is>
          <t>Gioăng EPDM đa lớp / Silicon Dow</t>
        </is>
      </c>
      <c r="S139" s="33" t="inlineStr">
        <is>
          <t>Mạ điện di Anodize ED</t>
        </is>
      </c>
      <c r="T139" s="33" t="inlineStr">
        <is>
          <t>Cửa sổ chống dột nước mưa cực tốt nhờ hệ gioăng EPDM đúc Nhật, chịu bão tốt</t>
        </is>
      </c>
      <c r="U139" s="33" t="inlineStr">
        <is>
          <t>Trọng lượng nặng hơn các dòng cửa sổ nhôm thường</t>
        </is>
      </c>
      <c r="V139" s="33" t="inlineStr">
        <is>
          <t>✓</t>
        </is>
      </c>
      <c r="W139" s="33" t="inlineStr">
        <is>
          <t>✓</t>
        </is>
      </c>
      <c r="X139" s="33" t="inlineStr">
        <is>
          <t>✓</t>
        </is>
      </c>
      <c r="Y139" s="33" t="inlineStr">
        <is>
          <t>✓</t>
        </is>
      </c>
      <c r="Z139" s="33" t="inlineStr">
        <is>
          <t>Hoàn thành</t>
        </is>
      </c>
      <c r="AA139" s="34" t="n">
        <v>80</v>
      </c>
      <c r="AB139" s="33" t="inlineStr">
        <is>
          <t>https://vietphapshal.com.vn</t>
        </is>
      </c>
      <c r="AC139" s="33" t="inlineStr">
        <is>
          <t>https://nhomkinhdaiphuc.com/catalogue/catalogue-nhom-hondalex-longvangroup-50.html</t>
        </is>
      </c>
      <c r="AD139" s="33" t="inlineStr"/>
    </row>
    <row r="140" ht="35" customHeight="1">
      <c r="A140" s="35" t="inlineStr">
        <is>
          <t>HD-005</t>
        </is>
      </c>
      <c r="B140" s="35" t="inlineStr">
        <is>
          <t>Anodized Phổ thông</t>
        </is>
      </c>
      <c r="C140" s="35" t="inlineStr">
        <is>
          <t>Hondalex LV 38 Window</t>
        </is>
      </c>
      <c r="D140" s="35" t="inlineStr">
        <is>
          <t>Hondalex</t>
        </is>
      </c>
      <c r="E140" s="35" t="inlineStr">
        <is>
          <t>Nhật Bản/VN</t>
        </is>
      </c>
      <c r="F140" s="35" t="inlineStr">
        <is>
          <t>JIS H4100</t>
        </is>
      </c>
      <c r="G140" s="35" t="inlineStr">
        <is>
          <t>Cửa sổ</t>
        </is>
      </c>
      <c r="H140" s="35" t="inlineStr">
        <is>
          <t>Mở hất gọn nhẹ</t>
        </is>
      </c>
      <c r="I140" s="35" t="inlineStr">
        <is>
          <t>Khung sổ 38mm bản mỏng</t>
        </is>
      </c>
      <c r="J140" s="35" t="inlineStr">
        <is>
          <t>Nội/Ngoại thất</t>
        </is>
      </c>
      <c r="K140" s="35" t="inlineStr">
        <is>
          <t>Ô thoáng, cửa sổ phụ nhà dân bình dân</t>
        </is>
      </c>
      <c r="L140" s="35" t="n">
        <v>0.9</v>
      </c>
      <c r="M140" s="35" t="inlineStr">
        <is>
          <t>Kính đơn 5-10mm</t>
        </is>
      </c>
      <c r="N140" s="35" t="inlineStr">
        <is>
          <t>10mm</t>
        </is>
      </c>
      <c r="O140" s="35" t="inlineStr">
        <is>
          <t>800×1200</t>
        </is>
      </c>
      <c r="P140" s="35" t="n">
        <v>50</v>
      </c>
      <c r="Q140" s="35" t="inlineStr">
        <is>
          <t>Chốt bật &amp; phụ kiện nhẹ Long Vân</t>
        </is>
      </c>
      <c r="R140" s="35" t="inlineStr">
        <is>
          <t>Gioăng cao su chèn sập / Apollo</t>
        </is>
      </c>
      <c r="S140" s="35" t="inlineStr">
        <is>
          <t>Mạ điện di Anodize ED</t>
        </is>
      </c>
      <c r="T140" s="35" t="inlineStr">
        <is>
          <t>Chi phí siêu tiết kiệm cho công trình dân dụng, gia công dập ke góc cực nhanh</t>
        </is>
      </c>
      <c r="U140" s="35" t="inlineStr">
        <is>
          <t>Độ bền chịu tải yếu, không lắp được ở các vị trí cao chịu bão lớn</t>
        </is>
      </c>
      <c r="V140" s="35" t="inlineStr">
        <is>
          <t>✓</t>
        </is>
      </c>
      <c r="W140" s="35" t="inlineStr">
        <is>
          <t>✗</t>
        </is>
      </c>
      <c r="X140" s="35" t="inlineStr">
        <is>
          <t>✓</t>
        </is>
      </c>
      <c r="Y140" s="35" t="inlineStr">
        <is>
          <t>✓</t>
        </is>
      </c>
      <c r="Z140" s="35" t="inlineStr">
        <is>
          <t>Hoàn thành</t>
        </is>
      </c>
      <c r="AA140" s="36" t="n">
        <v>80</v>
      </c>
      <c r="AB140" s="35" t="inlineStr">
        <is>
          <t>https://vietphapshal.com.vn</t>
        </is>
      </c>
      <c r="AC140" s="35" t="inlineStr">
        <is>
          <t>https://nhomkinhdaiphuc.com/catalogue/catalogue-nhom-hondalex-longvangroup-50.html</t>
        </is>
      </c>
      <c r="AD140" s="35" t="inlineStr"/>
    </row>
    <row r="141" ht="35" customHeight="1">
      <c r="A141" s="37" t="inlineStr">
        <is>
          <t>HD-006</t>
        </is>
      </c>
      <c r="B141" s="37" t="inlineStr">
        <is>
          <t>Anodized Trung cấp</t>
        </is>
      </c>
      <c r="C141" s="37" t="inlineStr">
        <is>
          <t>Hondalex LV 76</t>
        </is>
      </c>
      <c r="D141" s="37" t="inlineStr">
        <is>
          <t>Hondalex</t>
        </is>
      </c>
      <c r="E141" s="37" t="inlineStr">
        <is>
          <t>Nhật Bản/VN</t>
        </is>
      </c>
      <c r="F141" s="37" t="inlineStr">
        <is>
          <t>JIS H4100</t>
        </is>
      </c>
      <c r="G141" s="37" t="inlineStr">
        <is>
          <t>Cửa đi + Cửa sổ</t>
        </is>
      </c>
      <c r="H141" s="37" t="inlineStr">
        <is>
          <t>Trượt lùa (Sliding)</t>
        </is>
      </c>
      <c r="I141" s="37" t="inlineStr">
        <is>
          <t>Khung lùa 76mm 2 ray</t>
        </is>
      </c>
      <c r="J141" s="37" t="inlineStr">
        <is>
          <t>Ngoại thất</t>
        </is>
      </c>
      <c r="K141" s="37" t="inlineStr">
        <is>
          <t>Căn hộ chung cư, cửa ra ban công biệt thự</t>
        </is>
      </c>
      <c r="L141" s="37" t="n">
        <v>1.2</v>
      </c>
      <c r="M141" s="37" t="inlineStr">
        <is>
          <t>Kính đơn/hộp 6-20mm</t>
        </is>
      </c>
      <c r="N141" s="37" t="inlineStr">
        <is>
          <t>20mm</t>
        </is>
      </c>
      <c r="O141" s="37" t="inlineStr">
        <is>
          <t>3000×2400</t>
        </is>
      </c>
      <c r="P141" s="37" t="n">
        <v>100</v>
      </c>
      <c r="Q141" s="37" t="inlineStr">
        <is>
          <t>Bánh xe trượt Long Vân &amp; khóa bán nguyệt</t>
        </is>
      </c>
      <c r="R141" s="37" t="inlineStr">
        <is>
          <t>Gioăng chèn nỉ mịn chống rung nước</t>
        </is>
      </c>
      <c r="S141" s="37" t="inlineStr">
        <is>
          <t>Mạ điện di Anodize ED</t>
        </is>
      </c>
      <c r="T141" s="37" t="inlineStr">
        <is>
          <t>Trượt lướt êm nhẹ phong cách Nhật Bản, tiết kiệm diện tích tối đa, chắn nước tốt</t>
        </is>
      </c>
      <c r="U141" s="37" t="inlineStr">
        <is>
          <t>Cần vệ sinh ray trượt định kỳ để tránh cát kẹt</t>
        </is>
      </c>
      <c r="V141" s="37" t="inlineStr">
        <is>
          <t>✓</t>
        </is>
      </c>
      <c r="W141" s="37" t="inlineStr">
        <is>
          <t>✗</t>
        </is>
      </c>
      <c r="X141" s="37" t="inlineStr">
        <is>
          <t>✓</t>
        </is>
      </c>
      <c r="Y141" s="37" t="inlineStr">
        <is>
          <t>✓</t>
        </is>
      </c>
      <c r="Z141" s="37" t="inlineStr">
        <is>
          <t>Hoành thành</t>
        </is>
      </c>
      <c r="AA141" s="38" t="n">
        <v>80</v>
      </c>
      <c r="AB141" s="37" t="inlineStr">
        <is>
          <t>https://vietphapshal.com.vn</t>
        </is>
      </c>
      <c r="AC141" s="37" t="inlineStr">
        <is>
          <t>https://nhomkinhdaiphuc.com/catalogue/catalogue-nhom-hondalex-longvangroup-50.html</t>
        </is>
      </c>
      <c r="AD141" s="37" t="inlineStr"/>
    </row>
    <row r="142" ht="35" customHeight="1">
      <c r="A142" s="99" t="inlineStr">
        <is>
          <t>EW-001</t>
        </is>
      </c>
      <c r="B142" s="99" t="inlineStr">
        <is>
          <t>Nhựa lõi thép uPVC</t>
        </is>
      </c>
      <c r="C142" s="99" t="inlineStr">
        <is>
          <t>EW uPVC Asia60</t>
        </is>
      </c>
      <c r="D142" s="99" t="inlineStr">
        <is>
          <t>Eurowindow</t>
        </is>
      </c>
      <c r="E142" s="99" t="inlineStr">
        <is>
          <t>Đức/Việt Nam</t>
        </is>
      </c>
      <c r="F142" s="99" t="inlineStr">
        <is>
          <t>TCVN &amp; EN</t>
        </is>
      </c>
      <c r="G142" s="99" t="inlineStr">
        <is>
          <t>Cửa sổ + Cửa đi</t>
        </is>
      </c>
      <c r="H142" s="99" t="inlineStr">
        <is>
          <t>Mở quay + Mở hất</t>
        </is>
      </c>
      <c r="I142" s="99" t="inlineStr">
        <is>
          <t>Profile nhựa uPVC Koemmerling + Lõi thép</t>
        </is>
      </c>
      <c r="J142" s="99" t="inlineStr">
        <is>
          <t>Ngoại thất</t>
        </is>
      </c>
      <c r="K142" s="99" t="inlineStr">
        <is>
          <t>Biệt thự, căn hộ chung cư cao cấp, phòng thu âm</t>
        </is>
      </c>
      <c r="L142" s="99" t="n">
        <v>2.2</v>
      </c>
      <c r="M142" s="99" t="inlineStr">
        <is>
          <t>Kính đơn/hộp 6-28mm</t>
        </is>
      </c>
      <c r="N142" s="99" t="inlineStr">
        <is>
          <t>28mm</t>
        </is>
      </c>
      <c r="O142" s="99" t="inlineStr">
        <is>
          <t>1400×2400</t>
        </is>
      </c>
      <c r="P142" s="99" t="n">
        <v>100</v>
      </c>
      <c r="Q142" s="99" t="inlineStr">
        <is>
          <t>Phụ kiện đồng bộ Roto / G-U / Eurowindow</t>
        </is>
      </c>
      <c r="R142" s="99" t="inlineStr">
        <is>
          <t>Gioăng TPE đa lớp đúc sẵn</t>
        </is>
      </c>
      <c r="S142" s="99" t="inlineStr">
        <is>
          <t>Bề mặt nhựa trắng bóng / xám xi măng</t>
        </is>
      </c>
      <c r="T142" s="99" t="inlineStr">
        <is>
          <t>Khả năng cách âm đứng đầu các loại hệ cửa, không bị mài mòn rỉ sét, chịu gió tốt</t>
        </is>
      </c>
      <c r="U142" s="99" t="inlineStr">
        <is>
          <t>Khung nhựa to dày thô hơn nhôm, nhựa trắng có thể ố vàng nhẹ sau 20 năm</t>
        </is>
      </c>
      <c r="V142" s="99" t="inlineStr">
        <is>
          <t>✓</t>
        </is>
      </c>
      <c r="W142" s="99" t="inlineStr">
        <is>
          <t>✓</t>
        </is>
      </c>
      <c r="X142" s="99" t="inlineStr">
        <is>
          <t>✓</t>
        </is>
      </c>
      <c r="Y142" s="99" t="inlineStr">
        <is>
          <t>✓</t>
        </is>
      </c>
      <c r="Z142" s="99" t="inlineStr">
        <is>
          <t>Hoàn thành</t>
        </is>
      </c>
      <c r="AA142" s="100" t="n">
        <v>90</v>
      </c>
      <c r="AB142" s="99" t="inlineStr">
        <is>
          <t>https://eurowindow.biz</t>
        </is>
      </c>
      <c r="AC142" s="99" t="inlineStr">
        <is>
          <t>https://nhomkinhdaiphuc.com/catalogue/catalogue-cua-nhua-loi-thep-eurowindow-36.html</t>
        </is>
      </c>
      <c r="AD142" s="99" t="inlineStr"/>
    </row>
    <row r="143" ht="35" customHeight="1">
      <c r="A143" s="14" t="inlineStr">
        <is>
          <t>EW-002</t>
        </is>
      </c>
      <c r="B143" s="14" t="inlineStr">
        <is>
          <t>Nhôm Cao cấp</t>
        </is>
      </c>
      <c r="C143" s="14" t="inlineStr">
        <is>
          <t>EW EA55</t>
        </is>
      </c>
      <c r="D143" s="14" t="inlineStr">
        <is>
          <t>Eurowindow</t>
        </is>
      </c>
      <c r="E143" s="14" t="inlineStr">
        <is>
          <t>Việt Nam</t>
        </is>
      </c>
      <c r="F143" s="14" t="inlineStr">
        <is>
          <t>TCVN &amp; EN</t>
        </is>
      </c>
      <c r="G143" s="14" t="inlineStr">
        <is>
          <t>Cửa sổ + Cửa đi</t>
        </is>
      </c>
      <c r="H143" s="14" t="inlineStr">
        <is>
          <t>Mở quay</t>
        </is>
      </c>
      <c r="I143" s="14" t="inlineStr">
        <is>
          <t>Khung nhôm EA55 rãnh C Châu Âu</t>
        </is>
      </c>
      <c r="J143" s="14" t="inlineStr">
        <is>
          <t>Ngoại thất</t>
        </is>
      </c>
      <c r="K143" s="14" t="inlineStr">
        <is>
          <t>Biệt thự hiện đại, khu nghỉ dưỡng, căn hộ sang trọng</t>
        </is>
      </c>
      <c r="L143" s="14" t="n">
        <v>1.4</v>
      </c>
      <c r="M143" s="14" t="inlineStr">
        <is>
          <t>Kính đơn/hộp 6-32mm</t>
        </is>
      </c>
      <c r="N143" s="14" t="inlineStr">
        <is>
          <t>32mm</t>
        </is>
      </c>
      <c r="O143" s="14" t="inlineStr">
        <is>
          <t>1600×2800</t>
        </is>
      </c>
      <c r="P143" s="14" t="n">
        <v>130</v>
      </c>
      <c r="Q143" s="14" t="inlineStr">
        <is>
          <t>Phụ kiện Roto / CMECH / Eurowindow rãnh C</t>
        </is>
      </c>
      <c r="R143" s="14" t="inlineStr">
        <is>
          <t>Gioăng EPDM đúc 3 lớp / Silicon Dow</t>
        </is>
      </c>
      <c r="S143" s="14" t="inlineStr">
        <is>
          <t>Sơn tĩnh điện bảo hành lên tới 10-20 năm</t>
        </is>
      </c>
      <c r="T143" s="14" t="inlineStr">
        <is>
          <t>Thiết kế bo tròn thẩm mỹ sang trọng, rãnh C chuẩn Châu Âu lắp phụ kiện cao cấp</t>
        </is>
      </c>
      <c r="U143" s="14" t="inlineStr">
        <is>
          <t>Giá thành thi công lắp đặt trọn gói cao hơn Xingfa nhập khẩu</t>
        </is>
      </c>
      <c r="V143" s="14" t="inlineStr">
        <is>
          <t>✓</t>
        </is>
      </c>
      <c r="W143" s="14" t="inlineStr">
        <is>
          <t>✓</t>
        </is>
      </c>
      <c r="X143" s="14" t="inlineStr">
        <is>
          <t>✓</t>
        </is>
      </c>
      <c r="Y143" s="14" t="inlineStr">
        <is>
          <t>✓</t>
        </is>
      </c>
      <c r="Z143" s="14" t="inlineStr">
        <is>
          <t>Hoàn thành</t>
        </is>
      </c>
      <c r="AA143" s="15" t="n">
        <v>85</v>
      </c>
      <c r="AB143" s="14" t="inlineStr">
        <is>
          <t>https://eurowindow.biz</t>
        </is>
      </c>
      <c r="AC143" s="14" t="inlineStr">
        <is>
          <t>https://nhomkinhdaiphuc.com/catalogue/catalogue-nhom-eurowindow-28.html</t>
        </is>
      </c>
      <c r="AD143" s="14" t="inlineStr"/>
    </row>
    <row r="144" ht="35" customHeight="1">
      <c r="A144" s="14" t="inlineStr">
        <is>
          <t>EW-003</t>
        </is>
      </c>
      <c r="B144" s="14" t="inlineStr">
        <is>
          <t>Nhôm Cao cấp</t>
        </is>
      </c>
      <c r="C144" s="14" t="inlineStr">
        <is>
          <t>EW EA70</t>
        </is>
      </c>
      <c r="D144" s="14" t="inlineStr">
        <is>
          <t>Eurowindow</t>
        </is>
      </c>
      <c r="E144" s="14" t="inlineStr">
        <is>
          <t>Việt Nam</t>
        </is>
      </c>
      <c r="F144" s="14" t="inlineStr">
        <is>
          <t>TCVN</t>
        </is>
      </c>
      <c r="G144" s="14" t="inlineStr">
        <is>
          <t>Cửa đi + Cửa sổ</t>
        </is>
      </c>
      <c r="H144" s="14" t="inlineStr">
        <is>
          <t>Trượt lùa (Sliding)</t>
        </is>
      </c>
      <c r="I144" s="14" t="inlineStr">
        <is>
          <t>Khung lùa bản mỏng EA70</t>
        </is>
      </c>
      <c r="J144" s="14" t="inlineStr">
        <is>
          <t>Ngoại thất</t>
        </is>
      </c>
      <c r="K144" s="14" t="inlineStr">
        <is>
          <t>Căn hộ chung cư, cửa ra ban công biệt thự</t>
        </is>
      </c>
      <c r="L144" s="14" t="n">
        <v>1.6</v>
      </c>
      <c r="M144" s="14" t="inlineStr">
        <is>
          <t>Kính đơn/hộp 6-24mm</t>
        </is>
      </c>
      <c r="N144" s="14" t="inlineStr">
        <is>
          <t>24mm</t>
        </is>
      </c>
      <c r="O144" s="14" t="inlineStr">
        <is>
          <t>3000×2400</t>
        </is>
      </c>
      <c r="P144" s="14" t="n">
        <v>100</v>
      </c>
      <c r="Q144" s="14" t="inlineStr">
        <is>
          <t>Bánh xe chịu lực &amp; khóa đa điểm Eurowindow</t>
        </is>
      </c>
      <c r="R144" s="14" t="inlineStr">
        <is>
          <t>Gioăng chèn nỉ mịn kép chống rít nước</t>
        </is>
      </c>
      <c r="S144" s="14" t="inlineStr">
        <is>
          <t>Sơn tĩnh điện chống UV</t>
        </is>
      </c>
      <c r="T144" s="14" t="inlineStr">
        <is>
          <t>Hoạt động lùa trượt vô cùng êm nhẹ, tiết kiệm không gian diện tích tối đa</t>
        </is>
      </c>
      <c r="U144" s="14" t="inlineStr">
        <is>
          <t>Độ kín khít chắn bão giật ngoại thất kém hơn hệ quay EA55</t>
        </is>
      </c>
      <c r="V144" s="14" t="inlineStr">
        <is>
          <t>✓</t>
        </is>
      </c>
      <c r="W144" s="14" t="inlineStr">
        <is>
          <t>✓</t>
        </is>
      </c>
      <c r="X144" s="14" t="inlineStr">
        <is>
          <t>✓</t>
        </is>
      </c>
      <c r="Y144" s="14" t="inlineStr">
        <is>
          <t>✓</t>
        </is>
      </c>
      <c r="Z144" s="14" t="inlineStr">
        <is>
          <t>Hoàn thành</t>
        </is>
      </c>
      <c r="AA144" s="15" t="n">
        <v>80</v>
      </c>
      <c r="AB144" s="14" t="inlineStr">
        <is>
          <t>https://eurowindow.biz</t>
        </is>
      </c>
      <c r="AC144" s="14" t="inlineStr">
        <is>
          <t>https://nhomkinhdaiphuc.com/catalogue/catalogue-nhom-eurowindow-28.html</t>
        </is>
      </c>
      <c r="AD144" s="14" t="inlineStr"/>
    </row>
    <row r="145" ht="35" customHeight="1">
      <c r="A145" s="14" t="inlineStr">
        <is>
          <t>EW-004</t>
        </is>
      </c>
      <c r="B145" s="14" t="inlineStr">
        <is>
          <t>Nhôm Cao cấp</t>
        </is>
      </c>
      <c r="C145" s="14" t="inlineStr">
        <is>
          <t>EW EA90</t>
        </is>
      </c>
      <c r="D145" s="14" t="inlineStr">
        <is>
          <t>Eurowindow</t>
        </is>
      </c>
      <c r="E145" s="14" t="inlineStr">
        <is>
          <t>Việt Nam</t>
        </is>
      </c>
      <c r="F145" s="14" t="inlineStr">
        <is>
          <t>TCVN &amp; ASTM</t>
        </is>
      </c>
      <c r="G145" s="14" t="inlineStr">
        <is>
          <t>Vách mặt dựng</t>
        </is>
      </c>
      <c r="H145" s="14" t="inlineStr">
        <is>
          <t>Cố định (Stick Curtain Wall)</t>
        </is>
      </c>
      <c r="I145" s="14" t="inlineStr">
        <is>
          <t>Profile vách dựng Stick bản EA90</t>
        </is>
      </c>
      <c r="J145" s="14" t="inlineStr">
        <is>
          <t>Ngoại thất</t>
        </is>
      </c>
      <c r="K145" s="14" t="inlineStr">
        <is>
          <t>Tòa nhà văn phòng, showroom thương mại mặt tiền rộng</t>
        </is>
      </c>
      <c r="L145" s="14" t="n">
        <v>2.2</v>
      </c>
      <c r="M145" s="14" t="inlineStr">
        <is>
          <t>Bulong kết cấu nở &amp; phụ kiện chịu lực Eurowindow</t>
        </is>
      </c>
      <c r="N145" s="14" t="inlineStr">
        <is>
          <t>32mm</t>
        </is>
      </c>
      <c r="O145" s="14" t="inlineStr">
        <is>
          <t>Không giới hạn</t>
        </is>
      </c>
      <c r="P145" s="14" t="n">
        <v>400</v>
      </c>
      <c r="Q145" s="14" t="inlineStr">
        <is>
          <t>Ke chịu lực và bulong kết cấu chuyên dụng</t>
        </is>
      </c>
      <c r="R145" s="14" t="inlineStr">
        <is>
          <t>Silicon kết cấu chuyên dụng Dow Corning</t>
        </is>
      </c>
      <c r="S145" s="14" t="inlineStr">
        <is>
          <t>Sơn tĩnh điện ngoài trời cao cấp</t>
        </is>
      </c>
      <c r="T145" s="14" t="inlineStr">
        <is>
          <t>Xương chịu tải lực gió bão siêu việt, thẩm mỹ kính liền dải sang trọng</t>
        </is>
      </c>
      <c r="U145" s="14" t="inlineStr">
        <is>
          <t>Chi phí thiết kế, gia công lắp dựng lớn đòi hỏi kỹ thuật cao</t>
        </is>
      </c>
      <c r="V145" s="14" t="inlineStr">
        <is>
          <t>✓</t>
        </is>
      </c>
      <c r="W145" s="14" t="inlineStr">
        <is>
          <t>✓</t>
        </is>
      </c>
      <c r="X145" s="14" t="inlineStr">
        <is>
          <t>✓</t>
        </is>
      </c>
      <c r="Y145" s="14" t="inlineStr">
        <is>
          <t>✓</t>
        </is>
      </c>
      <c r="Z145" s="14" t="inlineStr">
        <is>
          <t>Hoàn thành</t>
        </is>
      </c>
      <c r="AA145" s="15" t="n">
        <v>85</v>
      </c>
      <c r="AB145" s="14" t="inlineStr">
        <is>
          <t>https://eurowindow.biz</t>
        </is>
      </c>
      <c r="AC145" s="14" t="inlineStr">
        <is>
          <t>https://nhomkinhdaiphuc.com/catalogue/catalogue-nhom-eurowindow-28.html</t>
        </is>
      </c>
      <c r="AD145" s="14" t="inlineStr"/>
    </row>
    <row r="146" ht="35" customHeight="1">
      <c r="A146" s="24" t="inlineStr">
        <is>
          <t>EW-005</t>
        </is>
      </c>
      <c r="B146" s="24" t="inlineStr">
        <is>
          <t>Cầu cách nhiệt Cao cấp</t>
        </is>
      </c>
      <c r="C146" s="24" t="inlineStr">
        <is>
          <t>EW Thermal</t>
        </is>
      </c>
      <c r="D146" s="24" t="inlineStr">
        <is>
          <t>Eurowindow</t>
        </is>
      </c>
      <c r="E146" s="24" t="inlineStr">
        <is>
          <t>Đức/Việt Nam</t>
        </is>
      </c>
      <c r="F146" s="24" t="inlineStr">
        <is>
          <t>EN &amp; TCVN</t>
        </is>
      </c>
      <c r="G146" s="24" t="inlineStr">
        <is>
          <t>Cửa đi + Cửa sổ</t>
        </is>
      </c>
      <c r="H146" s="24" t="inlineStr">
        <is>
          <t>Mở quay</t>
        </is>
      </c>
      <c r="I146" s="24" t="inlineStr">
        <is>
          <t>Khung có dải cầu cách nhiệt Polyamide</t>
        </is>
      </c>
      <c r="J146" s="24" t="inlineStr">
        <is>
          <t>Ngoại thất</t>
        </is>
      </c>
      <c r="K146" s="24" t="inlineStr">
        <is>
          <t>Biệt thự nghỉ dưỡng cao cấp, penthouse, vùng lạnh/nóng ẩm</t>
        </is>
      </c>
      <c r="L146" s="24" t="n">
        <v>2</v>
      </c>
      <c r="M146" s="24" t="inlineStr">
        <is>
          <t>Kính hộp cách âm cách nhiệt Low-E</t>
        </is>
      </c>
      <c r="N146" s="24" t="inlineStr">
        <is>
          <t>36mm</t>
        </is>
      </c>
      <c r="O146" s="24" t="inlineStr">
        <is>
          <t>1600×2800</t>
        </is>
      </c>
      <c r="P146" s="24" t="n">
        <v>150</v>
      </c>
      <c r="Q146" s="24" t="inlineStr">
        <is>
          <t>Phụ kiện cao cấp Roto / CMECH rãnh C</t>
        </is>
      </c>
      <c r="R146" s="24" t="inlineStr">
        <is>
          <t>Gioăng trung tâm đa khoang EPDM</t>
        </is>
      </c>
      <c r="S146" s="24" t="inlineStr">
        <is>
          <t>Sơn tĩnh điện / Anodized</t>
        </is>
      </c>
      <c r="T146" s="24" t="inlineStr">
        <is>
          <t>Khả năng cách nhiệt và cách âm siêu việt nhất, giảm 35% điện năng điều hòa</t>
        </is>
      </c>
      <c r="U146" s="24" t="inlineStr">
        <is>
          <t>Giá thành thuộc hàng đắt đỏ nhất trong các dòng sản phẩm</t>
        </is>
      </c>
      <c r="V146" s="24" t="inlineStr">
        <is>
          <t>✓</t>
        </is>
      </c>
      <c r="W146" s="24" t="inlineStr">
        <is>
          <t>✓</t>
        </is>
      </c>
      <c r="X146" s="24" t="inlineStr">
        <is>
          <t>✓</t>
        </is>
      </c>
      <c r="Y146" s="24" t="inlineStr">
        <is>
          <t>✓</t>
        </is>
      </c>
      <c r="Z146" s="24" t="inlineStr">
        <is>
          <t>Hoàn thành</t>
        </is>
      </c>
      <c r="AA146" s="25" t="n">
        <v>80</v>
      </c>
      <c r="AB146" s="24" t="inlineStr">
        <is>
          <t>https://eurowindow.biz</t>
        </is>
      </c>
      <c r="AC146" s="24" t="inlineStr">
        <is>
          <t>https://nhomkinhdaiphuc.com/catalogue/catalogue-nhom-eurowindow-28.html</t>
        </is>
      </c>
      <c r="AD146" s="24" t="inlineStr"/>
    </row>
    <row r="147" ht="35" customHeight="1">
      <c r="A147" s="4" t="inlineStr">
        <is>
          <t>VI-001</t>
        </is>
      </c>
      <c r="B147" s="4" t="inlineStr">
        <is>
          <t>Tầm trung phổ thông</t>
        </is>
      </c>
      <c r="C147" s="4" t="inlineStr">
        <is>
          <t>VI Italumi 55</t>
        </is>
      </c>
      <c r="D147" s="4" t="inlineStr">
        <is>
          <t>Việt Ý</t>
        </is>
      </c>
      <c r="E147" s="4" t="inlineStr">
        <is>
          <t>Việt Nam</t>
        </is>
      </c>
      <c r="F147" s="4" t="inlineStr">
        <is>
          <t>TCVN</t>
        </is>
      </c>
      <c r="G147" s="4" t="inlineStr">
        <is>
          <t>Cửa sổ + Cửa đi</t>
        </is>
      </c>
      <c r="H147" s="4" t="inlineStr">
        <is>
          <t>Mở quay</t>
        </is>
      </c>
      <c r="I147" s="4" t="inlineStr">
        <is>
          <t>Khung 55mm vát mép nhẹ</t>
        </is>
      </c>
      <c r="J147" s="4" t="inlineStr">
        <is>
          <t>Ngoại thất</t>
        </is>
      </c>
      <c r="K147" s="4" t="inlineStr">
        <is>
          <t>Căn hộ, văn phòng, nhà phố dân dụng</t>
        </is>
      </c>
      <c r="L147" s="4" t="n">
        <v>1.2</v>
      </c>
      <c r="M147" s="4" t="inlineStr">
        <is>
          <t>Kính đơn 5-10mm / Kính dán</t>
        </is>
      </c>
      <c r="N147" s="4" t="inlineStr">
        <is>
          <t>10mm</t>
        </is>
      </c>
      <c r="O147" s="4" t="inlineStr">
        <is>
          <t>1200×2200</t>
        </is>
      </c>
      <c r="P147" s="4" t="n">
        <v>80</v>
      </c>
      <c r="Q147" s="4" t="inlineStr">
        <is>
          <t>Phụ kiện Kinlong / PMA / Huy Hoàng rãnh 22</t>
        </is>
      </c>
      <c r="R147" s="4" t="inlineStr">
        <is>
          <t>Gioăng EPDM kép / Silicon Apollo</t>
        </is>
      </c>
      <c r="S147" s="4" t="inlineStr">
        <is>
          <t>Sơn tĩnh điện bóng mịn ngoài trời</t>
        </is>
      </c>
      <c r="T147" s="4" t="inlineStr">
        <is>
          <t>Màu sắc trang nhã, thiết kế vát cạnh cản nước dột tốt, phôi nhôm dẻo dai dễ gia công</t>
        </is>
      </c>
      <c r="U147" s="4" t="inlineStr">
        <is>
          <t>Kết cấu nhôm khá mỏng, chống bão giật ngoại thất ở mức trung bình</t>
        </is>
      </c>
      <c r="V147" s="4" t="inlineStr">
        <is>
          <t>✓</t>
        </is>
      </c>
      <c r="W147" s="4" t="inlineStr">
        <is>
          <t>✗</t>
        </is>
      </c>
      <c r="X147" s="4" t="inlineStr">
        <is>
          <t>✓</t>
        </is>
      </c>
      <c r="Y147" s="4" t="inlineStr">
        <is>
          <t>✓</t>
        </is>
      </c>
      <c r="Z147" s="4" t="inlineStr">
        <is>
          <t>Hoàn thành</t>
        </is>
      </c>
      <c r="AA147" s="5" t="n">
        <v>80</v>
      </c>
      <c r="AB147" s="4" t="inlineStr">
        <is>
          <t>https://vietphapshal.com.vn</t>
        </is>
      </c>
      <c r="AC147" s="4" t="inlineStr">
        <is>
          <t>https://nhomkinhdaiphuc.com/catalogue/catalogue-nhom-pma-9.html</t>
        </is>
      </c>
      <c r="AD147" s="4" t="inlineStr"/>
    </row>
    <row r="148" ht="35" customHeight="1">
      <c r="A148" s="4" t="inlineStr">
        <is>
          <t>VI-002</t>
        </is>
      </c>
      <c r="B148" s="4" t="inlineStr">
        <is>
          <t>Tầm trung phổ thông</t>
        </is>
      </c>
      <c r="C148" s="4" t="inlineStr">
        <is>
          <t>VI Italumi 93</t>
        </is>
      </c>
      <c r="D148" s="4" t="inlineStr">
        <is>
          <t>Việt Ý</t>
        </is>
      </c>
      <c r="E148" s="4" t="inlineStr">
        <is>
          <t>Việt Nam</t>
        </is>
      </c>
      <c r="F148" s="4" t="inlineStr">
        <is>
          <t>TCVN</t>
        </is>
      </c>
      <c r="G148" s="4" t="inlineStr">
        <is>
          <t>Cửa đi</t>
        </is>
      </c>
      <c r="H148" s="4" t="inlineStr">
        <is>
          <t>Trượt lùa (Sliding)</t>
        </is>
      </c>
      <c r="I148" s="4" t="inlineStr">
        <is>
          <t>Khung trượt 93mm 2 ray</t>
        </is>
      </c>
      <c r="J148" s="4" t="inlineStr">
        <is>
          <t>Ngoại thất</t>
        </is>
      </c>
      <c r="K148" s="4" t="inlineStr">
        <is>
          <t>Căn hộ chung cư, cửa ra ban công hông nhà</t>
        </is>
      </c>
      <c r="L148" s="4" t="n">
        <v>1.4</v>
      </c>
      <c r="M148" s="4" t="inlineStr">
        <is>
          <t>Kính đơn 5-12mm</t>
        </is>
      </c>
      <c r="N148" s="4" t="inlineStr">
        <is>
          <t>12mm</t>
        </is>
      </c>
      <c r="O148" s="4" t="inlineStr">
        <is>
          <t>3000×2400</t>
        </is>
      </c>
      <c r="P148" s="4" t="n">
        <v>100</v>
      </c>
      <c r="Q148" s="4" t="inlineStr">
        <is>
          <t>Bánh xe đơn &amp; khóa bán nguyệt đồng bộ</t>
        </is>
      </c>
      <c r="R148" s="4" t="inlineStr">
        <is>
          <t>Gioăng chèn nỉ mịn kép chắn bụi</t>
        </is>
      </c>
      <c r="S148" s="4" t="inlineStr">
        <is>
          <t>Sơn tĩnh điện mờ</t>
        </is>
      </c>
      <c r="T148" s="4" t="inlineStr">
        <is>
          <t>Trượt ngang tiết kiệm diện tích đóng mở cánh tối đa, giá thành phôi nhôm rẻ</t>
        </is>
      </c>
      <c r="U148" s="4" t="inlineStr">
        <is>
          <t>Ray lùa mỏng dễ bị cọ xước nếu bị kẹt cát bẩn</t>
        </is>
      </c>
      <c r="V148" s="4" t="inlineStr">
        <is>
          <t>✓</t>
        </is>
      </c>
      <c r="W148" s="4" t="inlineStr">
        <is>
          <t>✗</t>
        </is>
      </c>
      <c r="X148" s="4" t="inlineStr">
        <is>
          <t>✓</t>
        </is>
      </c>
      <c r="Y148" s="4" t="inlineStr">
        <is>
          <t>✓</t>
        </is>
      </c>
      <c r="Z148" s="4" t="inlineStr">
        <is>
          <t>Hoàn thành</t>
        </is>
      </c>
      <c r="AA148" s="5" t="n">
        <v>80</v>
      </c>
      <c r="AB148" s="4" t="inlineStr">
        <is>
          <t>https://vietphapshal.com.vn</t>
        </is>
      </c>
      <c r="AC148" s="4" t="inlineStr">
        <is>
          <t>https://nhomkinhdaiphuc.com/catalogue/catalogue-nhom-pma-9.html</t>
        </is>
      </c>
      <c r="AD148" s="4" t="inlineStr"/>
    </row>
    <row r="149" ht="35" customHeight="1">
      <c r="A149" s="4" t="inlineStr">
        <is>
          <t>VI-003</t>
        </is>
      </c>
      <c r="B149" s="4" t="inlineStr">
        <is>
          <t>Tầm trung phổ thông</t>
        </is>
      </c>
      <c r="C149" s="4" t="inlineStr">
        <is>
          <t>VI Italumi 450</t>
        </is>
      </c>
      <c r="D149" s="4" t="inlineStr">
        <is>
          <t>Việt Ý</t>
        </is>
      </c>
      <c r="E149" s="4" t="inlineStr">
        <is>
          <t>Việt Nam</t>
        </is>
      </c>
      <c r="F149" s="4" t="inlineStr">
        <is>
          <t>TCVN</t>
        </is>
      </c>
      <c r="G149" s="4" t="inlineStr">
        <is>
          <t>Cửa đi thông phòng</t>
        </is>
      </c>
      <c r="H149" s="4" t="inlineStr">
        <is>
          <t>Mở quay</t>
        </is>
      </c>
      <c r="I149" s="4" t="inlineStr">
        <is>
          <t>Khung 450mm bản mỏng kinh tế</t>
        </is>
      </c>
      <c r="J149" s="4" t="inlineStr">
        <is>
          <t>Nội thất</t>
        </is>
      </c>
      <c r="K149" s="4" t="inlineStr">
        <is>
          <t>Toilet nhà dân bình dân, ô thoáng, cửa phòng kho</t>
        </is>
      </c>
      <c r="L149" s="4" t="n">
        <v>1</v>
      </c>
      <c r="M149" s="4" t="inlineStr">
        <is>
          <t>Kính đơn 5-8mm / Panel đặc</t>
        </is>
      </c>
      <c r="N149" s="4" t="inlineStr">
        <is>
          <t>8mm</t>
        </is>
      </c>
      <c r="O149" s="4" t="inlineStr">
        <is>
          <t>1000×2000</t>
        </is>
      </c>
      <c r="P149" s="4" t="n">
        <v>60</v>
      </c>
      <c r="Q149" s="4" t="inlineStr">
        <is>
          <t>Khóa tay gạt tròn &amp; bản lề trong nước</t>
        </is>
      </c>
      <c r="R149" s="4" t="inlineStr">
        <is>
          <t>Gioăng cao su chèn sập thường</t>
        </is>
      </c>
      <c r="S149" s="4" t="inlineStr">
        <is>
          <t>Sơn tĩnh điện thường</t>
        </is>
      </c>
      <c r="T149" s="4" t="inlineStr">
        <is>
          <t>Chi phí siêu tiết kiệm, thi công gia công nhanh chóng không cần máy móc phức tạp</t>
        </is>
      </c>
      <c r="U149" s="4" t="inlineStr">
        <is>
          <t>Độ cứng kết cấu yếu, kỵ lắp ngoài trời nắng mưa trực diện</t>
        </is>
      </c>
      <c r="V149" s="4" t="inlineStr">
        <is>
          <t>✓</t>
        </is>
      </c>
      <c r="W149" s="4" t="inlineStr">
        <is>
          <t>✗</t>
        </is>
      </c>
      <c r="X149" s="4" t="inlineStr">
        <is>
          <t>✓</t>
        </is>
      </c>
      <c r="Y149" s="4" t="inlineStr">
        <is>
          <t>✓</t>
        </is>
      </c>
      <c r="Z149" s="4" t="inlineStr">
        <is>
          <t>Hoàn thành</t>
        </is>
      </c>
      <c r="AA149" s="5" t="n">
        <v>80</v>
      </c>
      <c r="AB149" s="4" t="inlineStr">
        <is>
          <t>https://vietphapshal.com.vn</t>
        </is>
      </c>
      <c r="AC149" s="4" t="inlineStr">
        <is>
          <t>https://nhomkinhdaiphuc.com/catalogue/catalogue-nhom-pma-9.html</t>
        </is>
      </c>
      <c r="AD149" s="4" t="inlineStr"/>
    </row>
    <row r="150" ht="35" customHeight="1">
      <c r="A150" s="101" t="inlineStr">
        <is>
          <t>SL-001</t>
        </is>
      </c>
      <c r="B150" s="101" t="inlineStr">
        <is>
          <t>Slim Nội thất Phổ thông</t>
        </is>
      </c>
      <c r="C150" s="101" t="inlineStr">
        <is>
          <t>Slim 45 Nội thất</t>
        </is>
      </c>
      <c r="D150" s="101" t="inlineStr">
        <is>
          <t>Nhiều hãng VN</t>
        </is>
      </c>
      <c r="E150" s="101" t="inlineStr">
        <is>
          <t>Việt Nam</t>
        </is>
      </c>
      <c r="F150" s="101" t="inlineStr">
        <is>
          <t>TCVN</t>
        </is>
      </c>
      <c r="G150" s="101" t="inlineStr">
        <is>
          <t>Cửa đi + Thông phòng</t>
        </is>
      </c>
      <c r="H150" s="101" t="inlineStr">
        <is>
          <t>Trượt lùa giảm chấn (Soft Close)</t>
        </is>
      </c>
      <c r="I150" s="101" t="inlineStr">
        <is>
          <t>Khung bản mỏng 45mm + Ray ẩn trên trần</t>
        </is>
      </c>
      <c r="J150" s="101" t="inlineStr">
        <is>
          <t>Nội thất</t>
        </is>
      </c>
      <c r="K150" s="101" t="inlineStr">
        <is>
          <t>Phòng ngủ, WC, phòng thay đồ, tủ quần áo</t>
        </is>
      </c>
      <c r="L150" s="101" t="n">
        <v>1.2</v>
      </c>
      <c r="M150" s="101" t="inlineStr">
        <is>
          <t>Kính cường lực 8-12mm</t>
        </is>
      </c>
      <c r="N150" s="101" t="inlineStr">
        <is>
          <t>12mm</t>
        </is>
      </c>
      <c r="O150" s="101" t="inlineStr">
        <is>
          <t>2000×2800</t>
        </is>
      </c>
      <c r="P150" s="101" t="n">
        <v>80</v>
      </c>
      <c r="Q150" s="101" t="inlineStr">
        <is>
          <t>Ray treo Hettich/Häfele/Slido – 80kg</t>
        </is>
      </c>
      <c r="R150" s="101" t="inlineStr">
        <is>
          <t>Gioăng mềm đệm nhẹ / không cần keo</t>
        </is>
      </c>
      <c r="S150" s="101" t="inlineStr">
        <is>
          <t>Anodized bạc, vàng champagne, đen xước, trắng mờ</t>
        </is>
      </c>
      <c r="T150" s="101" t="inlineStr">
        <is>
          <t>Không ray dưới sàn, giảm chấn tự hãm, lắp đặt nhanh, thẩm mỹ cực cao</t>
        </is>
      </c>
      <c r="U150" s="101" t="inlineStr">
        <is>
          <t>Chỉ nội thất, không chống thấm nước mưa</t>
        </is>
      </c>
      <c r="V150" s="101" t="inlineStr">
        <is>
          <t>✓</t>
        </is>
      </c>
      <c r="W150" s="101" t="inlineStr">
        <is>
          <t>✗</t>
        </is>
      </c>
      <c r="X150" s="101" t="inlineStr">
        <is>
          <t>✓</t>
        </is>
      </c>
      <c r="Y150" s="101" t="inlineStr">
        <is>
          <t>✓</t>
        </is>
      </c>
      <c r="Z150" s="101" t="inlineStr">
        <is>
          <t>Hoàn thành</t>
        </is>
      </c>
      <c r="AA150" s="102" t="n">
        <v>85</v>
      </c>
      <c r="AB150" s="101" t="inlineStr"/>
      <c r="AC150" s="101" t="inlineStr"/>
      <c r="AD150" s="101" t="inlineStr"/>
    </row>
    <row r="151" ht="35" customHeight="1">
      <c r="A151" s="97" t="inlineStr">
        <is>
          <t>SL-002</t>
        </is>
      </c>
      <c r="B151" s="97" t="inlineStr">
        <is>
          <t>Slim Nội thất Cao cấp</t>
        </is>
      </c>
      <c r="C151" s="97" t="inlineStr">
        <is>
          <t>Slim 70 Liên động</t>
        </is>
      </c>
      <c r="D151" s="97" t="inlineStr">
        <is>
          <t>Nhiều hãng VN</t>
        </is>
      </c>
      <c r="E151" s="97" t="inlineStr">
        <is>
          <t>Việt Nam</t>
        </is>
      </c>
      <c r="F151" s="97" t="inlineStr">
        <is>
          <t>TCVN</t>
        </is>
      </c>
      <c r="G151" s="97" t="inlineStr">
        <is>
          <t>Cửa đi + Vách ngăn phòng</t>
        </is>
      </c>
      <c r="H151" s="97" t="inlineStr">
        <is>
          <t>Trượt liên động đa cánh (Multi-panel Sliding)</t>
        </is>
      </c>
      <c r="I151" s="97" t="inlineStr">
        <is>
          <t>Khung mỏng 70mm + Ray đôi + Cánh kính lớn</t>
        </is>
      </c>
      <c r="J151" s="97" t="inlineStr">
        <is>
          <t>Nội thất</t>
        </is>
      </c>
      <c r="K151" s="97" t="inlineStr">
        <is>
          <t>Phòng khách lớn, văn phòng open space, phòng hội thảo</t>
        </is>
      </c>
      <c r="L151" s="97" t="n">
        <v>1.4</v>
      </c>
      <c r="M151" s="97" t="inlineStr">
        <is>
          <t>Kính cường lực 10-15mm</t>
        </is>
      </c>
      <c r="N151" s="97" t="inlineStr">
        <is>
          <t>15mm</t>
        </is>
      </c>
      <c r="O151" s="97" t="inlineStr">
        <is>
          <t>6000×3000</t>
        </is>
      </c>
      <c r="P151" s="97" t="n">
        <v>120</v>
      </c>
      <c r="Q151" s="97" t="inlineStr">
        <is>
          <t>Ray đôi Slido Dorma / Häfele 50kg</t>
        </is>
      </c>
      <c r="R151" s="97" t="inlineStr">
        <is>
          <t>Gioăng mềm kín cạnh / không keo</t>
        </is>
      </c>
      <c r="S151" s="97" t="inlineStr">
        <is>
          <t>Anodized, đen mờ, champagne vàng, đồng antique</t>
        </is>
      </c>
      <c r="T151" s="97" t="inlineStr">
        <is>
          <t>Mở toàn bộ vách thông suốt, liên động kéo nhẹ 3-4 cánh cùng lúc</t>
        </is>
      </c>
      <c r="U151" s="97" t="inlineStr">
        <is>
          <t>Chỉ nội thất, giá cao</t>
        </is>
      </c>
      <c r="V151" s="97" t="inlineStr">
        <is>
          <t>✓</t>
        </is>
      </c>
      <c r="W151" s="97" t="inlineStr">
        <is>
          <t>✓</t>
        </is>
      </c>
      <c r="X151" s="97" t="inlineStr">
        <is>
          <t>✓</t>
        </is>
      </c>
      <c r="Y151" s="97" t="inlineStr">
        <is>
          <t>✓</t>
        </is>
      </c>
      <c r="Z151" s="97" t="inlineStr">
        <is>
          <t>Đang nghiên cứu</t>
        </is>
      </c>
      <c r="AA151" s="98" t="n">
        <v>70</v>
      </c>
      <c r="AB151" s="97" t="inlineStr"/>
      <c r="AC151" s="97" t="inlineStr"/>
      <c r="AD151" s="97" t="inlineStr"/>
    </row>
    <row r="152" ht="35" customHeight="1">
      <c r="A152" s="22" t="inlineStr">
        <is>
          <t>SL-003</t>
        </is>
      </c>
      <c r="B152" s="22" t="inlineStr">
        <is>
          <t>Slim Ngoại thất Cao cấp</t>
        </is>
      </c>
      <c r="C152" s="22" t="inlineStr">
        <is>
          <t>Slim 60 Ngoại thất</t>
        </is>
      </c>
      <c r="D152" s="22" t="inlineStr">
        <is>
          <t>Nhiều hãng VN</t>
        </is>
      </c>
      <c r="E152" s="22" t="inlineStr">
        <is>
          <t>Việt Nam</t>
        </is>
      </c>
      <c r="F152" s="22" t="inlineStr">
        <is>
          <t>TCVN</t>
        </is>
      </c>
      <c r="G152" s="22" t="inlineStr">
        <is>
          <t>Cửa đi</t>
        </is>
      </c>
      <c r="H152" s="22" t="inlineStr">
        <is>
          <t>Trượt lùa ngoại thất (Outdoor Slim Sliding)</t>
        </is>
      </c>
      <c r="I152" s="22" t="inlineStr">
        <is>
          <t>Khung mỏng kép 60mm + Ray kép chịu lực</t>
        </is>
      </c>
      <c r="J152" s="22" t="inlineStr">
        <is>
          <t>Ngoại thất</t>
        </is>
      </c>
      <c r="K152" s="22" t="inlineStr">
        <is>
          <t>Biệt thự, ban công, lối ra sân vườn nhỏ</t>
        </is>
      </c>
      <c r="L152" s="22" t="n">
        <v>1.6</v>
      </c>
      <c r="M152" s="22" t="inlineStr">
        <is>
          <t>Kính cường lực 10-15mm / Kính hộp 20-28mm</t>
        </is>
      </c>
      <c r="N152" s="22" t="inlineStr">
        <is>
          <t>15mm</t>
        </is>
      </c>
      <c r="O152" s="22" t="inlineStr">
        <is>
          <t>3000×2800</t>
        </is>
      </c>
      <c r="P152" s="22" t="n">
        <v>150</v>
      </c>
      <c r="Q152" s="22" t="inlineStr">
        <is>
          <t>Ray thép cường lực + Bánh xe inox</t>
        </is>
      </c>
      <c r="R152" s="22" t="inlineStr">
        <is>
          <t>Gioăng EPDM kín nước / Dow Corning</t>
        </is>
      </c>
      <c r="S152" s="22" t="inlineStr">
        <is>
          <t>Anodized ED, sơn chống UV</t>
        </is>
      </c>
      <c r="T152" s="22" t="inlineStr">
        <is>
          <t>Profile mỏng – nhìn nhiều kính hơn nhôm</t>
        </is>
      </c>
      <c r="U152" s="22" t="inlineStr">
        <is>
          <t>Kín nước kém hơn cửa đi thông thường</t>
        </is>
      </c>
      <c r="V152" s="22" t="inlineStr">
        <is>
          <t>✓</t>
        </is>
      </c>
      <c r="W152" s="22" t="inlineStr">
        <is>
          <t>✗</t>
        </is>
      </c>
      <c r="X152" s="22" t="inlineStr">
        <is>
          <t>✓</t>
        </is>
      </c>
      <c r="Y152" s="22" t="inlineStr">
        <is>
          <t>✓</t>
        </is>
      </c>
      <c r="Z152" s="22" t="inlineStr">
        <is>
          <t>Đang nghiên cứu</t>
        </is>
      </c>
      <c r="AA152" s="103" t="n">
        <v>65</v>
      </c>
      <c r="AB152" s="22" t="inlineStr"/>
      <c r="AC152" s="22" t="inlineStr"/>
      <c r="AD152" s="22" t="inlineStr"/>
    </row>
    <row r="153" ht="35" customHeight="1">
      <c r="A153" s="104" t="inlineStr">
        <is>
          <t>SL-004</t>
        </is>
      </c>
      <c r="B153" s="104" t="inlineStr">
        <is>
          <t>Slim Steel Look</t>
        </is>
      </c>
      <c r="C153" s="104" t="inlineStr">
        <is>
          <t>Steel Look Slim</t>
        </is>
      </c>
      <c r="D153" s="104" t="inlineStr">
        <is>
          <t>Vitrocsa/Local</t>
        </is>
      </c>
      <c r="E153" s="104" t="inlineStr">
        <is>
          <t>Thụy Sỹ/Việt Nam</t>
        </is>
      </c>
      <c r="F153" s="104" t="inlineStr">
        <is>
          <t>EN 12207</t>
        </is>
      </c>
      <c r="G153" s="104" t="inlineStr">
        <is>
          <t>Cửa đi + Cửa sổ + Vách kính</t>
        </is>
      </c>
      <c r="H153" s="104" t="inlineStr">
        <is>
          <t>Mở quay + Cố định</t>
        </is>
      </c>
      <c r="I153" s="104" t="inlineStr">
        <is>
          <t>Khung profile giả thép nghệ thuật (Steel Look)</t>
        </is>
      </c>
      <c r="J153" s="104" t="inlineStr">
        <is>
          <t>Ngoại thất cao cấp</t>
        </is>
      </c>
      <c r="K153" s="104" t="inlineStr">
        <is>
          <t>Biệt thự Loft/Industrial, showroom, nhà hàng</t>
        </is>
      </c>
      <c r="L153" s="104" t="n">
        <v>3</v>
      </c>
      <c r="M153" s="104" t="inlineStr">
        <is>
          <t>Kính cường lực 10-15mm / Kính hộp 20-28mm</t>
        </is>
      </c>
      <c r="N153" s="104" t="inlineStr">
        <is>
          <t>15mm</t>
        </is>
      </c>
      <c r="O153" s="104" t="inlineStr">
        <is>
          <t>3000×4000</t>
        </is>
      </c>
      <c r="P153" s="104" t="n">
        <v>200</v>
      </c>
      <c r="Q153" s="104" t="inlineStr">
        <is>
          <t>Phụ kiện ẩn đặc chủng</t>
        </is>
      </c>
      <c r="R153" s="104" t="inlineStr">
        <is>
          <t>Gioăng kín EPDM / Silicon đen</t>
        </is>
      </c>
      <c r="S153" s="104" t="inlineStr">
        <is>
          <t>Sơn đen nhám, đen bóng, sơn giả thép cát mờ</t>
        </is>
      </c>
      <c r="T153" s="104" t="inlineStr">
        <is>
          <t>Thẩm mỹ cực cao phong cách công nghiệp, profile đậm nét như khung thép</t>
        </is>
      </c>
      <c r="U153" s="104" t="inlineStr">
        <is>
          <t>Giá cao, nặng, ít nhà cung cấp VN</t>
        </is>
      </c>
      <c r="V153" s="104" t="inlineStr">
        <is>
          <t>✓</t>
        </is>
      </c>
      <c r="W153" s="104" t="inlineStr">
        <is>
          <t>✗</t>
        </is>
      </c>
      <c r="X153" s="104" t="inlineStr">
        <is>
          <t>✓</t>
        </is>
      </c>
      <c r="Y153" s="104" t="inlineStr">
        <is>
          <t>✗</t>
        </is>
      </c>
      <c r="Z153" s="104" t="inlineStr">
        <is>
          <t>Đang nghiên cứu</t>
        </is>
      </c>
      <c r="AA153" s="105" t="n">
        <v>50</v>
      </c>
      <c r="AB153" s="104" t="inlineStr"/>
      <c r="AC153" s="104" t="inlineStr"/>
      <c r="AD153" s="104" t="inlineStr"/>
    </row>
    <row r="154" ht="35" customHeight="1">
      <c r="A154" s="106" t="inlineStr">
        <is>
          <t>SL-005</t>
        </is>
      </c>
      <c r="B154" s="106" t="inlineStr">
        <is>
          <t>Slim Pocket Âm tường</t>
        </is>
      </c>
      <c r="C154" s="106" t="inlineStr">
        <is>
          <t>Slim Pocket Sliding</t>
        </is>
      </c>
      <c r="D154" s="106" t="inlineStr">
        <is>
          <t>Các hãng</t>
        </is>
      </c>
      <c r="E154" s="106" t="inlineStr">
        <is>
          <t>Châu Âu/VN</t>
        </is>
      </c>
      <c r="F154" s="106" t="inlineStr">
        <is>
          <t>EN</t>
        </is>
      </c>
      <c r="G154" s="106" t="inlineStr">
        <is>
          <t>Cửa đi + Thông phòng</t>
        </is>
      </c>
      <c r="H154" s="106" t="inlineStr">
        <is>
          <t>Trượt âm tường (Pocket Sliding)</t>
        </is>
      </c>
      <c r="I154" s="106" t="inlineStr">
        <is>
          <t>Khung nhỏ + Cánh lùa vào trong tường</t>
        </is>
      </c>
      <c r="J154" s="106" t="inlineStr">
        <is>
          <t>Nội thất</t>
        </is>
      </c>
      <c r="K154" s="106" t="inlineStr">
        <is>
          <t>WC, tủ quần áo âm, phòng ngủ, bếp</t>
        </is>
      </c>
      <c r="L154" s="106" t="n">
        <v>1.2</v>
      </c>
      <c r="M154" s="106" t="inlineStr">
        <is>
          <t>Kính cường lực 8-12mm / Panel đặc</t>
        </is>
      </c>
      <c r="N154" s="106" t="inlineStr">
        <is>
          <t>12mm</t>
        </is>
      </c>
      <c r="O154" s="106" t="inlineStr">
        <is>
          <t>1200×2800</t>
        </is>
      </c>
      <c r="P154" s="106" t="n">
        <v>60</v>
      </c>
      <c r="Q154" s="106" t="inlineStr">
        <is>
          <t>Ray treo Barn Door / Slido âm tường Häfele</t>
        </is>
      </c>
      <c r="R154" s="106" t="inlineStr">
        <is>
          <t>Gioăng mềm cạnh / không keo</t>
        </is>
      </c>
      <c r="S154" s="106" t="inlineStr">
        <is>
          <t>Anodized bạc, trắng mờ, đen mờ</t>
        </is>
      </c>
      <c r="T154" s="106" t="inlineStr">
        <is>
          <t>Tối ưu không gian, không cần diện tích xoay cánh</t>
        </is>
      </c>
      <c r="U154" s="106" t="inlineStr">
        <is>
          <t>Cần tường đủ dày, cách âm kém</t>
        </is>
      </c>
      <c r="V154" s="106" t="inlineStr">
        <is>
          <t>✗</t>
        </is>
      </c>
      <c r="W154" s="106" t="inlineStr">
        <is>
          <t>✗</t>
        </is>
      </c>
      <c r="X154" s="106" t="inlineStr">
        <is>
          <t>✓</t>
        </is>
      </c>
      <c r="Y154" s="106" t="inlineStr">
        <is>
          <t>✗</t>
        </is>
      </c>
      <c r="Z154" s="106" t="inlineStr">
        <is>
          <t>Đang nghiên cứu</t>
        </is>
      </c>
      <c r="AA154" s="107" t="n">
        <v>45</v>
      </c>
      <c r="AB154" s="106" t="inlineStr"/>
      <c r="AC154" s="106" t="inlineStr"/>
      <c r="AD154" s="106" t="inlineStr"/>
    </row>
    <row r="155" ht="35" customHeight="1">
      <c r="A155" s="47" t="inlineStr">
        <is>
          <t>SP-001</t>
        </is>
      </c>
      <c r="B155" s="47" t="inlineStr">
        <is>
          <t>Cửa Pivot Xoay trục</t>
        </is>
      </c>
      <c r="C155" s="47" t="inlineStr">
        <is>
          <t>Pivot Door</t>
        </is>
      </c>
      <c r="D155" s="47" t="inlineStr">
        <is>
          <t>Civro/Owin/Local</t>
        </is>
      </c>
      <c r="E155" s="47" t="inlineStr">
        <is>
          <t>Việt Nam</t>
        </is>
      </c>
      <c r="F155" s="47" t="inlineStr">
        <is>
          <t>TCVN</t>
        </is>
      </c>
      <c r="G155" s="47" t="inlineStr">
        <is>
          <t>Cửa đi</t>
        </is>
      </c>
      <c r="H155" s="47" t="inlineStr">
        <is>
          <t>Xoay trục (Pivot)</t>
        </is>
      </c>
      <c r="I155" s="47" t="inlineStr">
        <is>
          <t>Cánh xoay trục giữa + Pivot floor/ceiling spring</t>
        </is>
      </c>
      <c r="J155" s="47" t="inlineStr">
        <is>
          <t>Ngoại thất</t>
        </is>
      </c>
      <c r="K155" s="47" t="inlineStr">
        <is>
          <t>Biệt thự siêu sang, sảnh resort, showroom</t>
        </is>
      </c>
      <c r="L155" s="47" t="n">
        <v>2</v>
      </c>
      <c r="M155" s="47" t="inlineStr">
        <is>
          <t>Kính cường lực 15-22mm</t>
        </is>
      </c>
      <c r="N155" s="47" t="inlineStr">
        <is>
          <t>22mm</t>
        </is>
      </c>
      <c r="O155" s="47" t="inlineStr">
        <is>
          <t>2000×4000</t>
        </is>
      </c>
      <c r="P155" s="47" t="n">
        <v>500</v>
      </c>
      <c r="Q155" s="47" t="inlineStr">
        <is>
          <t>Dorma / FritsJurgens / Biloba Pivot</t>
        </is>
      </c>
      <c r="R155" s="47" t="inlineStr">
        <is>
          <t>Gioăng cạnh kín / Silicon kết cấu</t>
        </is>
      </c>
      <c r="S155" s="47" t="inlineStr">
        <is>
          <t>Anodized ED, sơn RAL đặc chủng</t>
        </is>
      </c>
      <c r="T155" s="47" t="inlineStr">
        <is>
          <t>Thẩm mỹ đỉnh cao, mở 180° tinh tế, cánh siêu rộng một tấm kính nguyên</t>
        </is>
      </c>
      <c r="U155" s="47" t="inlineStr">
        <is>
          <t>Giá cao, thi công phức tạp</t>
        </is>
      </c>
      <c r="V155" s="47" t="inlineStr">
        <is>
          <t>✓</t>
        </is>
      </c>
      <c r="W155" s="47" t="inlineStr">
        <is>
          <t>✗</t>
        </is>
      </c>
      <c r="X155" s="47" t="inlineStr">
        <is>
          <t>✓</t>
        </is>
      </c>
      <c r="Y155" s="47" t="inlineStr">
        <is>
          <t>✗</t>
        </is>
      </c>
      <c r="Z155" s="47" t="inlineStr">
        <is>
          <t>Đang nghiên cứu</t>
        </is>
      </c>
      <c r="AA155" s="48" t="n">
        <v>55</v>
      </c>
      <c r="AB155" s="47" t="inlineStr"/>
      <c r="AC155" s="47" t="inlineStr"/>
      <c r="AD155" s="47" t="inlineStr"/>
    </row>
    <row r="156" ht="35" customHeight="1">
      <c r="A156" s="47" t="inlineStr">
        <is>
          <t>SP-002</t>
        </is>
      </c>
      <c r="B156" s="47" t="inlineStr">
        <is>
          <t>Cửa Bi-fold Xếp trượt</t>
        </is>
      </c>
      <c r="C156" s="47" t="inlineStr">
        <is>
          <t>Bi-fold/Folding</t>
        </is>
      </c>
      <c r="D156" s="47" t="inlineStr">
        <is>
          <t>Civro/Maxpro/Soco</t>
        </is>
      </c>
      <c r="E156" s="47" t="inlineStr">
        <is>
          <t>Việt Nam</t>
        </is>
      </c>
      <c r="F156" s="47" t="inlineStr">
        <is>
          <t>EN</t>
        </is>
      </c>
      <c r="G156" s="47" t="inlineStr">
        <is>
          <t>Cửa đi</t>
        </is>
      </c>
      <c r="H156" s="47" t="inlineStr">
        <is>
          <t>Xếp trượt (Bi-fold / Folding)</t>
        </is>
      </c>
      <c r="I156" s="47" t="inlineStr">
        <is>
          <t>Cánh xếp gấp + Bản lề xếp + Ray trên</t>
        </is>
      </c>
      <c r="J156" s="47" t="inlineStr">
        <is>
          <t>Ngoại thất</t>
        </is>
      </c>
      <c r="K156" s="47" t="inlineStr">
        <is>
          <t>Nhà hàng, quán cà phê, biệt thự mở</t>
        </is>
      </c>
      <c r="L156" s="47" t="n">
        <v>1.8</v>
      </c>
      <c r="M156" s="47" t="inlineStr">
        <is>
          <t>Kính cường lực 8-12mm</t>
        </is>
      </c>
      <c r="N156" s="47" t="inlineStr">
        <is>
          <t>12mm</t>
        </is>
      </c>
      <c r="O156" s="47" t="inlineStr">
        <is>
          <t>5000×2800</t>
        </is>
      </c>
      <c r="P156" s="47" t="n">
        <v>40</v>
      </c>
      <c r="Q156" s="47" t="inlineStr">
        <is>
          <t>Roto Fold / OPK Bi-fold / Hopo</t>
        </is>
      </c>
      <c r="R156" s="47" t="inlineStr">
        <is>
          <t>Gioăng EPDM đường viền / Silicon</t>
        </is>
      </c>
      <c r="S156" s="47" t="inlineStr">
        <is>
          <t>Sơn tĩnh điện, anodized, champagne</t>
        </is>
      </c>
      <c r="T156" s="47" t="inlineStr">
        <is>
          <t>Mở toàn bộ không gian, xếp gọn về một phía, phù hợp nhà hàng mở</t>
        </is>
      </c>
      <c r="U156" s="47" t="inlineStr">
        <is>
          <t>Kín khít kém nhất, mỗi cánh tải trọng giới hạn</t>
        </is>
      </c>
      <c r="V156" s="47" t="inlineStr">
        <is>
          <t>✓</t>
        </is>
      </c>
      <c r="W156" s="47" t="inlineStr">
        <is>
          <t>✗</t>
        </is>
      </c>
      <c r="X156" s="47" t="inlineStr">
        <is>
          <t>✓</t>
        </is>
      </c>
      <c r="Y156" s="47" t="inlineStr">
        <is>
          <t>✓</t>
        </is>
      </c>
      <c r="Z156" s="47" t="inlineStr">
        <is>
          <t>Đang nghiên cứu</t>
        </is>
      </c>
      <c r="AA156" s="62" t="n">
        <v>60</v>
      </c>
      <c r="AB156" s="47" t="inlineStr"/>
      <c r="AC156" s="47" t="inlineStr"/>
      <c r="AD156" s="47" t="inlineStr"/>
    </row>
    <row r="157" ht="35" customHeight="1">
      <c r="A157" s="47" t="inlineStr">
        <is>
          <t>SP-003</t>
        </is>
      </c>
      <c r="B157" s="47" t="inlineStr">
        <is>
          <t>Cửa tự động Trượt</t>
        </is>
      </c>
      <c r="C157" s="47" t="inlineStr">
        <is>
          <t>Auto Sliding Door</t>
        </is>
      </c>
      <c r="D157" s="47" t="inlineStr">
        <is>
          <t>Dorma/Besam/Local</t>
        </is>
      </c>
      <c r="E157" s="47" t="inlineStr">
        <is>
          <t>Đức/Việt Nam</t>
        </is>
      </c>
      <c r="F157" s="47" t="inlineStr">
        <is>
          <t>EN 16005</t>
        </is>
      </c>
      <c r="G157" s="47" t="inlineStr">
        <is>
          <t>Cửa đi</t>
        </is>
      </c>
      <c r="H157" s="47" t="inlineStr">
        <is>
          <t>Tự động trượt (Auto Sliding)</t>
        </is>
      </c>
      <c r="I157" s="47" t="inlineStr">
        <is>
          <t>Khung + Cánh kính + Cảm biến mắt thần</t>
        </is>
      </c>
      <c r="J157" s="47" t="inlineStr">
        <is>
          <t>Thương mại</t>
        </is>
      </c>
      <c r="K157" s="47" t="inlineStr">
        <is>
          <t>Siêu thị, TTTM, bệnh viện, khách sạn sảnh lớn</t>
        </is>
      </c>
      <c r="L157" s="47" t="n">
        <v>1.6</v>
      </c>
      <c r="M157" s="47" t="inlineStr">
        <is>
          <t>Kính an toàn laminated 8-12mm</t>
        </is>
      </c>
      <c r="N157" s="47" t="inlineStr">
        <is>
          <t>12mm</t>
        </is>
      </c>
      <c r="O157" s="47" t="inlineStr">
        <is>
          <t>3000×2800</t>
        </is>
      </c>
      <c r="P157" s="47" t="n">
        <v>150</v>
      </c>
      <c r="Q157" s="47" t="inlineStr">
        <is>
          <t>Hệ truyền động AC/DC + Ray dẫn hướng</t>
        </is>
      </c>
      <c r="R157" s="47" t="inlineStr">
        <is>
          <t>Gioăng mềm / Màn quét không chạm</t>
        </is>
      </c>
      <c r="S157" s="47" t="inlineStr">
        <is>
          <t>Anodized bạc, đen, sơn tĩnh điện</t>
        </is>
      </c>
      <c r="T157" s="47" t="inlineStr">
        <is>
          <t>Hoàn toàn tự động, tiện lợi người tay bận hoặc xe lăn, chuẩn EN 16005</t>
        </is>
      </c>
      <c r="U157" s="47" t="inlineStr">
        <is>
          <t>Cần bảo trì cảm biến và động cơ định kỳ</t>
        </is>
      </c>
      <c r="V157" s="47" t="inlineStr">
        <is>
          <t>✓</t>
        </is>
      </c>
      <c r="W157" s="47" t="inlineStr">
        <is>
          <t>✗</t>
        </is>
      </c>
      <c r="X157" s="47" t="inlineStr">
        <is>
          <t>✓</t>
        </is>
      </c>
      <c r="Y157" s="47" t="inlineStr">
        <is>
          <t>✓</t>
        </is>
      </c>
      <c r="Z157" s="47" t="inlineStr">
        <is>
          <t>Đang nghiên cứu</t>
        </is>
      </c>
      <c r="AA157" s="48" t="n">
        <v>55</v>
      </c>
      <c r="AB157" s="47" t="inlineStr"/>
      <c r="AC157" s="47" t="inlineStr"/>
      <c r="AD157" s="47" t="inlineStr"/>
    </row>
    <row r="158" ht="35" customHeight="1">
      <c r="A158" s="47" t="inlineStr">
        <is>
          <t>SP-004</t>
        </is>
      </c>
      <c r="B158" s="47" t="inlineStr">
        <is>
          <t>Cửa chống cháy</t>
        </is>
      </c>
      <c r="C158" s="47" t="inlineStr">
        <is>
          <t>Fire Door EI60/EI90</t>
        </is>
      </c>
      <c r="D158" s="47" t="inlineStr">
        <is>
          <t>Hệ PCCC</t>
        </is>
      </c>
      <c r="E158" s="47" t="inlineStr">
        <is>
          <t>VN/Nhật</t>
        </is>
      </c>
      <c r="F158" s="47" t="inlineStr">
        <is>
          <t>TCVN 9374/EN 1634</t>
        </is>
      </c>
      <c r="G158" s="47" t="inlineStr">
        <is>
          <t>Cửa đi</t>
        </is>
      </c>
      <c r="H158" s="47" t="inlineStr">
        <is>
          <t>Mở quay (Fire Rated Casement)</t>
        </is>
      </c>
      <c r="I158" s="47" t="inlineStr">
        <is>
          <t>Khung thép + Cánh nhôm/thép chống cháy</t>
        </is>
      </c>
      <c r="J158" s="47" t="inlineStr">
        <is>
          <t>An toàn PCCC</t>
        </is>
      </c>
      <c r="K158" s="47" t="inlineStr">
        <is>
          <t>Hành lang thoát hiểm, buồng thang bộ, phòng kỹ thuật</t>
        </is>
      </c>
      <c r="L158" s="47" t="n">
        <v>2</v>
      </c>
      <c r="M158" s="47" t="inlineStr">
        <is>
          <t>Kính chống lửa 30-90 phút (Fire Glass)</t>
        </is>
      </c>
      <c r="N158" s="47" t="inlineStr">
        <is>
          <t>25mm</t>
        </is>
      </c>
      <c r="O158" s="47" t="inlineStr">
        <is>
          <t>1200×2400</t>
        </is>
      </c>
      <c r="P158" s="47" t="n">
        <v>100</v>
      </c>
      <c r="Q158" s="47" t="inlineStr">
        <is>
          <t>Bản lề chống cháy + Door Closer chống cháy</t>
        </is>
      </c>
      <c r="R158" s="47" t="inlineStr">
        <is>
          <t>Gioăng bảo ôn tự trương nở khi cháy</t>
        </is>
      </c>
      <c r="S158" s="47" t="inlineStr">
        <is>
          <t>Sơn Intumescent chịu nhiệt</t>
        </is>
      </c>
      <c r="T158" s="47" t="inlineStr">
        <is>
          <t>Ngăn lan cháy EI60/EI90, bắt buộc theo QCVN 06, bền 30 năm</t>
        </is>
      </c>
      <c r="U158" s="47" t="inlineStr">
        <is>
          <t>Chỉ lắp nơi thoát hiểm, không trang trí</t>
        </is>
      </c>
      <c r="V158" s="47" t="inlineStr">
        <is>
          <t>✓</t>
        </is>
      </c>
      <c r="W158" s="47" t="inlineStr">
        <is>
          <t>✓</t>
        </is>
      </c>
      <c r="X158" s="47" t="inlineStr">
        <is>
          <t>✓</t>
        </is>
      </c>
      <c r="Y158" s="47" t="inlineStr">
        <is>
          <t>✓</t>
        </is>
      </c>
      <c r="Z158" s="47" t="inlineStr">
        <is>
          <t>Đang nghiên cứu</t>
        </is>
      </c>
      <c r="AA158" s="48" t="n">
        <v>55</v>
      </c>
      <c r="AB158" s="47" t="inlineStr"/>
      <c r="AC158" s="47" t="inlineStr"/>
      <c r="AD158" s="47" t="inlineStr"/>
    </row>
    <row r="159" ht="35" customHeight="1">
      <c r="A159" s="47" t="inlineStr">
        <is>
          <t>SP-005</t>
        </is>
      </c>
      <c r="B159" s="47" t="inlineStr">
        <is>
          <t>Mái kính Skylight</t>
        </is>
      </c>
      <c r="C159" s="47" t="inlineStr">
        <is>
          <t>Skylight Giếng trời</t>
        </is>
      </c>
      <c r="D159" s="47" t="inlineStr">
        <is>
          <t>Soco/Local</t>
        </is>
      </c>
      <c r="E159" s="47" t="inlineStr">
        <is>
          <t>Việt Nam</t>
        </is>
      </c>
      <c r="F159" s="47" t="inlineStr">
        <is>
          <t>TCVN</t>
        </is>
      </c>
      <c r="G159" s="47" t="inlineStr">
        <is>
          <t>Mái kính</t>
        </is>
      </c>
      <c r="H159" s="47" t="inlineStr">
        <is>
          <t>Cố định / Mở nghiêng (Vented Skylight)</t>
        </is>
      </c>
      <c r="I159" s="47" t="inlineStr">
        <is>
          <t>Khung nhôm chống thấm + Kính nghiêng</t>
        </is>
      </c>
      <c r="J159" s="47" t="inlineStr">
        <is>
          <t>Mái công trình</t>
        </is>
      </c>
      <c r="K159" s="47" t="inlineStr">
        <is>
          <t>Giếng trời biệt thự, mái hành lang, sảnh TTTM</t>
        </is>
      </c>
      <c r="L159" s="47" t="n">
        <v>2</v>
      </c>
      <c r="M159" s="47" t="inlineStr">
        <is>
          <t>Kính cường lực laminated 10-15mm / Kính hộp Low-E</t>
        </is>
      </c>
      <c r="N159" s="47" t="inlineStr">
        <is>
          <t>15mm</t>
        </is>
      </c>
      <c r="O159" s="47" t="inlineStr">
        <is>
          <t>Không giới hạn</t>
        </is>
      </c>
      <c r="P159" s="47" t="n">
        <v>200</v>
      </c>
      <c r="Q159" s="47" t="inlineStr">
        <is>
          <t>Hệ thanh đỡ mái nhôm đặc chủng</t>
        </is>
      </c>
      <c r="R159" s="47" t="inlineStr">
        <is>
          <t>Silicon kết cấu + Chống thấm dốc mái</t>
        </is>
      </c>
      <c r="S159" s="47" t="inlineStr">
        <is>
          <t>Anodized, sơn bột chịu UV</t>
        </is>
      </c>
      <c r="T159" s="47" t="inlineStr">
        <is>
          <t>Đưa ánh sáng tự nhiên vào sâu trong nhà, tiết kiệm điện chiếu sáng</t>
        </is>
      </c>
      <c r="U159" s="47" t="inlineStr">
        <is>
          <t>Cần thiết kế thoát nước kỹ, vệ sinh định kỳ</t>
        </is>
      </c>
      <c r="V159" s="47" t="inlineStr">
        <is>
          <t>✓</t>
        </is>
      </c>
      <c r="W159" s="47" t="inlineStr">
        <is>
          <t>✗</t>
        </is>
      </c>
      <c r="X159" s="47" t="inlineStr">
        <is>
          <t>✓</t>
        </is>
      </c>
      <c r="Y159" s="47" t="inlineStr">
        <is>
          <t>✓</t>
        </is>
      </c>
      <c r="Z159" s="47" t="inlineStr">
        <is>
          <t>Đang nghiên cứu</t>
        </is>
      </c>
      <c r="AA159" s="48" t="n">
        <v>55</v>
      </c>
      <c r="AB159" s="47" t="inlineStr"/>
      <c r="AC159" s="47" t="inlineStr"/>
      <c r="AD159" s="47" t="inlineStr"/>
    </row>
    <row r="160" ht="35" customHeight="1">
      <c r="A160" s="47" t="inlineStr">
        <is>
          <t>SP-006</t>
        </is>
      </c>
      <c r="B160" s="47" t="inlineStr">
        <is>
          <t>Lan can kính</t>
        </is>
      </c>
      <c r="C160" s="47" t="inlineStr">
        <is>
          <t>Glass Railing Frameless</t>
        </is>
      </c>
      <c r="D160" s="47" t="inlineStr">
        <is>
          <t>Maxpro/Owin/Local</t>
        </is>
      </c>
      <c r="E160" s="47" t="inlineStr">
        <is>
          <t>Việt Nam</t>
        </is>
      </c>
      <c r="F160" s="47" t="inlineStr">
        <is>
          <t>TCVN 9392</t>
        </is>
      </c>
      <c r="G160" s="47" t="inlineStr">
        <is>
          <t>Lan can</t>
        </is>
      </c>
      <c r="H160" s="47" t="inlineStr">
        <is>
          <t>Cố định (Frameless Glass Railing)</t>
        </is>
      </c>
      <c r="I160" s="47" t="inlineStr">
        <is>
          <t>Đế chân âm sàn inox + Kính cường lực đứng</t>
        </is>
      </c>
      <c r="J160" s="47" t="inlineStr">
        <is>
          <t>Nội/Ngoại thất</t>
        </is>
      </c>
      <c r="K160" s="47" t="inlineStr">
        <is>
          <t>Ban công biệt thự, cầu thang nội thất, hành lang cao tầng</t>
        </is>
      </c>
      <c r="L160" s="47" t="n">
        <v>3</v>
      </c>
      <c r="M160" s="47" t="inlineStr">
        <is>
          <t>Kính cường lực đứng 12-19mm / Kính laminated 10+10mm</t>
        </is>
      </c>
      <c r="N160" s="47" t="inlineStr">
        <is>
          <t>19mm</t>
        </is>
      </c>
      <c r="O160" s="47" t="inlineStr">
        <is>
          <t>Không giới hạn</t>
        </is>
      </c>
      <c r="P160" s="47" t="n">
        <v>80</v>
      </c>
      <c r="Q160" s="47" t="inlineStr">
        <is>
          <t>Đế âm sàn inox SUS304/316 + Thanh nhôm đỡ trên</t>
        </is>
      </c>
      <c r="R160" s="47" t="inlineStr">
        <is>
          <t>Keo silicon kết cấu đế kính</t>
        </is>
      </c>
      <c r="S160" s="47" t="inlineStr">
        <is>
          <t>Anodized bạc, inox bóng, đen mờ</t>
        </is>
      </c>
      <c r="T160" s="47" t="inlineStr">
        <is>
          <t>Không gian mở, ánh sáng xuyên suốt, thẩm mỹ hiện đại</t>
        </is>
      </c>
      <c r="U160" s="47" t="inlineStr">
        <is>
          <t>Cần bảo trì mối kết cấu kính, dễ bám bẩn</t>
        </is>
      </c>
      <c r="V160" s="47" t="inlineStr">
        <is>
          <t>✓</t>
        </is>
      </c>
      <c r="W160" s="47" t="inlineStr">
        <is>
          <t>✗</t>
        </is>
      </c>
      <c r="X160" s="47" t="inlineStr">
        <is>
          <t>✓</t>
        </is>
      </c>
      <c r="Y160" s="47" t="inlineStr">
        <is>
          <t>✓</t>
        </is>
      </c>
      <c r="Z160" s="47" t="inlineStr">
        <is>
          <t>Đang nghiên cứu</t>
        </is>
      </c>
      <c r="AA160" s="48" t="n">
        <v>55</v>
      </c>
      <c r="AB160" s="47" t="inlineStr"/>
      <c r="AC160" s="47" t="inlineStr"/>
      <c r="AD160" s="47" t="inlineStr"/>
    </row>
    <row r="161" ht="35" customHeight="1">
      <c r="A161" s="47" t="inlineStr">
        <is>
          <t>SP-007</t>
        </is>
      </c>
      <c r="B161" s="47" t="inlineStr">
        <is>
          <t>Pergola Nhôm Cơ điện</t>
        </is>
      </c>
      <c r="C161" s="47" t="inlineStr">
        <is>
          <t>Pergola Motorized Louvres</t>
        </is>
      </c>
      <c r="D161" s="47" t="inlineStr">
        <is>
          <t>Local/Ý</t>
        </is>
      </c>
      <c r="E161" s="47" t="inlineStr">
        <is>
          <t>Việt Nam/Ý</t>
        </is>
      </c>
      <c r="F161" s="47" t="inlineStr">
        <is>
          <t>TCVN</t>
        </is>
      </c>
      <c r="G161" s="47" t="inlineStr">
        <is>
          <t>Mái che + Pergola</t>
        </is>
      </c>
      <c r="H161" s="47" t="inlineStr">
        <is>
          <t>Lá chớp xoay tự động (Motorized Aluminum Louvers)</t>
        </is>
      </c>
      <c r="I161" s="47" t="inlineStr">
        <is>
          <t>Khung nhôm + Lá chớp xoay góc</t>
        </is>
      </c>
      <c r="J161" s="47" t="inlineStr">
        <is>
          <t>Ngoại thất</t>
        </is>
      </c>
      <c r="K161" s="47" t="inlineStr">
        <is>
          <t>Biệt thự sân vườn, nhà hàng ngoài trời, resort</t>
        </is>
      </c>
      <c r="L161" s="47" t="n">
        <v>2.5</v>
      </c>
      <c r="M161" s="47" t="inlineStr">
        <is>
          <t>Không dùng kính (lá chớp nhôm đặc)</t>
        </is>
      </c>
      <c r="N161" s="47" t="inlineStr">
        <is>
          <t>N/A</t>
        </is>
      </c>
      <c r="O161" s="47" t="inlineStr">
        <is>
          <t>Không giới hạn</t>
        </is>
      </c>
      <c r="P161" s="47" t="n">
        <v>50</v>
      </c>
      <c r="Q161" s="47" t="inlineStr">
        <is>
          <t>Mô tơ AC bánh răng + Remote / Cảm biến mưa</t>
        </is>
      </c>
      <c r="R161" s="47" t="inlineStr">
        <is>
          <t>Gioăng EPDM kín nước</t>
        </is>
      </c>
      <c r="S161" s="47" t="inlineStr">
        <is>
          <t>Anodized ED, PVDF chịu UV, màu RAL</t>
        </is>
      </c>
      <c r="T161" s="47" t="inlineStr">
        <is>
          <t>Điều tiết ánh sáng và mưa tự động bằng remote hoặc cảm biến mưa</t>
        </is>
      </c>
      <c r="U161" s="47" t="inlineStr">
        <is>
          <t>Giá cao, cần bảo trì mô tơ định kỳ</t>
        </is>
      </c>
      <c r="V161" s="47" t="inlineStr">
        <is>
          <t>✓</t>
        </is>
      </c>
      <c r="W161" s="47" t="inlineStr">
        <is>
          <t>✗</t>
        </is>
      </c>
      <c r="X161" s="47" t="inlineStr">
        <is>
          <t>✓</t>
        </is>
      </c>
      <c r="Y161" s="47" t="inlineStr">
        <is>
          <t>✓</t>
        </is>
      </c>
      <c r="Z161" s="47" t="inlineStr">
        <is>
          <t>Đang nghiên cứu</t>
        </is>
      </c>
      <c r="AA161" s="48" t="n">
        <v>50</v>
      </c>
      <c r="AB161" s="47" t="inlineStr"/>
      <c r="AC161" s="47" t="inlineStr"/>
      <c r="AD161" s="47" t="inlineStr"/>
    </row>
    <row r="162" ht="35" customHeight="1">
      <c r="A162" s="47" t="inlineStr">
        <is>
          <t>SP-008</t>
        </is>
      </c>
      <c r="B162" s="47" t="inlineStr">
        <is>
          <t>Vách ngăn văn phòng</t>
        </is>
      </c>
      <c r="C162" s="47" t="inlineStr">
        <is>
          <t>Office Partition Glass</t>
        </is>
      </c>
      <c r="D162" s="47" t="inlineStr">
        <is>
          <t>Nhiều hãng</t>
        </is>
      </c>
      <c r="E162" s="47" t="inlineStr">
        <is>
          <t>Việt Nam</t>
        </is>
      </c>
      <c r="F162" s="47" t="inlineStr">
        <is>
          <t>TCVN</t>
        </is>
      </c>
      <c r="G162" s="47" t="inlineStr">
        <is>
          <t>Vách ngăn</t>
        </is>
      </c>
      <c r="H162" s="47" t="inlineStr">
        <is>
          <t>Cố định + Cửa trượt (Fixed + Sliding)</t>
        </is>
      </c>
      <c r="I162" s="47" t="inlineStr">
        <is>
          <t>Profile vách ngăn kính mỏng</t>
        </is>
      </c>
      <c r="J162" s="47" t="inlineStr">
        <is>
          <t>Nội thất</t>
        </is>
      </c>
      <c r="K162" s="47" t="inlineStr">
        <is>
          <t>Văn phòng, phòng họp, coworking space</t>
        </is>
      </c>
      <c r="L162" s="47" t="n">
        <v>1.2</v>
      </c>
      <c r="M162" s="47" t="inlineStr">
        <is>
          <t>Kính cường lực 10-12mm / Kính đục mờ</t>
        </is>
      </c>
      <c r="N162" s="47" t="inlineStr">
        <is>
          <t>12mm</t>
        </is>
      </c>
      <c r="O162" s="47" t="inlineStr">
        <is>
          <t>Không giới hạn</t>
        </is>
      </c>
      <c r="P162" s="47" t="n">
        <v>60</v>
      </c>
      <c r="Q162" s="47" t="inlineStr">
        <is>
          <t>Häfele / Hettich trượt văn phòng</t>
        </is>
      </c>
      <c r="R162" s="47" t="inlineStr">
        <is>
          <t>Gioăng cạnh mềm / Silicon nội thất</t>
        </is>
      </c>
      <c r="S162" s="47" t="inlineStr">
        <is>
          <t>Anodized bạc, đen mờ, champagne, trắng mờ</t>
        </is>
      </c>
      <c r="T162" s="47" t="inlineStr">
        <is>
          <t>Phân chia không gian linh hoạt, ánh sáng xuyên qua, thẩm mỹ hiện đại</t>
        </is>
      </c>
      <c r="U162" s="47" t="inlineStr">
        <is>
          <t>Cách âm kém hơn tường xây</t>
        </is>
      </c>
      <c r="V162" s="47" t="inlineStr">
        <is>
          <t>✓</t>
        </is>
      </c>
      <c r="W162" s="47" t="inlineStr">
        <is>
          <t>✗</t>
        </is>
      </c>
      <c r="X162" s="47" t="inlineStr">
        <is>
          <t>✓</t>
        </is>
      </c>
      <c r="Y162" s="47" t="inlineStr">
        <is>
          <t>✓</t>
        </is>
      </c>
      <c r="Z162" s="47" t="inlineStr">
        <is>
          <t>Đang nghiên cứu</t>
        </is>
      </c>
      <c r="AA162" s="48" t="n">
        <v>50</v>
      </c>
      <c r="AB162" s="47" t="inlineStr"/>
      <c r="AC162" s="47" t="inlineStr"/>
      <c r="AD162" s="47" t="inlineStr"/>
    </row>
    <row r="163" ht="35" customHeight="1">
      <c r="A163" s="47" t="inlineStr">
        <is>
          <t>SP-009</t>
        </is>
      </c>
      <c r="B163" s="47" t="inlineStr">
        <is>
          <t>Cửa Tilt-Turn Mở lật</t>
        </is>
      </c>
      <c r="C163" s="47" t="inlineStr">
        <is>
          <t>Tilt-Turn Window</t>
        </is>
      </c>
      <c r="D163" s="47" t="inlineStr">
        <is>
          <t>Civro/PAG/Schüco</t>
        </is>
      </c>
      <c r="E163" s="47" t="inlineStr">
        <is>
          <t>Châu Âu/VN</t>
        </is>
      </c>
      <c r="F163" s="47" t="inlineStr">
        <is>
          <t>EN 14351-1</t>
        </is>
      </c>
      <c r="G163" s="47" t="inlineStr">
        <is>
          <t>Cửa sổ + Cửa đi</t>
        </is>
      </c>
      <c r="H163" s="47" t="inlineStr">
        <is>
          <t>Mở quay + Mở lật (Casement + Tilt-Turn)</t>
        </is>
      </c>
      <c r="I163" s="47" t="inlineStr">
        <is>
          <t>Khung + Cánh mở lật đa vị trí</t>
        </is>
      </c>
      <c r="J163" s="47" t="inlineStr">
        <is>
          <t>Ngoại thất</t>
        </is>
      </c>
      <c r="K163" s="47" t="inlineStr">
        <is>
          <t>Căn hộ cao tầng, văn phòng an toàn</t>
        </is>
      </c>
      <c r="L163" s="47" t="n">
        <v>1.8</v>
      </c>
      <c r="M163" s="47" t="inlineStr">
        <is>
          <t>Kính hộp Low-E 24-36mm</t>
        </is>
      </c>
      <c r="N163" s="47" t="inlineStr">
        <is>
          <t>16mm</t>
        </is>
      </c>
      <c r="O163" s="47" t="inlineStr">
        <is>
          <t>1400×2600</t>
        </is>
      </c>
      <c r="P163" s="47" t="n">
        <v>120</v>
      </c>
      <c r="Q163" s="47" t="inlineStr">
        <is>
          <t>Rãnh C Euro Groove – Roto/Winkhaus Tilt-Turn</t>
        </is>
      </c>
      <c r="R163" s="47" t="inlineStr">
        <is>
          <t>Gioăng EPDM đa khoang / Dow Corning</t>
        </is>
      </c>
      <c r="S163" s="47" t="inlineStr">
        <is>
          <t>Anodized, PVDF</t>
        </is>
      </c>
      <c r="T163" s="47" t="inlineStr">
        <is>
          <t>Tilt (hé nghiêng thông gió an toàn) hoặc Turn (quay vào trong lau kính dễ dàng)</t>
        </is>
      </c>
      <c r="U163" s="47" t="inlineStr">
        <is>
          <t>Phụ kiện đắt hơn Casement thông thường</t>
        </is>
      </c>
      <c r="V163" s="47" t="inlineStr">
        <is>
          <t>✓</t>
        </is>
      </c>
      <c r="W163" s="47" t="inlineStr">
        <is>
          <t>✓</t>
        </is>
      </c>
      <c r="X163" s="47" t="inlineStr">
        <is>
          <t>✓</t>
        </is>
      </c>
      <c r="Y163" s="47" t="inlineStr">
        <is>
          <t>✓</t>
        </is>
      </c>
      <c r="Z163" s="47" t="inlineStr">
        <is>
          <t>Đang nghiên cứu</t>
        </is>
      </c>
      <c r="AA163" s="62" t="n">
        <v>65</v>
      </c>
      <c r="AB163" s="47" t="inlineStr"/>
      <c r="AC163" s="47" t="inlineStr"/>
      <c r="AD163" s="47" t="inlineStr"/>
    </row>
    <row r="164" ht="35" customHeight="1">
      <c r="A164" s="63" t="inlineStr">
        <is>
          <t>SP-010</t>
        </is>
      </c>
      <c r="B164" s="63" t="inlineStr">
        <is>
          <t>Curtain Wall Unitized</t>
        </is>
      </c>
      <c r="C164" s="63" t="inlineStr">
        <is>
          <t>UCW Unitized Panel</t>
        </is>
      </c>
      <c r="D164" s="63" t="inlineStr">
        <is>
          <t>Soco/Maxpro/Civro</t>
        </is>
      </c>
      <c r="E164" s="63" t="inlineStr">
        <is>
          <t>Việt Nam</t>
        </is>
      </c>
      <c r="F164" s="63" t="inlineStr">
        <is>
          <t>EN 13830/AAMA 501</t>
        </is>
      </c>
      <c r="G164" s="63" t="inlineStr">
        <is>
          <t>Vách mặt dựng</t>
        </is>
      </c>
      <c r="H164" s="63" t="inlineStr">
        <is>
          <t>Panel đúc sẵn (Unitized Panel)</t>
        </is>
      </c>
      <c r="I164" s="63" t="inlineStr">
        <is>
          <t>Panel hoàn chỉnh lắp bằng cần trục</t>
        </is>
      </c>
      <c r="J164" s="63" t="inlineStr">
        <is>
          <t>Ngoại thất – Tòa nhà cao tầng</t>
        </is>
      </c>
      <c r="K164" s="63" t="inlineStr">
        <is>
          <t>Văn phòng hạng A, khách sạn 5 sao, cao tầng 30+</t>
        </is>
      </c>
      <c r="L164" s="63" t="n">
        <v>2.5</v>
      </c>
      <c r="M164" s="63" t="inlineStr">
        <is>
          <t>Kính hộp Low-E 28-48mm / Kính 3 lớp 60mm</t>
        </is>
      </c>
      <c r="N164" s="63" t="inlineStr">
        <is>
          <t>48mm</t>
        </is>
      </c>
      <c r="O164" s="63" t="inlineStr">
        <is>
          <t>Không giới hạn</t>
        </is>
      </c>
      <c r="P164" s="63" t="n">
        <v>1000</v>
      </c>
      <c r="Q164" s="63" t="inlineStr">
        <is>
          <t>Hệ Unitized panel + crane</t>
        </is>
      </c>
      <c r="R164" s="63" t="inlineStr">
        <is>
          <t>Silicon kết cấu AAMA</t>
        </is>
      </c>
      <c r="S164" s="63" t="inlineStr">
        <is>
          <t>Anodized, PVDF 70%</t>
        </is>
      </c>
      <c r="T164" s="63" t="inlineStr">
        <is>
          <t>Thi công 3-4 ngày/tầng, chất lượng đồng đều chuẩn xưởng</t>
        </is>
      </c>
      <c r="U164" s="63" t="inlineStr">
        <is>
          <t>Chi phí mold cao, không linh hoạt sửa đổi</t>
        </is>
      </c>
      <c r="V164" s="63" t="inlineStr">
        <is>
          <t>✓</t>
        </is>
      </c>
      <c r="W164" s="63" t="inlineStr">
        <is>
          <t>✓</t>
        </is>
      </c>
      <c r="X164" s="63" t="inlineStr">
        <is>
          <t>✓</t>
        </is>
      </c>
      <c r="Y164" s="63" t="inlineStr">
        <is>
          <t>✓</t>
        </is>
      </c>
      <c r="Z164" s="63" t="inlineStr">
        <is>
          <t>Đang nghiên cứu</t>
        </is>
      </c>
      <c r="AA164" s="64" t="n">
        <v>65</v>
      </c>
      <c r="AB164" s="63" t="inlineStr"/>
      <c r="AC164" s="63" t="inlineStr"/>
      <c r="AD164" s="63" t="inlineStr"/>
    </row>
    <row r="165" ht="35" customHeight="1">
      <c r="A165" s="47" t="inlineStr">
        <is>
          <t>SP-011</t>
        </is>
      </c>
      <c r="B165" s="47" t="inlineStr">
        <is>
          <t>Curtain Wall Spider</t>
        </is>
      </c>
      <c r="C165" s="47" t="inlineStr">
        <is>
          <t>Spider Glass Facade</t>
        </is>
      </c>
      <c r="D165" s="47" t="inlineStr">
        <is>
          <t>Hệ chuyên dụng</t>
        </is>
      </c>
      <c r="E165" s="47" t="inlineStr">
        <is>
          <t>Đức/Việt Nam</t>
        </is>
      </c>
      <c r="F165" s="47" t="inlineStr">
        <is>
          <t>EN 13830</t>
        </is>
      </c>
      <c r="G165" s="47" t="inlineStr">
        <is>
          <t>Vách mặt dựng đặc biệt</t>
        </is>
      </c>
      <c r="H165" s="47" t="inlineStr">
        <is>
          <t>Cố định mặt kính điểm (Spider Connector)</t>
        </is>
      </c>
      <c r="I165" s="47" t="inlineStr">
        <is>
          <t>Khung kết cấu thép ẩn + Cần nhện inox SUS316</t>
        </is>
      </c>
      <c r="J165" s="47" t="inlineStr">
        <is>
          <t>Ngoại thất – Công trình biểu tượng</t>
        </is>
      </c>
      <c r="K165" s="47" t="inlineStr">
        <is>
          <t>Sảnh khách sạn, hội nghị, biểu tượng</t>
        </is>
      </c>
      <c r="L165" s="47" t="n">
        <v>0</v>
      </c>
      <c r="M165" s="47" t="inlineStr">
        <is>
          <t>Kính cường lực đặc biệt 15-22mm có lỗ cán khoan</t>
        </is>
      </c>
      <c r="N165" s="47" t="inlineStr">
        <is>
          <t>22mm</t>
        </is>
      </c>
      <c r="O165" s="47" t="inlineStr">
        <is>
          <t>Không giới hạn</t>
        </is>
      </c>
      <c r="P165" s="47" t="n">
        <v>2000</v>
      </c>
      <c r="Q165" s="47" t="inlineStr">
        <is>
          <t>Cần nhện inox SUS316 Spider 4 cánh</t>
        </is>
      </c>
      <c r="R165" s="47" t="inlineStr">
        <is>
          <t>Silicon kết cấu Dow 895</t>
        </is>
      </c>
      <c r="S165" s="47" t="inlineStr">
        <is>
          <t>Kính Low-E / Kính in màu kỹ thuật số</t>
        </is>
      </c>
      <c r="T165" s="47" t="inlineStr">
        <is>
          <t>Tối ưu thẩm mỹ mặt kính thuần túy, trong suốt hoàn toàn, không thấy frame nhôm</t>
        </is>
      </c>
      <c r="U165" s="47" t="inlineStr">
        <is>
          <t>Kết cấu thép phụ phức tạp, giá cực cao</t>
        </is>
      </c>
      <c r="V165" s="47" t="inlineStr">
        <is>
          <t>✓</t>
        </is>
      </c>
      <c r="W165" s="47" t="inlineStr">
        <is>
          <t>✗</t>
        </is>
      </c>
      <c r="X165" s="47" t="inlineStr">
        <is>
          <t>✓</t>
        </is>
      </c>
      <c r="Y165" s="47" t="inlineStr">
        <is>
          <t>✗</t>
        </is>
      </c>
      <c r="Z165" s="47" t="inlineStr">
        <is>
          <t>Đang nghiên cứu</t>
        </is>
      </c>
      <c r="AA165" s="48" t="n">
        <v>40</v>
      </c>
      <c r="AB165" s="47" t="inlineStr"/>
      <c r="AC165" s="47" t="inlineStr"/>
      <c r="AD165" s="47" t="inlineStr"/>
    </row>
    <row r="166" ht="35" customHeight="1">
      <c r="A166" s="47" t="inlineStr">
        <is>
          <t>SP-012</t>
        </is>
      </c>
      <c r="B166" s="47" t="inlineStr">
        <is>
          <t>Canopy Nhôm</t>
        </is>
      </c>
      <c r="C166" s="47" t="inlineStr">
        <is>
          <t>Aluminum Canopy</t>
        </is>
      </c>
      <c r="D166" s="47" t="inlineStr">
        <is>
          <t>Local</t>
        </is>
      </c>
      <c r="E166" s="47" t="inlineStr">
        <is>
          <t>Việt Nam</t>
        </is>
      </c>
      <c r="F166" s="47" t="inlineStr">
        <is>
          <t>TCVN</t>
        </is>
      </c>
      <c r="G166" s="47" t="inlineStr">
        <is>
          <t>Mái che</t>
        </is>
      </c>
      <c r="H166" s="47" t="inlineStr">
        <is>
          <t>Cố định (Fixed Canopy)</t>
        </is>
      </c>
      <c r="I166" s="47" t="inlineStr">
        <is>
          <t>Khung nhôm profile + PC trong/Kính nghiêng</t>
        </is>
      </c>
      <c r="J166" s="47" t="inlineStr">
        <is>
          <t>Ngoại thất</t>
        </is>
      </c>
      <c r="K166" s="47" t="inlineStr">
        <is>
          <t>Sảnh đón, lối vào biệt thự, nhà hàng, cửa hàng</t>
        </is>
      </c>
      <c r="L166" s="47" t="n">
        <v>2</v>
      </c>
      <c r="M166" s="47" t="inlineStr">
        <is>
          <t>PC trong suốt 10mm / Kính cường lực 8-10mm</t>
        </is>
      </c>
      <c r="N166" s="47" t="inlineStr">
        <is>
          <t>10mm</t>
        </is>
      </c>
      <c r="O166" s="47" t="inlineStr">
        <is>
          <t>Không giới hạn</t>
        </is>
      </c>
      <c r="P166" s="47" t="n">
        <v>100</v>
      </c>
      <c r="Q166" s="47" t="inlineStr">
        <is>
          <t>Hệ Stick nhôm đặc chủng</t>
        </is>
      </c>
      <c r="R166" s="47" t="inlineStr">
        <is>
          <t>Dow Corning chống thấm + Vít inox SUS304</t>
        </is>
      </c>
      <c r="S166" s="47" t="inlineStr">
        <is>
          <t>Anodized, sơn tĩnh điện, champagne</t>
        </is>
      </c>
      <c r="T166" s="47" t="inlineStr">
        <is>
          <t>Che nắng mưa sảnh đón, thẩm mỹ ngoại thất đẹp, lắp đặt nhanh</t>
        </is>
      </c>
      <c r="U166" s="47" t="inlineStr">
        <is>
          <t>Cần thiết kế thoát nước mái</t>
        </is>
      </c>
      <c r="V166" s="47" t="inlineStr">
        <is>
          <t>✓</t>
        </is>
      </c>
      <c r="W166" s="47" t="inlineStr">
        <is>
          <t>✗</t>
        </is>
      </c>
      <c r="X166" s="47" t="inlineStr">
        <is>
          <t>✓</t>
        </is>
      </c>
      <c r="Y166" s="47" t="inlineStr">
        <is>
          <t>✓</t>
        </is>
      </c>
      <c r="Z166" s="47" t="inlineStr">
        <is>
          <t>Đang nghiên cứu</t>
        </is>
      </c>
      <c r="AA166" s="48" t="n">
        <v>55</v>
      </c>
      <c r="AB166" s="47" t="inlineStr"/>
      <c r="AC166" s="47" t="inlineStr"/>
      <c r="AD166" s="47" t="inlineStr"/>
    </row>
    <row r="167" ht="35" customHeight="1">
      <c r="A167" s="47" t="inlineStr">
        <is>
          <t>SP-013</t>
        </is>
      </c>
      <c r="B167" s="47" t="inlineStr">
        <is>
          <t>Smart Door Cửa thông minh</t>
        </is>
      </c>
      <c r="C167" s="47" t="inlineStr">
        <is>
          <t>Smart Fingerprint Door</t>
        </is>
      </c>
      <c r="D167" s="47" t="inlineStr">
        <is>
          <t>Hệ Smart</t>
        </is>
      </c>
      <c r="E167" s="47" t="inlineStr">
        <is>
          <t>Việt Nam</t>
        </is>
      </c>
      <c r="F167" s="47" t="inlineStr">
        <is>
          <t>TCVN</t>
        </is>
      </c>
      <c r="G167" s="47" t="inlineStr">
        <is>
          <t>Cửa đi</t>
        </is>
      </c>
      <c r="H167" s="47" t="inlineStr">
        <is>
          <t>Mở quay + Khóa thông minh (Smart Casement)</t>
        </is>
      </c>
      <c r="I167" s="47" t="inlineStr">
        <is>
          <t>Khung + Cánh + Module điện tử Smart Lock</t>
        </is>
      </c>
      <c r="J167" s="47" t="inlineStr">
        <is>
          <t>Ngoại thất</t>
        </is>
      </c>
      <c r="K167" s="47" t="inlineStr">
        <is>
          <t>Nhà thông minh Smart Home, biệt thự, căn hộ</t>
        </is>
      </c>
      <c r="L167" s="47" t="n">
        <v>1.8</v>
      </c>
      <c r="M167" s="47" t="inlineStr">
        <is>
          <t>Kính cường lực 10-12mm</t>
        </is>
      </c>
      <c r="N167" s="47" t="inlineStr">
        <is>
          <t>12mm</t>
        </is>
      </c>
      <c r="O167" s="47" t="inlineStr">
        <is>
          <t>1200×2800</t>
        </is>
      </c>
      <c r="P167" s="47" t="n">
        <v>120</v>
      </c>
      <c r="Q167" s="47" t="inlineStr">
        <is>
          <t>Khóa vân tay + Face ID + Động cơ DC remote</t>
        </is>
      </c>
      <c r="R167" s="47" t="inlineStr">
        <is>
          <t>Gioăng EPDM + module chống nước IP54</t>
        </is>
      </c>
      <c r="S167" s="47" t="inlineStr">
        <is>
          <t>Anodized bạc, champagne, đen mờ</t>
        </is>
      </c>
      <c r="T167" s="47" t="inlineStr">
        <is>
          <t>Mở khóa bằng vân tay/khuôn mặt/điện thoại, tích hợp Smart Home</t>
        </is>
      </c>
      <c r="U167" s="47" t="inlineStr">
        <is>
          <t>Cần nguồn điện dự phòng, chi phí lắp đặt cao</t>
        </is>
      </c>
      <c r="V167" s="47" t="inlineStr">
        <is>
          <t>✗</t>
        </is>
      </c>
      <c r="W167" s="47" t="inlineStr">
        <is>
          <t>✗</t>
        </is>
      </c>
      <c r="X167" s="47" t="inlineStr">
        <is>
          <t>✓</t>
        </is>
      </c>
      <c r="Y167" s="47" t="inlineStr">
        <is>
          <t>✗</t>
        </is>
      </c>
      <c r="Z167" s="47" t="inlineStr">
        <is>
          <t>Đang nghiên cứu</t>
        </is>
      </c>
      <c r="AA167" s="48" t="n">
        <v>40</v>
      </c>
      <c r="AB167" s="47" t="inlineStr"/>
      <c r="AC167" s="47" t="inlineStr"/>
      <c r="AD167" s="47" t="inlineStr"/>
    </row>
    <row r="168" ht="35" customHeight="1">
      <c r="A168" s="47" t="inlineStr">
        <is>
          <t>SP-014</t>
        </is>
      </c>
      <c r="B168" s="47" t="inlineStr">
        <is>
          <t>Cửa chống đạn</t>
        </is>
      </c>
      <c r="C168" s="47" t="inlineStr">
        <is>
          <t>Bullet Resistant BR3/BR6</t>
        </is>
      </c>
      <c r="D168" s="47" t="inlineStr">
        <is>
          <t>Hệ chuyên dụng</t>
        </is>
      </c>
      <c r="E168" s="47" t="inlineStr">
        <is>
          <t>Đức/Mỹ</t>
        </is>
      </c>
      <c r="F168" s="47" t="inlineStr">
        <is>
          <t>EN 1063/UL 752</t>
        </is>
      </c>
      <c r="G168" s="47" t="inlineStr">
        <is>
          <t>Cửa đi</t>
        </is>
      </c>
      <c r="H168" s="47" t="inlineStr">
        <is>
          <t>Mở quay (Bullet Resistant)</t>
        </is>
      </c>
      <c r="I168" s="47" t="inlineStr">
        <is>
          <t>Khung nhôm đặc biệt + Tấm thép gia cố</t>
        </is>
      </c>
      <c r="J168" s="47" t="inlineStr">
        <is>
          <t>An ninh</t>
        </is>
      </c>
      <c r="K168" s="47" t="inlineStr">
        <is>
          <t>Ngân hàng, đại sứ quán, phòng VIP, phòng máy chủ</t>
        </is>
      </c>
      <c r="L168" s="47" t="n">
        <v>3</v>
      </c>
      <c r="M168" s="47" t="inlineStr">
        <is>
          <t>Kính chống đạn Lexan/Pilkington Protect 25-50mm</t>
        </is>
      </c>
      <c r="N168" s="47" t="inlineStr">
        <is>
          <t>50mm</t>
        </is>
      </c>
      <c r="O168" s="47" t="inlineStr">
        <is>
          <t>1200×2400</t>
        </is>
      </c>
      <c r="P168" s="47" t="n">
        <v>300</v>
      </c>
      <c r="Q168" s="47" t="inlineStr">
        <is>
          <t>Khóa an ninh đặc chủng chống phá</t>
        </is>
      </c>
      <c r="R168" s="47" t="inlineStr">
        <is>
          <t>Gioăng cao su chịu lực</t>
        </is>
      </c>
      <c r="S168" s="47" t="inlineStr">
        <is>
          <t>Sơn thép + anodized nhôm</t>
        </is>
      </c>
      <c r="T168" s="47" t="inlineStr">
        <is>
          <t>Chịu đạn BR3/BR6, hội tụ an ninh và thẩm mỹ</t>
        </is>
      </c>
      <c r="U168" s="47" t="inlineStr">
        <is>
          <t>Giá rất cao, ít công ty thi công VN</t>
        </is>
      </c>
      <c r="V168" s="47" t="inlineStr">
        <is>
          <t>✗</t>
        </is>
      </c>
      <c r="W168" s="47" t="inlineStr">
        <is>
          <t>✗</t>
        </is>
      </c>
      <c r="X168" s="47" t="inlineStr">
        <is>
          <t>✓</t>
        </is>
      </c>
      <c r="Y168" s="47" t="inlineStr">
        <is>
          <t>✗</t>
        </is>
      </c>
      <c r="Z168" s="47" t="inlineStr">
        <is>
          <t>Đang nghiên cứu</t>
        </is>
      </c>
      <c r="AA168" s="48" t="n">
        <v>35</v>
      </c>
      <c r="AB168" s="47" t="inlineStr"/>
      <c r="AC168" s="47" t="inlineStr"/>
      <c r="AD168" s="47" t="inlineStr"/>
    </row>
    <row r="169" ht="35" customHeight="1">
      <c r="A169" s="47" t="inlineStr">
        <is>
          <t>SP-015</t>
        </is>
      </c>
      <c r="B169" s="47" t="inlineStr">
        <is>
          <t>Sunroom Phòng kính</t>
        </is>
      </c>
      <c r="C169" s="47" t="inlineStr">
        <is>
          <t>Aluminum Sunroom</t>
        </is>
      </c>
      <c r="D169" s="47" t="inlineStr">
        <is>
          <t>Local/Châu Âu</t>
        </is>
      </c>
      <c r="E169" s="47" t="inlineStr">
        <is>
          <t>Châu Âu/Việt Nam</t>
        </is>
      </c>
      <c r="F169" s="47" t="inlineStr">
        <is>
          <t>EN</t>
        </is>
      </c>
      <c r="G169" s="47" t="inlineStr">
        <is>
          <t>Vách + Mái</t>
        </is>
      </c>
      <c r="H169" s="47" t="inlineStr">
        <is>
          <t>Vách cố định + Mái nghiêng (Sunroom)</t>
        </is>
      </c>
      <c r="I169" s="47" t="inlineStr">
        <is>
          <t>Khung nhôm + Vách kính + Mái kính</t>
        </is>
      </c>
      <c r="J169" s="47" t="inlineStr">
        <is>
          <t>Ngoại thất</t>
        </is>
      </c>
      <c r="K169" s="47" t="inlineStr">
        <is>
          <t>Biệt thự sân vườn, resort, nhà hàng garden</t>
        </is>
      </c>
      <c r="L169" s="47" t="n">
        <v>2</v>
      </c>
      <c r="M169" s="47" t="inlineStr">
        <is>
          <t>Kính hộp Low-E 24-36mm / Kính chống nóng mái</t>
        </is>
      </c>
      <c r="N169" s="47" t="inlineStr">
        <is>
          <t>15mm</t>
        </is>
      </c>
      <c r="O169" s="47" t="inlineStr">
        <is>
          <t>Không giới hạn</t>
        </is>
      </c>
      <c r="P169" s="47" t="n">
        <v>200</v>
      </c>
      <c r="Q169" s="47" t="inlineStr">
        <is>
          <t>Hệ Stick nhôm đặc chủng Sunroom</t>
        </is>
      </c>
      <c r="R169" s="47" t="inlineStr">
        <is>
          <t>Silicon kết cấu + Keo chống thấm mái</t>
        </is>
      </c>
      <c r="S169" s="47" t="inlineStr">
        <is>
          <t>Anodized, PVDF, trắng/champagne/đen RAL</t>
        </is>
      </c>
      <c r="T169" s="47" t="inlineStr">
        <is>
          <t>Không gian trong/ngoài kết nối quanh năm, lọc UV, chắn mưa</t>
        </is>
      </c>
      <c r="U169" s="47" t="inlineStr">
        <is>
          <t>Nhiệt độ cao nếu không thiết kế thông gió tốt</t>
        </is>
      </c>
      <c r="V169" s="47" t="inlineStr">
        <is>
          <t>✓</t>
        </is>
      </c>
      <c r="W169" s="47" t="inlineStr">
        <is>
          <t>✗</t>
        </is>
      </c>
      <c r="X169" s="47" t="inlineStr">
        <is>
          <t>✓</t>
        </is>
      </c>
      <c r="Y169" s="47" t="inlineStr">
        <is>
          <t>✓</t>
        </is>
      </c>
      <c r="Z169" s="47" t="inlineStr">
        <is>
          <t>Đang nghiên cứu</t>
        </is>
      </c>
      <c r="AA169" s="48" t="n">
        <v>45</v>
      </c>
      <c r="AB169" s="47" t="inlineStr"/>
      <c r="AC169" s="47" t="inlineStr"/>
      <c r="AD169" s="47" t="inlineStr"/>
    </row>
    <row r="170" ht="35" customHeight="1">
      <c r="A170" s="59" t="inlineStr">
        <is>
          <t>KO-001</t>
        </is>
      </c>
      <c r="B170" s="59" t="inlineStr">
        <is>
          <t>Nhựa ABS Hàn Quốc</t>
        </is>
      </c>
      <c r="C170" s="59" t="inlineStr">
        <is>
          <t>KOS Flat</t>
        </is>
      </c>
      <c r="D170" s="59" t="inlineStr">
        <is>
          <t>KOS</t>
        </is>
      </c>
      <c r="E170" s="59" t="inlineStr">
        <is>
          <t>Hàn Quốc/VN</t>
        </is>
      </c>
      <c r="F170" s="59" t="inlineStr">
        <is>
          <t>TCVN/Korean Standard</t>
        </is>
      </c>
      <c r="G170" s="59" t="inlineStr">
        <is>
          <t>Cửa đi thông phòng</t>
        </is>
      </c>
      <c r="H170" s="59" t="inlineStr">
        <is>
          <t>Cửa phẳng (Flat Interior Door)</t>
        </is>
      </c>
      <c r="I170" s="59" t="inlineStr">
        <is>
          <t>Tấm nhựa ABS 1.4mm ép chân không + Lõi Honeycomb</t>
        </is>
      </c>
      <c r="J170" s="59" t="inlineStr">
        <is>
          <t>Nội thất</t>
        </is>
      </c>
      <c r="K170" s="59" t="inlineStr">
        <is>
          <t>Căn hộ chung cư, phòng ngủ biệt thự, nhà phố</t>
        </is>
      </c>
      <c r="L170" s="59" t="n">
        <v>0</v>
      </c>
      <c r="M170" s="59" t="inlineStr">
        <is>
          <t>Kính đơn hoặc Panel đặc (không dùng kính)</t>
        </is>
      </c>
      <c r="N170" s="59" t="inlineStr">
        <is>
          <t>N/A</t>
        </is>
      </c>
      <c r="O170" s="59" t="inlineStr">
        <is>
          <t>1000×2200</t>
        </is>
      </c>
      <c r="P170" s="59" t="n">
        <v>50</v>
      </c>
      <c r="Q170" s="59" t="inlineStr">
        <is>
          <t>Phụ kiện khóa tay gạt tròn / tay gạt KOS &amp; Bản lề inox</t>
        </is>
      </c>
      <c r="R170" s="59" t="inlineStr">
        <is>
          <t>Gioăng cao su chèn giảm chấn / Silicon Apollo</t>
        </is>
      </c>
      <c r="S170" s="59" t="inlineStr">
        <is>
          <t>Phủ Deco Sheet vân gỗ bóng mịn, chống trầy xước</t>
        </is>
      </c>
      <c r="T170" s="59" t="inlineStr">
        <is>
          <t>Kháng nước 100%, chống ẩm mốc mối mọt cong vênh tuyệt đối, cánh nhẹ tránh xệ cánh bản lề</t>
        </is>
      </c>
      <c r="U170" s="59" t="inlineStr">
        <is>
          <t>Chỉ lắp nội thất trong nhà, không chịu được nắng mưa ngoài trời hay lực chống trộm mạnh</t>
        </is>
      </c>
      <c r="V170" s="59" t="inlineStr">
        <is>
          <t>✗</t>
        </is>
      </c>
      <c r="W170" s="59" t="inlineStr">
        <is>
          <t>✗</t>
        </is>
      </c>
      <c r="X170" s="59" t="inlineStr">
        <is>
          <t>✓</t>
        </is>
      </c>
      <c r="Y170" s="59" t="inlineStr">
        <is>
          <t>✓</t>
        </is>
      </c>
      <c r="Z170" s="59" t="inlineStr">
        <is>
          <t>Hoàn thành</t>
        </is>
      </c>
      <c r="AA170" s="108" t="n">
        <v>85</v>
      </c>
      <c r="AB170" s="59" t="inlineStr">
        <is>
          <t>https://nhomkinhdaiphuc.com/catalogue/catalogue-nhom-pma.html</t>
        </is>
      </c>
      <c r="AC170" s="59" t="inlineStr">
        <is>
          <t>https://nhomkinhdaiphuc.com/catalogue/catalogue-nhom-pma-9.html</t>
        </is>
      </c>
      <c r="AD170" s="59" t="inlineStr"/>
    </row>
    <row r="171" ht="35" customHeight="1">
      <c r="A171" s="59" t="inlineStr">
        <is>
          <t>KO-002</t>
        </is>
      </c>
      <c r="B171" s="59" t="inlineStr">
        <is>
          <t>Nhựa ABS Hàn Quốc</t>
        </is>
      </c>
      <c r="C171" s="59" t="inlineStr">
        <is>
          <t>KOS Panel</t>
        </is>
      </c>
      <c r="D171" s="59" t="inlineStr">
        <is>
          <t>KOS</t>
        </is>
      </c>
      <c r="E171" s="59" t="inlineStr">
        <is>
          <t>Hàn Quốc/VN</t>
        </is>
      </c>
      <c r="F171" s="59" t="inlineStr">
        <is>
          <t>TCVN/Korean Standard</t>
        </is>
      </c>
      <c r="G171" s="59" t="inlineStr">
        <is>
          <t>Cửa đi thông phòng</t>
        </is>
      </c>
      <c r="H171" s="59" t="inlineStr">
        <is>
          <t>Cửa dập pano chìm nổi</t>
        </is>
      </c>
      <c r="I171" s="59" t="inlineStr">
        <is>
          <t>Tấm nhựa ABS dập pano nổi + Lõi Honeycomb</t>
        </is>
      </c>
      <c r="J171" s="59" t="inlineStr">
        <is>
          <t>Nội thất</t>
        </is>
      </c>
      <c r="K171" s="59" t="inlineStr">
        <is>
          <t>Phòng ngủ phong cách tân cổ điển, truyền thống</t>
        </is>
      </c>
      <c r="L171" s="59" t="n">
        <v>0</v>
      </c>
      <c r="M171" s="59" t="inlineStr">
        <is>
          <t>Panel đặc nhựa ABS dập pano</t>
        </is>
      </c>
      <c r="N171" s="59" t="inlineStr">
        <is>
          <t>N/A</t>
        </is>
      </c>
      <c r="O171" s="59" t="inlineStr">
        <is>
          <t>1000×2200</t>
        </is>
      </c>
      <c r="P171" s="59" t="n">
        <v>50</v>
      </c>
      <c r="Q171" s="59" t="inlineStr">
        <is>
          <t>Khóa tay gạt dài KOS &amp; bản lề lá inox SUS304</t>
        </is>
      </c>
      <c r="R171" s="59" t="inlineStr">
        <is>
          <t>Gioăng giảm chấn chèn sẵn trên khung</t>
        </is>
      </c>
      <c r="S171" s="59" t="inlineStr">
        <is>
          <t>Deco Sheet vân gỗ dập pano nghệ thuật</t>
        </is>
      </c>
      <c r="T171" s="59" t="inlineStr">
        <is>
          <t>Kiểu dáng pano cổ điển ấm cúng y hệt gỗ tự nhiên, không sợ mối mọt ẩm ngập nước</t>
        </is>
      </c>
      <c r="U171" s="59" t="inlineStr">
        <is>
          <t>Không uốn được vòm hay các ô kính dạng tròn phức tạp</t>
        </is>
      </c>
      <c r="V171" s="59" t="inlineStr">
        <is>
          <t>✗</t>
        </is>
      </c>
      <c r="W171" s="59" t="inlineStr">
        <is>
          <t>✗</t>
        </is>
      </c>
      <c r="X171" s="59" t="inlineStr">
        <is>
          <t>✓</t>
        </is>
      </c>
      <c r="Y171" s="59" t="inlineStr">
        <is>
          <t>✓</t>
        </is>
      </c>
      <c r="Z171" s="59" t="inlineStr">
        <is>
          <t>Hoàn thành</t>
        </is>
      </c>
      <c r="AA171" s="108" t="n">
        <v>85</v>
      </c>
      <c r="AB171" s="59" t="inlineStr">
        <is>
          <t>https://nhomkinhdaiphuc.com/catalogue/catalogue-nhom-pma.html</t>
        </is>
      </c>
      <c r="AC171" s="59" t="inlineStr">
        <is>
          <t>https://nhomkinhdaiphuc.com/catalogue/catalogue-nhom-pma-9.html</t>
        </is>
      </c>
      <c r="AD171" s="59" t="inlineStr"/>
    </row>
    <row r="172" ht="35" customHeight="1">
      <c r="A172" s="59" t="inlineStr">
        <is>
          <t>KO-003</t>
        </is>
      </c>
      <c r="B172" s="59" t="inlineStr">
        <is>
          <t>Nhựa ABS Hàn Quốc</t>
        </is>
      </c>
      <c r="C172" s="59" t="inlineStr">
        <is>
          <t>KOS Glass</t>
        </is>
      </c>
      <c r="D172" s="59" t="inlineStr">
        <is>
          <t>KOS</t>
        </is>
      </c>
      <c r="E172" s="59" t="inlineStr">
        <is>
          <t>Hàn Quốc/VN</t>
        </is>
      </c>
      <c r="F172" s="59" t="inlineStr">
        <is>
          <t>TCVN/Korean Standard</t>
        </is>
      </c>
      <c r="G172" s="59" t="inlineStr">
        <is>
          <t>Cửa đi toilet/phòng tắm</t>
        </is>
      </c>
      <c r="H172" s="59" t="inlineStr">
        <is>
          <t>Cửa phẳng kết hợp ô kính mờ</t>
        </is>
      </c>
      <c r="I172" s="59" t="inlineStr">
        <is>
          <t>Tấm nhựa ABS kết hợp ô nẹp kính lấy sáng</t>
        </is>
      </c>
      <c r="J172" s="59" t="inlineStr">
        <is>
          <t>Nội thất ẩm ướt</t>
        </is>
      </c>
      <c r="K172" s="59" t="inlineStr">
        <is>
          <t>Toilet chung cư, phòng tắm biệt thự, phòng ngủ có ô quan sát</t>
        </is>
      </c>
      <c r="L172" s="59" t="n">
        <v>0</v>
      </c>
      <c r="M172" s="59" t="inlineStr">
        <is>
          <t>Kính cường lực mờ 5-8mm</t>
        </is>
      </c>
      <c r="N172" s="59" t="inlineStr">
        <is>
          <t>8mm</t>
        </is>
      </c>
      <c r="O172" s="59" t="inlineStr">
        <is>
          <t>1000×2200</t>
        </is>
      </c>
      <c r="P172" s="59" t="n">
        <v>50</v>
      </c>
      <c r="Q172" s="59" t="inlineStr">
        <is>
          <t>Kính mờ và khóa tròn toilet KOS</t>
        </is>
      </c>
      <c r="R172" s="59" t="inlineStr">
        <is>
          <t>Gioăng nẹp kính mút mềm / Silicon nội thất</t>
        </is>
      </c>
      <c r="S172" s="59" t="inlineStr">
        <is>
          <t>Deco Sheet kết hợp ô kính lấy sáng</t>
        </is>
      </c>
      <c r="T172" s="59" t="inlineStr">
        <is>
          <t>Lấy sáng tự nhiên rất tốt, chống dột tràn nước toilet hoàn hảo, chống mốc mọt</t>
        </is>
      </c>
      <c r="U172" s="59" t="inlineStr">
        <is>
          <t>Cách âm kém hơn do ghép ô kính</t>
        </is>
      </c>
      <c r="V172" s="59" t="inlineStr">
        <is>
          <t>✗</t>
        </is>
      </c>
      <c r="W172" s="59" t="inlineStr">
        <is>
          <t>✗</t>
        </is>
      </c>
      <c r="X172" s="59" t="inlineStr">
        <is>
          <t>✓</t>
        </is>
      </c>
      <c r="Y172" s="59" t="inlineStr">
        <is>
          <t>✓</t>
        </is>
      </c>
      <c r="Z172" s="59" t="inlineStr">
        <is>
          <t>Hoàn thành</t>
        </is>
      </c>
      <c r="AA172" s="108" t="n">
        <v>85</v>
      </c>
      <c r="AB172" s="59" t="inlineStr">
        <is>
          <t>https://nhomkinhdaiphuc.com/catalogue/catalogue-nhom-pma.html</t>
        </is>
      </c>
      <c r="AC172" s="59" t="inlineStr">
        <is>
          <t>https://nhomkinhdaiphuc.com/catalogue/catalogue-nhom-pma-9.html</t>
        </is>
      </c>
      <c r="AD172" s="59" t="inlineStr"/>
    </row>
    <row r="173" ht="35" customHeight="1">
      <c r="A173" s="59" t="inlineStr">
        <is>
          <t>KO-004</t>
        </is>
      </c>
      <c r="B173" s="59" t="inlineStr">
        <is>
          <t>Nhựa ABS Hàn Quốc</t>
        </is>
      </c>
      <c r="C173" s="59" t="inlineStr">
        <is>
          <t>KOS Line</t>
        </is>
      </c>
      <c r="D173" s="59" t="inlineStr">
        <is>
          <t>KOS</t>
        </is>
      </c>
      <c r="E173" s="59" t="inlineStr">
        <is>
          <t>Hàn Quốc/VN</t>
        </is>
      </c>
      <c r="F173" s="59" t="inlineStr">
        <is>
          <t>TCVN/Korean Standard</t>
        </is>
      </c>
      <c r="G173" s="59" t="inlineStr">
        <is>
          <t>Cửa đi thông phòng</t>
        </is>
      </c>
      <c r="H173" s="59" t="inlineStr">
        <is>
          <t>Cửa phẳng chạy chỉ trang trí nhôm</t>
        </is>
      </c>
      <c r="I173" s="59" t="inlineStr">
        <is>
          <t>Tấm nhựa ABS phẳng chạy phay rãnh nẹp chỉ nhôm</t>
        </is>
      </c>
      <c r="J173" s="59" t="inlineStr">
        <is>
          <t>Nội thất hiện đại</t>
        </is>
      </c>
      <c r="K173" s="59" t="inlineStr">
        <is>
          <t>Thông phòng chung cư, phòng làm việc hiện đại</t>
        </is>
      </c>
      <c r="L173" s="59" t="n">
        <v>0</v>
      </c>
      <c r="M173" s="59" t="inlineStr">
        <is>
          <t>Panel đặc chạy chỉ trang trí</t>
        </is>
      </c>
      <c r="N173" s="59" t="inlineStr">
        <is>
          <t>N/A</t>
        </is>
      </c>
      <c r="O173" s="59" t="inlineStr">
        <is>
          <t>1000×2200</t>
        </is>
      </c>
      <c r="P173" s="59" t="n">
        <v>50</v>
      </c>
      <c r="Q173" s="59" t="inlineStr">
        <is>
          <t>Khóa tay gạt dài / Khóa điện tử vân tay + Chỉ nhôm</t>
        </is>
      </c>
      <c r="R173" s="59" t="inlineStr">
        <is>
          <t>Gioăng giảm chấn / Silicon nội thất</t>
        </is>
      </c>
      <c r="S173" s="59" t="inlineStr">
        <is>
          <t>Deco Sheet vân gỗ chạy chỉ nhôm bạc/vàng nổi bật</t>
        </is>
      </c>
      <c r="T173" s="59" t="inlineStr">
        <is>
          <t>Điểm nhấn chỉ nhôm bạc hoặc vàng vô cùng sang trọng cá tính hiện đại, tương thích tốt khóa điện tử</t>
        </is>
      </c>
      <c r="U173" s="59" t="inlineStr">
        <is>
          <t>Giá thành thanh nẹp gia công cao hơn cửa phẳng thường</t>
        </is>
      </c>
      <c r="V173" s="59" t="inlineStr">
        <is>
          <t>✗</t>
        </is>
      </c>
      <c r="W173" s="59" t="inlineStr">
        <is>
          <t>✗</t>
        </is>
      </c>
      <c r="X173" s="59" t="inlineStr">
        <is>
          <t>✓</t>
        </is>
      </c>
      <c r="Y173" s="59" t="inlineStr">
        <is>
          <t>✓</t>
        </is>
      </c>
      <c r="Z173" s="59" t="inlineStr">
        <is>
          <t>Hoàn thành</t>
        </is>
      </c>
      <c r="AA173" s="108" t="n">
        <v>85</v>
      </c>
      <c r="AB173" s="59" t="inlineStr">
        <is>
          <t>https://nhomkinhdaiphuc.com/catalogue/catalogue-nhom-pma.html</t>
        </is>
      </c>
      <c r="AC173" s="59" t="inlineStr">
        <is>
          <t>https://nhomkinhdaiphuc.com/catalogue/catalogue-nhom-pma-9.html</t>
        </is>
      </c>
      <c r="AD173" s="59" t="inlineStr"/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109" t="inlineStr">
        <is>
          <t>BẢNG TỔNG QUAN SỐ LƯỢNG HỆ THEO TỪNG HÃNG SẢN XUẤT</t>
        </is>
      </c>
    </row>
    <row r="2" ht="20" customHeight="1"/>
    <row r="4" ht="30" customHeight="1">
      <c r="A4" s="110" t="inlineStr">
        <is>
          <t>Hãng</t>
        </is>
      </c>
      <c r="B4" s="110" t="inlineStr">
        <is>
          <t>Số Hệ</t>
        </is>
      </c>
      <c r="C4" s="110" t="inlineStr">
        <is>
          <t>Cửa Đi</t>
        </is>
      </c>
      <c r="D4" s="110" t="inlineStr">
        <is>
          <t>Cửa Sổ</t>
        </is>
      </c>
      <c r="E4" s="110" t="inlineStr">
        <is>
          <t>Hệ Slim</t>
        </is>
      </c>
      <c r="F4" s="110" t="inlineStr">
        <is>
          <t>Hệ Thermal</t>
        </is>
      </c>
      <c r="G4" s="110" t="inlineStr">
        <is>
          <t>Vách / Mặt Dựng</t>
        </is>
      </c>
      <c r="H4" s="110" t="inlineStr">
        <is>
          <t>Lan Can</t>
        </is>
      </c>
    </row>
    <row r="5" ht="25" customHeight="1">
      <c r="A5" s="111" t="inlineStr">
        <is>
          <t>Civro</t>
        </is>
      </c>
      <c r="B5" s="112">
        <f>COUNTIF('01_MASTER_DATABASE'!$D$2:$D$500, A5)</f>
        <v/>
      </c>
      <c r="C5" s="112">
        <f>COUNTIFS('01_MASTER_DATABASE'!$D$2:$D$500, A5, '01_MASTER_DATABASE'!$G$2:$G$500, "*Cửa đi*")</f>
        <v/>
      </c>
      <c r="D5" s="112">
        <f>COUNTIFS('01_MASTER_DATABASE'!$D$2:$D$500, A5, '01_MASTER_DATABASE'!$G$2:$G$500, "*Cửa sổ*")</f>
        <v/>
      </c>
      <c r="E5" s="112">
        <f>COUNTIFS('01_MASTER_DATABASE'!$D$2:$D$500, A5, '01_MASTER_DATABASE'!$B$2:$B$500, "*Slim*")</f>
        <v/>
      </c>
      <c r="F5" s="112">
        <f>COUNTIFS('01_MASTER_DATABASE'!$D$2:$D$500, A5, '01_MASTER_DATABASE'!$B$2:$B$500, "*Thermal*") + COUNTIFS('01_MASTER_DATABASE'!$D$2:$D$500, A5, '01_MASTER_DATABASE'!$B$2:$B$500, "*cầu*")</f>
        <v/>
      </c>
      <c r="G5" s="112">
        <f>COUNTIFS('01_MASTER_DATABASE'!$D$2:$D$500, A5, '01_MASTER_DATABASE'!$G$2:$G$500, "*mặt dựng*") + COUNTIFS('01_MASTER_DATABASE'!$D$2:$D$500, A5, '01_MASTER_DATABASE'!$G$2:$G$500, "*vách*")</f>
        <v/>
      </c>
      <c r="H5" s="112">
        <f>COUNTIFS('01_MASTER_DATABASE'!$D$2:$D$500, A5, '01_MASTER_DATABASE'!$G$2:$G$500, "*lan can*")</f>
        <v/>
      </c>
    </row>
    <row r="6" ht="25" customHeight="1">
      <c r="A6" s="111" t="inlineStr">
        <is>
          <t>Civro/Maxpro/Soco</t>
        </is>
      </c>
      <c r="B6" s="112">
        <f>COUNTIF('01_MASTER_DATABASE'!$D$2:$D$500, A6)</f>
        <v/>
      </c>
      <c r="C6" s="112">
        <f>COUNTIFS('01_MASTER_DATABASE'!$D$2:$D$500, A6, '01_MASTER_DATABASE'!$G$2:$G$500, "*Cửa đi*")</f>
        <v/>
      </c>
      <c r="D6" s="112">
        <f>COUNTIFS('01_MASTER_DATABASE'!$D$2:$D$500, A6, '01_MASTER_DATABASE'!$G$2:$G$500, "*Cửa sổ*")</f>
        <v/>
      </c>
      <c r="E6" s="112">
        <f>COUNTIFS('01_MASTER_DATABASE'!$D$2:$D$500, A6, '01_MASTER_DATABASE'!$B$2:$B$500, "*Slim*")</f>
        <v/>
      </c>
      <c r="F6" s="112">
        <f>COUNTIFS('01_MASTER_DATABASE'!$D$2:$D$500, A6, '01_MASTER_DATABASE'!$B$2:$B$500, "*Thermal*") + COUNTIFS('01_MASTER_DATABASE'!$D$2:$D$500, A6, '01_MASTER_DATABASE'!$B$2:$B$500, "*cầu*")</f>
        <v/>
      </c>
      <c r="G6" s="112">
        <f>COUNTIFS('01_MASTER_DATABASE'!$D$2:$D$500, A6, '01_MASTER_DATABASE'!$G$2:$G$500, "*mặt dựng*") + COUNTIFS('01_MASTER_DATABASE'!$D$2:$D$500, A6, '01_MASTER_DATABASE'!$G$2:$G$500, "*vách*")</f>
        <v/>
      </c>
      <c r="H6" s="112">
        <f>COUNTIFS('01_MASTER_DATABASE'!$D$2:$D$500, A6, '01_MASTER_DATABASE'!$G$2:$G$500, "*lan can*")</f>
        <v/>
      </c>
    </row>
    <row r="7" ht="25" customHeight="1">
      <c r="A7" s="111" t="inlineStr">
        <is>
          <t>Civro/Owin/Local</t>
        </is>
      </c>
      <c r="B7" s="112">
        <f>COUNTIF('01_MASTER_DATABASE'!$D$2:$D$500, A7)</f>
        <v/>
      </c>
      <c r="C7" s="112">
        <f>COUNTIFS('01_MASTER_DATABASE'!$D$2:$D$500, A7, '01_MASTER_DATABASE'!$G$2:$G$500, "*Cửa đi*")</f>
        <v/>
      </c>
      <c r="D7" s="112">
        <f>COUNTIFS('01_MASTER_DATABASE'!$D$2:$D$500, A7, '01_MASTER_DATABASE'!$G$2:$G$500, "*Cửa sổ*")</f>
        <v/>
      </c>
      <c r="E7" s="112">
        <f>COUNTIFS('01_MASTER_DATABASE'!$D$2:$D$500, A7, '01_MASTER_DATABASE'!$B$2:$B$500, "*Slim*")</f>
        <v/>
      </c>
      <c r="F7" s="112">
        <f>COUNTIFS('01_MASTER_DATABASE'!$D$2:$D$500, A7, '01_MASTER_DATABASE'!$B$2:$B$500, "*Thermal*") + COUNTIFS('01_MASTER_DATABASE'!$D$2:$D$500, A7, '01_MASTER_DATABASE'!$B$2:$B$500, "*cầu*")</f>
        <v/>
      </c>
      <c r="G7" s="112">
        <f>COUNTIFS('01_MASTER_DATABASE'!$D$2:$D$500, A7, '01_MASTER_DATABASE'!$G$2:$G$500, "*mặt dựng*") + COUNTIFS('01_MASTER_DATABASE'!$D$2:$D$500, A7, '01_MASTER_DATABASE'!$G$2:$G$500, "*vách*")</f>
        <v/>
      </c>
      <c r="H7" s="112">
        <f>COUNTIFS('01_MASTER_DATABASE'!$D$2:$D$500, A7, '01_MASTER_DATABASE'!$G$2:$G$500, "*lan can*")</f>
        <v/>
      </c>
    </row>
    <row r="8" ht="25" customHeight="1">
      <c r="A8" s="111" t="inlineStr">
        <is>
          <t>Civro/PAG/Schüco</t>
        </is>
      </c>
      <c r="B8" s="112">
        <f>COUNTIF('01_MASTER_DATABASE'!$D$2:$D$500, A8)</f>
        <v/>
      </c>
      <c r="C8" s="112">
        <f>COUNTIFS('01_MASTER_DATABASE'!$D$2:$D$500, A8, '01_MASTER_DATABASE'!$G$2:$G$500, "*Cửa đi*")</f>
        <v/>
      </c>
      <c r="D8" s="112">
        <f>COUNTIFS('01_MASTER_DATABASE'!$D$2:$D$500, A8, '01_MASTER_DATABASE'!$G$2:$G$500, "*Cửa sổ*")</f>
        <v/>
      </c>
      <c r="E8" s="112">
        <f>COUNTIFS('01_MASTER_DATABASE'!$D$2:$D$500, A8, '01_MASTER_DATABASE'!$B$2:$B$500, "*Slim*")</f>
        <v/>
      </c>
      <c r="F8" s="112">
        <f>COUNTIFS('01_MASTER_DATABASE'!$D$2:$D$500, A8, '01_MASTER_DATABASE'!$B$2:$B$500, "*Thermal*") + COUNTIFS('01_MASTER_DATABASE'!$D$2:$D$500, A8, '01_MASTER_DATABASE'!$B$2:$B$500, "*cầu*")</f>
        <v/>
      </c>
      <c r="G8" s="112">
        <f>COUNTIFS('01_MASTER_DATABASE'!$D$2:$D$500, A8, '01_MASTER_DATABASE'!$G$2:$G$500, "*mặt dựng*") + COUNTIFS('01_MASTER_DATABASE'!$D$2:$D$500, A8, '01_MASTER_DATABASE'!$G$2:$G$500, "*vách*")</f>
        <v/>
      </c>
      <c r="H8" s="112">
        <f>COUNTIFS('01_MASTER_DATABASE'!$D$2:$D$500, A8, '01_MASTER_DATABASE'!$G$2:$G$500, "*lan can*")</f>
        <v/>
      </c>
    </row>
    <row r="9" ht="25" customHeight="1">
      <c r="A9" s="111" t="inlineStr">
        <is>
          <t>Các hãng</t>
        </is>
      </c>
      <c r="B9" s="112">
        <f>COUNTIF('01_MASTER_DATABASE'!$D$2:$D$500, A9)</f>
        <v/>
      </c>
      <c r="C9" s="112">
        <f>COUNTIFS('01_MASTER_DATABASE'!$D$2:$D$500, A9, '01_MASTER_DATABASE'!$G$2:$G$500, "*Cửa đi*")</f>
        <v/>
      </c>
      <c r="D9" s="112">
        <f>COUNTIFS('01_MASTER_DATABASE'!$D$2:$D$500, A9, '01_MASTER_DATABASE'!$G$2:$G$500, "*Cửa sổ*")</f>
        <v/>
      </c>
      <c r="E9" s="112">
        <f>COUNTIFS('01_MASTER_DATABASE'!$D$2:$D$500, A9, '01_MASTER_DATABASE'!$B$2:$B$500, "*Slim*")</f>
        <v/>
      </c>
      <c r="F9" s="112">
        <f>COUNTIFS('01_MASTER_DATABASE'!$D$2:$D$500, A9, '01_MASTER_DATABASE'!$B$2:$B$500, "*Thermal*") + COUNTIFS('01_MASTER_DATABASE'!$D$2:$D$500, A9, '01_MASTER_DATABASE'!$B$2:$B$500, "*cầu*")</f>
        <v/>
      </c>
      <c r="G9" s="112">
        <f>COUNTIFS('01_MASTER_DATABASE'!$D$2:$D$500, A9, '01_MASTER_DATABASE'!$G$2:$G$500, "*mặt dựng*") + COUNTIFS('01_MASTER_DATABASE'!$D$2:$D$500, A9, '01_MASTER_DATABASE'!$G$2:$G$500, "*vách*")</f>
        <v/>
      </c>
      <c r="H9" s="112">
        <f>COUNTIFS('01_MASTER_DATABASE'!$D$2:$D$500, A9, '01_MASTER_DATABASE'!$G$2:$G$500, "*lan can*")</f>
        <v/>
      </c>
    </row>
    <row r="10" ht="25" customHeight="1">
      <c r="A10" s="111" t="inlineStr">
        <is>
          <t>Dorma/Besam/Local</t>
        </is>
      </c>
      <c r="B10" s="112">
        <f>COUNTIF('01_MASTER_DATABASE'!$D$2:$D$500, A10)</f>
        <v/>
      </c>
      <c r="C10" s="112">
        <f>COUNTIFS('01_MASTER_DATABASE'!$D$2:$D$500, A10, '01_MASTER_DATABASE'!$G$2:$G$500, "*Cửa đi*")</f>
        <v/>
      </c>
      <c r="D10" s="112">
        <f>COUNTIFS('01_MASTER_DATABASE'!$D$2:$D$500, A10, '01_MASTER_DATABASE'!$G$2:$G$500, "*Cửa sổ*")</f>
        <v/>
      </c>
      <c r="E10" s="112">
        <f>COUNTIFS('01_MASTER_DATABASE'!$D$2:$D$500, A10, '01_MASTER_DATABASE'!$B$2:$B$500, "*Slim*")</f>
        <v/>
      </c>
      <c r="F10" s="112">
        <f>COUNTIFS('01_MASTER_DATABASE'!$D$2:$D$500, A10, '01_MASTER_DATABASE'!$B$2:$B$500, "*Thermal*") + COUNTIFS('01_MASTER_DATABASE'!$D$2:$D$500, A10, '01_MASTER_DATABASE'!$B$2:$B$500, "*cầu*")</f>
        <v/>
      </c>
      <c r="G10" s="112">
        <f>COUNTIFS('01_MASTER_DATABASE'!$D$2:$D$500, A10, '01_MASTER_DATABASE'!$G$2:$G$500, "*mặt dựng*") + COUNTIFS('01_MASTER_DATABASE'!$D$2:$D$500, A10, '01_MASTER_DATABASE'!$G$2:$G$500, "*vách*")</f>
        <v/>
      </c>
      <c r="H10" s="112">
        <f>COUNTIFS('01_MASTER_DATABASE'!$D$2:$D$500, A10, '01_MASTER_DATABASE'!$G$2:$G$500, "*lan can*")</f>
        <v/>
      </c>
    </row>
    <row r="11" ht="25" customHeight="1">
      <c r="A11" s="111" t="inlineStr">
        <is>
          <t>EuroVN</t>
        </is>
      </c>
      <c r="B11" s="112">
        <f>COUNTIF('01_MASTER_DATABASE'!$D$2:$D$500, A11)</f>
        <v/>
      </c>
      <c r="C11" s="112">
        <f>COUNTIFS('01_MASTER_DATABASE'!$D$2:$D$500, A11, '01_MASTER_DATABASE'!$G$2:$G$500, "*Cửa đi*")</f>
        <v/>
      </c>
      <c r="D11" s="112">
        <f>COUNTIFS('01_MASTER_DATABASE'!$D$2:$D$500, A11, '01_MASTER_DATABASE'!$G$2:$G$500, "*Cửa sổ*")</f>
        <v/>
      </c>
      <c r="E11" s="112">
        <f>COUNTIFS('01_MASTER_DATABASE'!$D$2:$D$500, A11, '01_MASTER_DATABASE'!$B$2:$B$500, "*Slim*")</f>
        <v/>
      </c>
      <c r="F11" s="112">
        <f>COUNTIFS('01_MASTER_DATABASE'!$D$2:$D$500, A11, '01_MASTER_DATABASE'!$B$2:$B$500, "*Thermal*") + COUNTIFS('01_MASTER_DATABASE'!$D$2:$D$500, A11, '01_MASTER_DATABASE'!$B$2:$B$500, "*cầu*")</f>
        <v/>
      </c>
      <c r="G11" s="112">
        <f>COUNTIFS('01_MASTER_DATABASE'!$D$2:$D$500, A11, '01_MASTER_DATABASE'!$G$2:$G$500, "*mặt dựng*") + COUNTIFS('01_MASTER_DATABASE'!$D$2:$D$500, A11, '01_MASTER_DATABASE'!$G$2:$G$500, "*vách*")</f>
        <v/>
      </c>
      <c r="H11" s="112">
        <f>COUNTIFS('01_MASTER_DATABASE'!$D$2:$D$500, A11, '01_MASTER_DATABASE'!$G$2:$G$500, "*lan can*")</f>
        <v/>
      </c>
    </row>
    <row r="12" ht="25" customHeight="1">
      <c r="A12" s="111" t="inlineStr">
        <is>
          <t>Eurowindow</t>
        </is>
      </c>
      <c r="B12" s="112">
        <f>COUNTIF('01_MASTER_DATABASE'!$D$2:$D$500, A12)</f>
        <v/>
      </c>
      <c r="C12" s="112">
        <f>COUNTIFS('01_MASTER_DATABASE'!$D$2:$D$500, A12, '01_MASTER_DATABASE'!$G$2:$G$500, "*Cửa đi*")</f>
        <v/>
      </c>
      <c r="D12" s="112">
        <f>COUNTIFS('01_MASTER_DATABASE'!$D$2:$D$500, A12, '01_MASTER_DATABASE'!$G$2:$G$500, "*Cửa sổ*")</f>
        <v/>
      </c>
      <c r="E12" s="112">
        <f>COUNTIFS('01_MASTER_DATABASE'!$D$2:$D$500, A12, '01_MASTER_DATABASE'!$B$2:$B$500, "*Slim*")</f>
        <v/>
      </c>
      <c r="F12" s="112">
        <f>COUNTIFS('01_MASTER_DATABASE'!$D$2:$D$500, A12, '01_MASTER_DATABASE'!$B$2:$B$500, "*Thermal*") + COUNTIFS('01_MASTER_DATABASE'!$D$2:$D$500, A12, '01_MASTER_DATABASE'!$B$2:$B$500, "*cầu*")</f>
        <v/>
      </c>
      <c r="G12" s="112">
        <f>COUNTIFS('01_MASTER_DATABASE'!$D$2:$D$500, A12, '01_MASTER_DATABASE'!$G$2:$G$500, "*mặt dựng*") + COUNTIFS('01_MASTER_DATABASE'!$D$2:$D$500, A12, '01_MASTER_DATABASE'!$G$2:$G$500, "*vách*")</f>
        <v/>
      </c>
      <c r="H12" s="112">
        <f>COUNTIFS('01_MASTER_DATABASE'!$D$2:$D$500, A12, '01_MASTER_DATABASE'!$G$2:$G$500, "*lan can*")</f>
        <v/>
      </c>
    </row>
    <row r="13" ht="25" customHeight="1">
      <c r="A13" s="111" t="inlineStr">
        <is>
          <t>Hondalex</t>
        </is>
      </c>
      <c r="B13" s="112">
        <f>COUNTIF('01_MASTER_DATABASE'!$D$2:$D$500, A13)</f>
        <v/>
      </c>
      <c r="C13" s="112">
        <f>COUNTIFS('01_MASTER_DATABASE'!$D$2:$D$500, A13, '01_MASTER_DATABASE'!$G$2:$G$500, "*Cửa đi*")</f>
        <v/>
      </c>
      <c r="D13" s="112">
        <f>COUNTIFS('01_MASTER_DATABASE'!$D$2:$D$500, A13, '01_MASTER_DATABASE'!$G$2:$G$500, "*Cửa sổ*")</f>
        <v/>
      </c>
      <c r="E13" s="112">
        <f>COUNTIFS('01_MASTER_DATABASE'!$D$2:$D$500, A13, '01_MASTER_DATABASE'!$B$2:$B$500, "*Slim*")</f>
        <v/>
      </c>
      <c r="F13" s="112">
        <f>COUNTIFS('01_MASTER_DATABASE'!$D$2:$D$500, A13, '01_MASTER_DATABASE'!$B$2:$B$500, "*Thermal*") + COUNTIFS('01_MASTER_DATABASE'!$D$2:$D$500, A13, '01_MASTER_DATABASE'!$B$2:$B$500, "*cầu*")</f>
        <v/>
      </c>
      <c r="G13" s="112">
        <f>COUNTIFS('01_MASTER_DATABASE'!$D$2:$D$500, A13, '01_MASTER_DATABASE'!$G$2:$G$500, "*mặt dựng*") + COUNTIFS('01_MASTER_DATABASE'!$D$2:$D$500, A13, '01_MASTER_DATABASE'!$G$2:$G$500, "*vách*")</f>
        <v/>
      </c>
      <c r="H13" s="112">
        <f>COUNTIFS('01_MASTER_DATABASE'!$D$2:$D$500, A13, '01_MASTER_DATABASE'!$G$2:$G$500, "*lan can*")</f>
        <v/>
      </c>
    </row>
    <row r="14" ht="25" customHeight="1">
      <c r="A14" s="111" t="inlineStr">
        <is>
          <t>Hệ PCCC</t>
        </is>
      </c>
      <c r="B14" s="112">
        <f>COUNTIF('01_MASTER_DATABASE'!$D$2:$D$500, A14)</f>
        <v/>
      </c>
      <c r="C14" s="112">
        <f>COUNTIFS('01_MASTER_DATABASE'!$D$2:$D$500, A14, '01_MASTER_DATABASE'!$G$2:$G$500, "*Cửa đi*")</f>
        <v/>
      </c>
      <c r="D14" s="112">
        <f>COUNTIFS('01_MASTER_DATABASE'!$D$2:$D$500, A14, '01_MASTER_DATABASE'!$G$2:$G$500, "*Cửa sổ*")</f>
        <v/>
      </c>
      <c r="E14" s="112">
        <f>COUNTIFS('01_MASTER_DATABASE'!$D$2:$D$500, A14, '01_MASTER_DATABASE'!$B$2:$B$500, "*Slim*")</f>
        <v/>
      </c>
      <c r="F14" s="112">
        <f>COUNTIFS('01_MASTER_DATABASE'!$D$2:$D$500, A14, '01_MASTER_DATABASE'!$B$2:$B$500, "*Thermal*") + COUNTIFS('01_MASTER_DATABASE'!$D$2:$D$500, A14, '01_MASTER_DATABASE'!$B$2:$B$500, "*cầu*")</f>
        <v/>
      </c>
      <c r="G14" s="112">
        <f>COUNTIFS('01_MASTER_DATABASE'!$D$2:$D$500, A14, '01_MASTER_DATABASE'!$G$2:$G$500, "*mặt dựng*") + COUNTIFS('01_MASTER_DATABASE'!$D$2:$D$500, A14, '01_MASTER_DATABASE'!$G$2:$G$500, "*vách*")</f>
        <v/>
      </c>
      <c r="H14" s="112">
        <f>COUNTIFS('01_MASTER_DATABASE'!$D$2:$D$500, A14, '01_MASTER_DATABASE'!$G$2:$G$500, "*lan can*")</f>
        <v/>
      </c>
    </row>
    <row r="15" ht="25" customHeight="1">
      <c r="A15" s="111" t="inlineStr">
        <is>
          <t>Hệ Smart</t>
        </is>
      </c>
      <c r="B15" s="112">
        <f>COUNTIF('01_MASTER_DATABASE'!$D$2:$D$500, A15)</f>
        <v/>
      </c>
      <c r="C15" s="112">
        <f>COUNTIFS('01_MASTER_DATABASE'!$D$2:$D$500, A15, '01_MASTER_DATABASE'!$G$2:$G$500, "*Cửa đi*")</f>
        <v/>
      </c>
      <c r="D15" s="112">
        <f>COUNTIFS('01_MASTER_DATABASE'!$D$2:$D$500, A15, '01_MASTER_DATABASE'!$G$2:$G$500, "*Cửa sổ*")</f>
        <v/>
      </c>
      <c r="E15" s="112">
        <f>COUNTIFS('01_MASTER_DATABASE'!$D$2:$D$500, A15, '01_MASTER_DATABASE'!$B$2:$B$500, "*Slim*")</f>
        <v/>
      </c>
      <c r="F15" s="112">
        <f>COUNTIFS('01_MASTER_DATABASE'!$D$2:$D$500, A15, '01_MASTER_DATABASE'!$B$2:$B$500, "*Thermal*") + COUNTIFS('01_MASTER_DATABASE'!$D$2:$D$500, A15, '01_MASTER_DATABASE'!$B$2:$B$500, "*cầu*")</f>
        <v/>
      </c>
      <c r="G15" s="112">
        <f>COUNTIFS('01_MASTER_DATABASE'!$D$2:$D$500, A15, '01_MASTER_DATABASE'!$G$2:$G$500, "*mặt dựng*") + COUNTIFS('01_MASTER_DATABASE'!$D$2:$D$500, A15, '01_MASTER_DATABASE'!$G$2:$G$500, "*vách*")</f>
        <v/>
      </c>
      <c r="H15" s="112">
        <f>COUNTIFS('01_MASTER_DATABASE'!$D$2:$D$500, A15, '01_MASTER_DATABASE'!$G$2:$G$500, "*lan can*")</f>
        <v/>
      </c>
    </row>
    <row r="16" ht="25" customHeight="1">
      <c r="A16" s="111" t="inlineStr">
        <is>
          <t>Hệ chuyên dụng</t>
        </is>
      </c>
      <c r="B16" s="112">
        <f>COUNTIF('01_MASTER_DATABASE'!$D$2:$D$500, A16)</f>
        <v/>
      </c>
      <c r="C16" s="112">
        <f>COUNTIFS('01_MASTER_DATABASE'!$D$2:$D$500, A16, '01_MASTER_DATABASE'!$G$2:$G$500, "*Cửa đi*")</f>
        <v/>
      </c>
      <c r="D16" s="112">
        <f>COUNTIFS('01_MASTER_DATABASE'!$D$2:$D$500, A16, '01_MASTER_DATABASE'!$G$2:$G$500, "*Cửa sổ*")</f>
        <v/>
      </c>
      <c r="E16" s="112">
        <f>COUNTIFS('01_MASTER_DATABASE'!$D$2:$D$500, A16, '01_MASTER_DATABASE'!$B$2:$B$500, "*Slim*")</f>
        <v/>
      </c>
      <c r="F16" s="112">
        <f>COUNTIFS('01_MASTER_DATABASE'!$D$2:$D$500, A16, '01_MASTER_DATABASE'!$B$2:$B$500, "*Thermal*") + COUNTIFS('01_MASTER_DATABASE'!$D$2:$D$500, A16, '01_MASTER_DATABASE'!$B$2:$B$500, "*cầu*")</f>
        <v/>
      </c>
      <c r="G16" s="112">
        <f>COUNTIFS('01_MASTER_DATABASE'!$D$2:$D$500, A16, '01_MASTER_DATABASE'!$G$2:$G$500, "*mặt dựng*") + COUNTIFS('01_MASTER_DATABASE'!$D$2:$D$500, A16, '01_MASTER_DATABASE'!$G$2:$G$500, "*vách*")</f>
        <v/>
      </c>
      <c r="H16" s="112">
        <f>COUNTIFS('01_MASTER_DATABASE'!$D$2:$D$500, A16, '01_MASTER_DATABASE'!$G$2:$G$500, "*lan can*")</f>
        <v/>
      </c>
    </row>
    <row r="17" ht="25" customHeight="1">
      <c r="A17" s="111" t="inlineStr">
        <is>
          <t>KOS</t>
        </is>
      </c>
      <c r="B17" s="112">
        <f>COUNTIF('01_MASTER_DATABASE'!$D$2:$D$500, A17)</f>
        <v/>
      </c>
      <c r="C17" s="112">
        <f>COUNTIFS('01_MASTER_DATABASE'!$D$2:$D$500, A17, '01_MASTER_DATABASE'!$G$2:$G$500, "*Cửa đi*")</f>
        <v/>
      </c>
      <c r="D17" s="112">
        <f>COUNTIFS('01_MASTER_DATABASE'!$D$2:$D$500, A17, '01_MASTER_DATABASE'!$G$2:$G$500, "*Cửa sổ*")</f>
        <v/>
      </c>
      <c r="E17" s="112">
        <f>COUNTIFS('01_MASTER_DATABASE'!$D$2:$D$500, A17, '01_MASTER_DATABASE'!$B$2:$B$500, "*Slim*")</f>
        <v/>
      </c>
      <c r="F17" s="112">
        <f>COUNTIFS('01_MASTER_DATABASE'!$D$2:$D$500, A17, '01_MASTER_DATABASE'!$B$2:$B$500, "*Thermal*") + COUNTIFS('01_MASTER_DATABASE'!$D$2:$D$500, A17, '01_MASTER_DATABASE'!$B$2:$B$500, "*cầu*")</f>
        <v/>
      </c>
      <c r="G17" s="112">
        <f>COUNTIFS('01_MASTER_DATABASE'!$D$2:$D$500, A17, '01_MASTER_DATABASE'!$G$2:$G$500, "*mặt dựng*") + COUNTIFS('01_MASTER_DATABASE'!$D$2:$D$500, A17, '01_MASTER_DATABASE'!$G$2:$G$500, "*vách*")</f>
        <v/>
      </c>
      <c r="H17" s="112">
        <f>COUNTIFS('01_MASTER_DATABASE'!$D$2:$D$500, A17, '01_MASTER_DATABASE'!$G$2:$G$500, "*lan can*")</f>
        <v/>
      </c>
    </row>
    <row r="18" ht="25" customHeight="1">
      <c r="A18" s="111" t="inlineStr">
        <is>
          <t>Kogen</t>
        </is>
      </c>
      <c r="B18" s="112">
        <f>COUNTIF('01_MASTER_DATABASE'!$D$2:$D$500, A18)</f>
        <v/>
      </c>
      <c r="C18" s="112">
        <f>COUNTIFS('01_MASTER_DATABASE'!$D$2:$D$500, A18, '01_MASTER_DATABASE'!$G$2:$G$500, "*Cửa đi*")</f>
        <v/>
      </c>
      <c r="D18" s="112">
        <f>COUNTIFS('01_MASTER_DATABASE'!$D$2:$D$500, A18, '01_MASTER_DATABASE'!$G$2:$G$500, "*Cửa sổ*")</f>
        <v/>
      </c>
      <c r="E18" s="112">
        <f>COUNTIFS('01_MASTER_DATABASE'!$D$2:$D$500, A18, '01_MASTER_DATABASE'!$B$2:$B$500, "*Slim*")</f>
        <v/>
      </c>
      <c r="F18" s="112">
        <f>COUNTIFS('01_MASTER_DATABASE'!$D$2:$D$500, A18, '01_MASTER_DATABASE'!$B$2:$B$500, "*Thermal*") + COUNTIFS('01_MASTER_DATABASE'!$D$2:$D$500, A18, '01_MASTER_DATABASE'!$B$2:$B$500, "*cầu*")</f>
        <v/>
      </c>
      <c r="G18" s="112">
        <f>COUNTIFS('01_MASTER_DATABASE'!$D$2:$D$500, A18, '01_MASTER_DATABASE'!$G$2:$G$500, "*mặt dựng*") + COUNTIFS('01_MASTER_DATABASE'!$D$2:$D$500, A18, '01_MASTER_DATABASE'!$G$2:$G$500, "*vách*")</f>
        <v/>
      </c>
      <c r="H18" s="112">
        <f>COUNTIFS('01_MASTER_DATABASE'!$D$2:$D$500, A18, '01_MASTER_DATABASE'!$G$2:$G$500, "*lan can*")</f>
        <v/>
      </c>
    </row>
    <row r="19" ht="25" customHeight="1">
      <c r="A19" s="111" t="inlineStr">
        <is>
          <t>Local</t>
        </is>
      </c>
      <c r="B19" s="112">
        <f>COUNTIF('01_MASTER_DATABASE'!$D$2:$D$500, A19)</f>
        <v/>
      </c>
      <c r="C19" s="112">
        <f>COUNTIFS('01_MASTER_DATABASE'!$D$2:$D$500, A19, '01_MASTER_DATABASE'!$G$2:$G$500, "*Cửa đi*")</f>
        <v/>
      </c>
      <c r="D19" s="112">
        <f>COUNTIFS('01_MASTER_DATABASE'!$D$2:$D$500, A19, '01_MASTER_DATABASE'!$G$2:$G$500, "*Cửa sổ*")</f>
        <v/>
      </c>
      <c r="E19" s="112">
        <f>COUNTIFS('01_MASTER_DATABASE'!$D$2:$D$500, A19, '01_MASTER_DATABASE'!$B$2:$B$500, "*Slim*")</f>
        <v/>
      </c>
      <c r="F19" s="112">
        <f>COUNTIFS('01_MASTER_DATABASE'!$D$2:$D$500, A19, '01_MASTER_DATABASE'!$B$2:$B$500, "*Thermal*") + COUNTIFS('01_MASTER_DATABASE'!$D$2:$D$500, A19, '01_MASTER_DATABASE'!$B$2:$B$500, "*cầu*")</f>
        <v/>
      </c>
      <c r="G19" s="112">
        <f>COUNTIFS('01_MASTER_DATABASE'!$D$2:$D$500, A19, '01_MASTER_DATABASE'!$G$2:$G$500, "*mặt dựng*") + COUNTIFS('01_MASTER_DATABASE'!$D$2:$D$500, A19, '01_MASTER_DATABASE'!$G$2:$G$500, "*vách*")</f>
        <v/>
      </c>
      <c r="H19" s="112">
        <f>COUNTIFS('01_MASTER_DATABASE'!$D$2:$D$500, A19, '01_MASTER_DATABASE'!$G$2:$G$500, "*lan can*")</f>
        <v/>
      </c>
    </row>
    <row r="20" ht="25" customHeight="1">
      <c r="A20" s="111" t="inlineStr">
        <is>
          <t>Local/Châu Âu</t>
        </is>
      </c>
      <c r="B20" s="112">
        <f>COUNTIF('01_MASTER_DATABASE'!$D$2:$D$500, A20)</f>
        <v/>
      </c>
      <c r="C20" s="112">
        <f>COUNTIFS('01_MASTER_DATABASE'!$D$2:$D$500, A20, '01_MASTER_DATABASE'!$G$2:$G$500, "*Cửa đi*")</f>
        <v/>
      </c>
      <c r="D20" s="112">
        <f>COUNTIFS('01_MASTER_DATABASE'!$D$2:$D$500, A20, '01_MASTER_DATABASE'!$G$2:$G$500, "*Cửa sổ*")</f>
        <v/>
      </c>
      <c r="E20" s="112">
        <f>COUNTIFS('01_MASTER_DATABASE'!$D$2:$D$500, A20, '01_MASTER_DATABASE'!$B$2:$B$500, "*Slim*")</f>
        <v/>
      </c>
      <c r="F20" s="112">
        <f>COUNTIFS('01_MASTER_DATABASE'!$D$2:$D$500, A20, '01_MASTER_DATABASE'!$B$2:$B$500, "*Thermal*") + COUNTIFS('01_MASTER_DATABASE'!$D$2:$D$500, A20, '01_MASTER_DATABASE'!$B$2:$B$500, "*cầu*")</f>
        <v/>
      </c>
      <c r="G20" s="112">
        <f>COUNTIFS('01_MASTER_DATABASE'!$D$2:$D$500, A20, '01_MASTER_DATABASE'!$G$2:$G$500, "*mặt dựng*") + COUNTIFS('01_MASTER_DATABASE'!$D$2:$D$500, A20, '01_MASTER_DATABASE'!$G$2:$G$500, "*vách*")</f>
        <v/>
      </c>
      <c r="H20" s="112">
        <f>COUNTIFS('01_MASTER_DATABASE'!$D$2:$D$500, A20, '01_MASTER_DATABASE'!$G$2:$G$500, "*lan can*")</f>
        <v/>
      </c>
    </row>
    <row r="21" ht="25" customHeight="1">
      <c r="A21" s="111" t="inlineStr">
        <is>
          <t>Local/Ý</t>
        </is>
      </c>
      <c r="B21" s="112">
        <f>COUNTIF('01_MASTER_DATABASE'!$D$2:$D$500, A21)</f>
        <v/>
      </c>
      <c r="C21" s="112">
        <f>COUNTIFS('01_MASTER_DATABASE'!$D$2:$D$500, A21, '01_MASTER_DATABASE'!$G$2:$G$500, "*Cửa đi*")</f>
        <v/>
      </c>
      <c r="D21" s="112">
        <f>COUNTIFS('01_MASTER_DATABASE'!$D$2:$D$500, A21, '01_MASTER_DATABASE'!$G$2:$G$500, "*Cửa sổ*")</f>
        <v/>
      </c>
      <c r="E21" s="112">
        <f>COUNTIFS('01_MASTER_DATABASE'!$D$2:$D$500, A21, '01_MASTER_DATABASE'!$B$2:$B$500, "*Slim*")</f>
        <v/>
      </c>
      <c r="F21" s="112">
        <f>COUNTIFS('01_MASTER_DATABASE'!$D$2:$D$500, A21, '01_MASTER_DATABASE'!$B$2:$B$500, "*Thermal*") + COUNTIFS('01_MASTER_DATABASE'!$D$2:$D$500, A21, '01_MASTER_DATABASE'!$B$2:$B$500, "*cầu*")</f>
        <v/>
      </c>
      <c r="G21" s="112">
        <f>COUNTIFS('01_MASTER_DATABASE'!$D$2:$D$500, A21, '01_MASTER_DATABASE'!$G$2:$G$500, "*mặt dựng*") + COUNTIFS('01_MASTER_DATABASE'!$D$2:$D$500, A21, '01_MASTER_DATABASE'!$G$2:$G$500, "*vách*")</f>
        <v/>
      </c>
      <c r="H21" s="112">
        <f>COUNTIFS('01_MASTER_DATABASE'!$D$2:$D$500, A21, '01_MASTER_DATABASE'!$G$2:$G$500, "*lan can*")</f>
        <v/>
      </c>
    </row>
    <row r="22" ht="25" customHeight="1">
      <c r="A22" s="111" t="inlineStr">
        <is>
          <t>Maxpro JP</t>
        </is>
      </c>
      <c r="B22" s="112">
        <f>COUNTIF('01_MASTER_DATABASE'!$D$2:$D$500, A22)</f>
        <v/>
      </c>
      <c r="C22" s="112">
        <f>COUNTIFS('01_MASTER_DATABASE'!$D$2:$D$500, A22, '01_MASTER_DATABASE'!$G$2:$G$500, "*Cửa đi*")</f>
        <v/>
      </c>
      <c r="D22" s="112">
        <f>COUNTIFS('01_MASTER_DATABASE'!$D$2:$D$500, A22, '01_MASTER_DATABASE'!$G$2:$G$500, "*Cửa sổ*")</f>
        <v/>
      </c>
      <c r="E22" s="112">
        <f>COUNTIFS('01_MASTER_DATABASE'!$D$2:$D$500, A22, '01_MASTER_DATABASE'!$B$2:$B$500, "*Slim*")</f>
        <v/>
      </c>
      <c r="F22" s="112">
        <f>COUNTIFS('01_MASTER_DATABASE'!$D$2:$D$500, A22, '01_MASTER_DATABASE'!$B$2:$B$500, "*Thermal*") + COUNTIFS('01_MASTER_DATABASE'!$D$2:$D$500, A22, '01_MASTER_DATABASE'!$B$2:$B$500, "*cầu*")</f>
        <v/>
      </c>
      <c r="G22" s="112">
        <f>COUNTIFS('01_MASTER_DATABASE'!$D$2:$D$500, A22, '01_MASTER_DATABASE'!$G$2:$G$500, "*mặt dựng*") + COUNTIFS('01_MASTER_DATABASE'!$D$2:$D$500, A22, '01_MASTER_DATABASE'!$G$2:$G$500, "*vách*")</f>
        <v/>
      </c>
      <c r="H22" s="112">
        <f>COUNTIFS('01_MASTER_DATABASE'!$D$2:$D$500, A22, '01_MASTER_DATABASE'!$G$2:$G$500, "*lan can*")</f>
        <v/>
      </c>
    </row>
    <row r="23" ht="25" customHeight="1">
      <c r="A23" s="111" t="inlineStr">
        <is>
          <t>Maxpro/Owin/Local</t>
        </is>
      </c>
      <c r="B23" s="112">
        <f>COUNTIF('01_MASTER_DATABASE'!$D$2:$D$500, A23)</f>
        <v/>
      </c>
      <c r="C23" s="112">
        <f>COUNTIFS('01_MASTER_DATABASE'!$D$2:$D$500, A23, '01_MASTER_DATABASE'!$G$2:$G$500, "*Cửa đi*")</f>
        <v/>
      </c>
      <c r="D23" s="112">
        <f>COUNTIFS('01_MASTER_DATABASE'!$D$2:$D$500, A23, '01_MASTER_DATABASE'!$G$2:$G$500, "*Cửa sổ*")</f>
        <v/>
      </c>
      <c r="E23" s="112">
        <f>COUNTIFS('01_MASTER_DATABASE'!$D$2:$D$500, A23, '01_MASTER_DATABASE'!$B$2:$B$500, "*Slim*")</f>
        <v/>
      </c>
      <c r="F23" s="112">
        <f>COUNTIFS('01_MASTER_DATABASE'!$D$2:$D$500, A23, '01_MASTER_DATABASE'!$B$2:$B$500, "*Thermal*") + COUNTIFS('01_MASTER_DATABASE'!$D$2:$D$500, A23, '01_MASTER_DATABASE'!$B$2:$B$500, "*cầu*")</f>
        <v/>
      </c>
      <c r="G23" s="112">
        <f>COUNTIFS('01_MASTER_DATABASE'!$D$2:$D$500, A23, '01_MASTER_DATABASE'!$G$2:$G$500, "*mặt dựng*") + COUNTIFS('01_MASTER_DATABASE'!$D$2:$D$500, A23, '01_MASTER_DATABASE'!$G$2:$G$500, "*vách*")</f>
        <v/>
      </c>
      <c r="H23" s="112">
        <f>COUNTIFS('01_MASTER_DATABASE'!$D$2:$D$500, A23, '01_MASTER_DATABASE'!$G$2:$G$500, "*lan can*")</f>
        <v/>
      </c>
    </row>
    <row r="24" ht="25" customHeight="1">
      <c r="A24" s="111" t="inlineStr">
        <is>
          <t>Nhiều hãng</t>
        </is>
      </c>
      <c r="B24" s="112">
        <f>COUNTIF('01_MASTER_DATABASE'!$D$2:$D$500, A24)</f>
        <v/>
      </c>
      <c r="C24" s="112">
        <f>COUNTIFS('01_MASTER_DATABASE'!$D$2:$D$500, A24, '01_MASTER_DATABASE'!$G$2:$G$500, "*Cửa đi*")</f>
        <v/>
      </c>
      <c r="D24" s="112">
        <f>COUNTIFS('01_MASTER_DATABASE'!$D$2:$D$500, A24, '01_MASTER_DATABASE'!$G$2:$G$500, "*Cửa sổ*")</f>
        <v/>
      </c>
      <c r="E24" s="112">
        <f>COUNTIFS('01_MASTER_DATABASE'!$D$2:$D$500, A24, '01_MASTER_DATABASE'!$B$2:$B$500, "*Slim*")</f>
        <v/>
      </c>
      <c r="F24" s="112">
        <f>COUNTIFS('01_MASTER_DATABASE'!$D$2:$D$500, A24, '01_MASTER_DATABASE'!$B$2:$B$500, "*Thermal*") + COUNTIFS('01_MASTER_DATABASE'!$D$2:$D$500, A24, '01_MASTER_DATABASE'!$B$2:$B$500, "*cầu*")</f>
        <v/>
      </c>
      <c r="G24" s="112">
        <f>COUNTIFS('01_MASTER_DATABASE'!$D$2:$D$500, A24, '01_MASTER_DATABASE'!$G$2:$G$500, "*mặt dựng*") + COUNTIFS('01_MASTER_DATABASE'!$D$2:$D$500, A24, '01_MASTER_DATABASE'!$G$2:$G$500, "*vách*")</f>
        <v/>
      </c>
      <c r="H24" s="112">
        <f>COUNTIFS('01_MASTER_DATABASE'!$D$2:$D$500, A24, '01_MASTER_DATABASE'!$G$2:$G$500, "*lan can*")</f>
        <v/>
      </c>
    </row>
    <row r="25" ht="25" customHeight="1">
      <c r="A25" s="111" t="inlineStr">
        <is>
          <t>Nhiều hãng VN</t>
        </is>
      </c>
      <c r="B25" s="112">
        <f>COUNTIF('01_MASTER_DATABASE'!$D$2:$D$500, A25)</f>
        <v/>
      </c>
      <c r="C25" s="112">
        <f>COUNTIFS('01_MASTER_DATABASE'!$D$2:$D$500, A25, '01_MASTER_DATABASE'!$G$2:$G$500, "*Cửa đi*")</f>
        <v/>
      </c>
      <c r="D25" s="112">
        <f>COUNTIFS('01_MASTER_DATABASE'!$D$2:$D$500, A25, '01_MASTER_DATABASE'!$G$2:$G$500, "*Cửa sổ*")</f>
        <v/>
      </c>
      <c r="E25" s="112">
        <f>COUNTIFS('01_MASTER_DATABASE'!$D$2:$D$500, A25, '01_MASTER_DATABASE'!$B$2:$B$500, "*Slim*")</f>
        <v/>
      </c>
      <c r="F25" s="112">
        <f>COUNTIFS('01_MASTER_DATABASE'!$D$2:$D$500, A25, '01_MASTER_DATABASE'!$B$2:$B$500, "*Thermal*") + COUNTIFS('01_MASTER_DATABASE'!$D$2:$D$500, A25, '01_MASTER_DATABASE'!$B$2:$B$500, "*cầu*")</f>
        <v/>
      </c>
      <c r="G25" s="112">
        <f>COUNTIFS('01_MASTER_DATABASE'!$D$2:$D$500, A25, '01_MASTER_DATABASE'!$G$2:$G$500, "*mặt dựng*") + COUNTIFS('01_MASTER_DATABASE'!$D$2:$D$500, A25, '01_MASTER_DATABASE'!$G$2:$G$500, "*vách*")</f>
        <v/>
      </c>
      <c r="H25" s="112">
        <f>COUNTIFS('01_MASTER_DATABASE'!$D$2:$D$500, A25, '01_MASTER_DATABASE'!$G$2:$G$500, "*lan can*")</f>
        <v/>
      </c>
    </row>
    <row r="26" ht="25" customHeight="1">
      <c r="A26" s="111" t="inlineStr">
        <is>
          <t>Nhiều nhà máy</t>
        </is>
      </c>
      <c r="B26" s="112">
        <f>COUNTIF('01_MASTER_DATABASE'!$D$2:$D$500, A26)</f>
        <v/>
      </c>
      <c r="C26" s="112">
        <f>COUNTIFS('01_MASTER_DATABASE'!$D$2:$D$500, A26, '01_MASTER_DATABASE'!$G$2:$G$500, "*Cửa đi*")</f>
        <v/>
      </c>
      <c r="D26" s="112">
        <f>COUNTIFS('01_MASTER_DATABASE'!$D$2:$D$500, A26, '01_MASTER_DATABASE'!$G$2:$G$500, "*Cửa sổ*")</f>
        <v/>
      </c>
      <c r="E26" s="112">
        <f>COUNTIFS('01_MASTER_DATABASE'!$D$2:$D$500, A26, '01_MASTER_DATABASE'!$B$2:$B$500, "*Slim*")</f>
        <v/>
      </c>
      <c r="F26" s="112">
        <f>COUNTIFS('01_MASTER_DATABASE'!$D$2:$D$500, A26, '01_MASTER_DATABASE'!$B$2:$B$500, "*Thermal*") + COUNTIFS('01_MASTER_DATABASE'!$D$2:$D$500, A26, '01_MASTER_DATABASE'!$B$2:$B$500, "*cầu*")</f>
        <v/>
      </c>
      <c r="G26" s="112">
        <f>COUNTIFS('01_MASTER_DATABASE'!$D$2:$D$500, A26, '01_MASTER_DATABASE'!$G$2:$G$500, "*mặt dựng*") + COUNTIFS('01_MASTER_DATABASE'!$D$2:$D$500, A26, '01_MASTER_DATABASE'!$G$2:$G$500, "*vách*")</f>
        <v/>
      </c>
      <c r="H26" s="112">
        <f>COUNTIFS('01_MASTER_DATABASE'!$D$2:$D$500, A26, '01_MASTER_DATABASE'!$G$2:$G$500, "*lan can*")</f>
        <v/>
      </c>
    </row>
    <row r="27" ht="25" customHeight="1">
      <c r="A27" s="111" t="inlineStr">
        <is>
          <t>Owin</t>
        </is>
      </c>
      <c r="B27" s="112">
        <f>COUNTIF('01_MASTER_DATABASE'!$D$2:$D$500, A27)</f>
        <v/>
      </c>
      <c r="C27" s="112">
        <f>COUNTIFS('01_MASTER_DATABASE'!$D$2:$D$500, A27, '01_MASTER_DATABASE'!$G$2:$G$500, "*Cửa đi*")</f>
        <v/>
      </c>
      <c r="D27" s="112">
        <f>COUNTIFS('01_MASTER_DATABASE'!$D$2:$D$500, A27, '01_MASTER_DATABASE'!$G$2:$G$500, "*Cửa sổ*")</f>
        <v/>
      </c>
      <c r="E27" s="112">
        <f>COUNTIFS('01_MASTER_DATABASE'!$D$2:$D$500, A27, '01_MASTER_DATABASE'!$B$2:$B$500, "*Slim*")</f>
        <v/>
      </c>
      <c r="F27" s="112">
        <f>COUNTIFS('01_MASTER_DATABASE'!$D$2:$D$500, A27, '01_MASTER_DATABASE'!$B$2:$B$500, "*Thermal*") + COUNTIFS('01_MASTER_DATABASE'!$D$2:$D$500, A27, '01_MASTER_DATABASE'!$B$2:$B$500, "*cầu*")</f>
        <v/>
      </c>
      <c r="G27" s="112">
        <f>COUNTIFS('01_MASTER_DATABASE'!$D$2:$D$500, A27, '01_MASTER_DATABASE'!$G$2:$G$500, "*mặt dựng*") + COUNTIFS('01_MASTER_DATABASE'!$D$2:$D$500, A27, '01_MASTER_DATABASE'!$G$2:$G$500, "*vách*")</f>
        <v/>
      </c>
      <c r="H27" s="112">
        <f>COUNTIFS('01_MASTER_DATABASE'!$D$2:$D$500, A27, '01_MASTER_DATABASE'!$G$2:$G$500, "*lan can*")</f>
        <v/>
      </c>
    </row>
    <row r="28" ht="25" customHeight="1">
      <c r="A28" s="111" t="inlineStr">
        <is>
          <t>PAG</t>
        </is>
      </c>
      <c r="B28" s="112">
        <f>COUNTIF('01_MASTER_DATABASE'!$D$2:$D$500, A28)</f>
        <v/>
      </c>
      <c r="C28" s="112">
        <f>COUNTIFS('01_MASTER_DATABASE'!$D$2:$D$500, A28, '01_MASTER_DATABASE'!$G$2:$G$500, "*Cửa đi*")</f>
        <v/>
      </c>
      <c r="D28" s="112">
        <f>COUNTIFS('01_MASTER_DATABASE'!$D$2:$D$500, A28, '01_MASTER_DATABASE'!$G$2:$G$500, "*Cửa sổ*")</f>
        <v/>
      </c>
      <c r="E28" s="112">
        <f>COUNTIFS('01_MASTER_DATABASE'!$D$2:$D$500, A28, '01_MASTER_DATABASE'!$B$2:$B$500, "*Slim*")</f>
        <v/>
      </c>
      <c r="F28" s="112">
        <f>COUNTIFS('01_MASTER_DATABASE'!$D$2:$D$500, A28, '01_MASTER_DATABASE'!$B$2:$B$500, "*Thermal*") + COUNTIFS('01_MASTER_DATABASE'!$D$2:$D$500, A28, '01_MASTER_DATABASE'!$B$2:$B$500, "*cầu*")</f>
        <v/>
      </c>
      <c r="G28" s="112">
        <f>COUNTIFS('01_MASTER_DATABASE'!$D$2:$D$500, A28, '01_MASTER_DATABASE'!$G$2:$G$500, "*mặt dựng*") + COUNTIFS('01_MASTER_DATABASE'!$D$2:$D$500, A28, '01_MASTER_DATABASE'!$G$2:$G$500, "*vách*")</f>
        <v/>
      </c>
      <c r="H28" s="112">
        <f>COUNTIFS('01_MASTER_DATABASE'!$D$2:$D$500, A28, '01_MASTER_DATABASE'!$G$2:$G$500, "*lan can*")</f>
        <v/>
      </c>
    </row>
    <row r="29" ht="25" customHeight="1">
      <c r="A29" s="111" t="inlineStr">
        <is>
          <t>PMA</t>
        </is>
      </c>
      <c r="B29" s="112">
        <f>COUNTIF('01_MASTER_DATABASE'!$D$2:$D$500, A29)</f>
        <v/>
      </c>
      <c r="C29" s="112">
        <f>COUNTIFS('01_MASTER_DATABASE'!$D$2:$D$500, A29, '01_MASTER_DATABASE'!$G$2:$G$500, "*Cửa đi*")</f>
        <v/>
      </c>
      <c r="D29" s="112">
        <f>COUNTIFS('01_MASTER_DATABASE'!$D$2:$D$500, A29, '01_MASTER_DATABASE'!$G$2:$G$500, "*Cửa sổ*")</f>
        <v/>
      </c>
      <c r="E29" s="112">
        <f>COUNTIFS('01_MASTER_DATABASE'!$D$2:$D$500, A29, '01_MASTER_DATABASE'!$B$2:$B$500, "*Slim*")</f>
        <v/>
      </c>
      <c r="F29" s="112">
        <f>COUNTIFS('01_MASTER_DATABASE'!$D$2:$D$500, A29, '01_MASTER_DATABASE'!$B$2:$B$500, "*Thermal*") + COUNTIFS('01_MASTER_DATABASE'!$D$2:$D$500, A29, '01_MASTER_DATABASE'!$B$2:$B$500, "*cầu*")</f>
        <v/>
      </c>
      <c r="G29" s="112">
        <f>COUNTIFS('01_MASTER_DATABASE'!$D$2:$D$500, A29, '01_MASTER_DATABASE'!$G$2:$G$500, "*mặt dựng*") + COUNTIFS('01_MASTER_DATABASE'!$D$2:$D$500, A29, '01_MASTER_DATABASE'!$G$2:$G$500, "*vách*")</f>
        <v/>
      </c>
      <c r="H29" s="112">
        <f>COUNTIFS('01_MASTER_DATABASE'!$D$2:$D$500, A29, '01_MASTER_DATABASE'!$G$2:$G$500, "*lan can*")</f>
        <v/>
      </c>
    </row>
    <row r="30" ht="25" customHeight="1">
      <c r="A30" s="111" t="inlineStr">
        <is>
          <t>PMI</t>
        </is>
      </c>
      <c r="B30" s="112">
        <f>COUNTIF('01_MASTER_DATABASE'!$D$2:$D$500, A30)</f>
        <v/>
      </c>
      <c r="C30" s="112">
        <f>COUNTIFS('01_MASTER_DATABASE'!$D$2:$D$500, A30, '01_MASTER_DATABASE'!$G$2:$G$500, "*Cửa đi*")</f>
        <v/>
      </c>
      <c r="D30" s="112">
        <f>COUNTIFS('01_MASTER_DATABASE'!$D$2:$D$500, A30, '01_MASTER_DATABASE'!$G$2:$G$500, "*Cửa sổ*")</f>
        <v/>
      </c>
      <c r="E30" s="112">
        <f>COUNTIFS('01_MASTER_DATABASE'!$D$2:$D$500, A30, '01_MASTER_DATABASE'!$B$2:$B$500, "*Slim*")</f>
        <v/>
      </c>
      <c r="F30" s="112">
        <f>COUNTIFS('01_MASTER_DATABASE'!$D$2:$D$500, A30, '01_MASTER_DATABASE'!$B$2:$B$500, "*Thermal*") + COUNTIFS('01_MASTER_DATABASE'!$D$2:$D$500, A30, '01_MASTER_DATABASE'!$B$2:$B$500, "*cầu*")</f>
        <v/>
      </c>
      <c r="G30" s="112">
        <f>COUNTIFS('01_MASTER_DATABASE'!$D$2:$D$500, A30, '01_MASTER_DATABASE'!$G$2:$G$500, "*mặt dựng*") + COUNTIFS('01_MASTER_DATABASE'!$D$2:$D$500, A30, '01_MASTER_DATABASE'!$G$2:$G$500, "*vách*")</f>
        <v/>
      </c>
      <c r="H30" s="112">
        <f>COUNTIFS('01_MASTER_DATABASE'!$D$2:$D$500, A30, '01_MASTER_DATABASE'!$G$2:$G$500, "*lan can*")</f>
        <v/>
      </c>
    </row>
    <row r="31" ht="25" customHeight="1">
      <c r="A31" s="111" t="inlineStr">
        <is>
          <t>Reynaers</t>
        </is>
      </c>
      <c r="B31" s="112">
        <f>COUNTIF('01_MASTER_DATABASE'!$D$2:$D$500, A31)</f>
        <v/>
      </c>
      <c r="C31" s="112">
        <f>COUNTIFS('01_MASTER_DATABASE'!$D$2:$D$500, A31, '01_MASTER_DATABASE'!$G$2:$G$500, "*Cửa đi*")</f>
        <v/>
      </c>
      <c r="D31" s="112">
        <f>COUNTIFS('01_MASTER_DATABASE'!$D$2:$D$500, A31, '01_MASTER_DATABASE'!$G$2:$G$500, "*Cửa sổ*")</f>
        <v/>
      </c>
      <c r="E31" s="112">
        <f>COUNTIFS('01_MASTER_DATABASE'!$D$2:$D$500, A31, '01_MASTER_DATABASE'!$B$2:$B$500, "*Slim*")</f>
        <v/>
      </c>
      <c r="F31" s="112">
        <f>COUNTIFS('01_MASTER_DATABASE'!$D$2:$D$500, A31, '01_MASTER_DATABASE'!$B$2:$B$500, "*Thermal*") + COUNTIFS('01_MASTER_DATABASE'!$D$2:$D$500, A31, '01_MASTER_DATABASE'!$B$2:$B$500, "*cầu*")</f>
        <v/>
      </c>
      <c r="G31" s="112">
        <f>COUNTIFS('01_MASTER_DATABASE'!$D$2:$D$500, A31, '01_MASTER_DATABASE'!$G$2:$G$500, "*mặt dựng*") + COUNTIFS('01_MASTER_DATABASE'!$D$2:$D$500, A31, '01_MASTER_DATABASE'!$G$2:$G$500, "*vách*")</f>
        <v/>
      </c>
      <c r="H31" s="112">
        <f>COUNTIFS('01_MASTER_DATABASE'!$D$2:$D$500, A31, '01_MASTER_DATABASE'!$G$2:$G$500, "*lan can*")</f>
        <v/>
      </c>
    </row>
    <row r="32" ht="25" customHeight="1">
      <c r="A32" s="111" t="inlineStr">
        <is>
          <t>Schüco</t>
        </is>
      </c>
      <c r="B32" s="112">
        <f>COUNTIF('01_MASTER_DATABASE'!$D$2:$D$500, A32)</f>
        <v/>
      </c>
      <c r="C32" s="112">
        <f>COUNTIFS('01_MASTER_DATABASE'!$D$2:$D$500, A32, '01_MASTER_DATABASE'!$G$2:$G$500, "*Cửa đi*")</f>
        <v/>
      </c>
      <c r="D32" s="112">
        <f>COUNTIFS('01_MASTER_DATABASE'!$D$2:$D$500, A32, '01_MASTER_DATABASE'!$G$2:$G$500, "*Cửa sổ*")</f>
        <v/>
      </c>
      <c r="E32" s="112">
        <f>COUNTIFS('01_MASTER_DATABASE'!$D$2:$D$500, A32, '01_MASTER_DATABASE'!$B$2:$B$500, "*Slim*")</f>
        <v/>
      </c>
      <c r="F32" s="112">
        <f>COUNTIFS('01_MASTER_DATABASE'!$D$2:$D$500, A32, '01_MASTER_DATABASE'!$B$2:$B$500, "*Thermal*") + COUNTIFS('01_MASTER_DATABASE'!$D$2:$D$500, A32, '01_MASTER_DATABASE'!$B$2:$B$500, "*cầu*")</f>
        <v/>
      </c>
      <c r="G32" s="112">
        <f>COUNTIFS('01_MASTER_DATABASE'!$D$2:$D$500, A32, '01_MASTER_DATABASE'!$G$2:$G$500, "*mặt dựng*") + COUNTIFS('01_MASTER_DATABASE'!$D$2:$D$500, A32, '01_MASTER_DATABASE'!$G$2:$G$500, "*vách*")</f>
        <v/>
      </c>
      <c r="H32" s="112">
        <f>COUNTIFS('01_MASTER_DATABASE'!$D$2:$D$500, A32, '01_MASTER_DATABASE'!$G$2:$G$500, "*lan can*")</f>
        <v/>
      </c>
    </row>
    <row r="33" ht="25" customHeight="1">
      <c r="A33" s="111" t="inlineStr">
        <is>
          <t>Soco</t>
        </is>
      </c>
      <c r="B33" s="112">
        <f>COUNTIF('01_MASTER_DATABASE'!$D$2:$D$500, A33)</f>
        <v/>
      </c>
      <c r="C33" s="112">
        <f>COUNTIFS('01_MASTER_DATABASE'!$D$2:$D$500, A33, '01_MASTER_DATABASE'!$G$2:$G$500, "*Cửa đi*")</f>
        <v/>
      </c>
      <c r="D33" s="112">
        <f>COUNTIFS('01_MASTER_DATABASE'!$D$2:$D$500, A33, '01_MASTER_DATABASE'!$G$2:$G$500, "*Cửa sổ*")</f>
        <v/>
      </c>
      <c r="E33" s="112">
        <f>COUNTIFS('01_MASTER_DATABASE'!$D$2:$D$500, A33, '01_MASTER_DATABASE'!$B$2:$B$500, "*Slim*")</f>
        <v/>
      </c>
      <c r="F33" s="112">
        <f>COUNTIFS('01_MASTER_DATABASE'!$D$2:$D$500, A33, '01_MASTER_DATABASE'!$B$2:$B$500, "*Thermal*") + COUNTIFS('01_MASTER_DATABASE'!$D$2:$D$500, A33, '01_MASTER_DATABASE'!$B$2:$B$500, "*cầu*")</f>
        <v/>
      </c>
      <c r="G33" s="112">
        <f>COUNTIFS('01_MASTER_DATABASE'!$D$2:$D$500, A33, '01_MASTER_DATABASE'!$G$2:$G$500, "*mặt dựng*") + COUNTIFS('01_MASTER_DATABASE'!$D$2:$D$500, A33, '01_MASTER_DATABASE'!$G$2:$G$500, "*vách*")</f>
        <v/>
      </c>
      <c r="H33" s="112">
        <f>COUNTIFS('01_MASTER_DATABASE'!$D$2:$D$500, A33, '01_MASTER_DATABASE'!$G$2:$G$500, "*lan can*")</f>
        <v/>
      </c>
    </row>
    <row r="34" ht="25" customHeight="1">
      <c r="A34" s="111" t="inlineStr">
        <is>
          <t>Soco/Local</t>
        </is>
      </c>
      <c r="B34" s="112">
        <f>COUNTIF('01_MASTER_DATABASE'!$D$2:$D$500, A34)</f>
        <v/>
      </c>
      <c r="C34" s="112">
        <f>COUNTIFS('01_MASTER_DATABASE'!$D$2:$D$500, A34, '01_MASTER_DATABASE'!$G$2:$G$500, "*Cửa đi*")</f>
        <v/>
      </c>
      <c r="D34" s="112">
        <f>COUNTIFS('01_MASTER_DATABASE'!$D$2:$D$500, A34, '01_MASTER_DATABASE'!$G$2:$G$500, "*Cửa sổ*")</f>
        <v/>
      </c>
      <c r="E34" s="112">
        <f>COUNTIFS('01_MASTER_DATABASE'!$D$2:$D$500, A34, '01_MASTER_DATABASE'!$B$2:$B$500, "*Slim*")</f>
        <v/>
      </c>
      <c r="F34" s="112">
        <f>COUNTIFS('01_MASTER_DATABASE'!$D$2:$D$500, A34, '01_MASTER_DATABASE'!$B$2:$B$500, "*Thermal*") + COUNTIFS('01_MASTER_DATABASE'!$D$2:$D$500, A34, '01_MASTER_DATABASE'!$B$2:$B$500, "*cầu*")</f>
        <v/>
      </c>
      <c r="G34" s="112">
        <f>COUNTIFS('01_MASTER_DATABASE'!$D$2:$D$500, A34, '01_MASTER_DATABASE'!$G$2:$G$500, "*mặt dựng*") + COUNTIFS('01_MASTER_DATABASE'!$D$2:$D$500, A34, '01_MASTER_DATABASE'!$G$2:$G$500, "*vách*")</f>
        <v/>
      </c>
      <c r="H34" s="112">
        <f>COUNTIFS('01_MASTER_DATABASE'!$D$2:$D$500, A34, '01_MASTER_DATABASE'!$G$2:$G$500, "*lan can*")</f>
        <v/>
      </c>
    </row>
    <row r="35" ht="25" customHeight="1">
      <c r="A35" s="111" t="inlineStr">
        <is>
          <t>Soco/Maxpro/Civro</t>
        </is>
      </c>
      <c r="B35" s="112">
        <f>COUNTIF('01_MASTER_DATABASE'!$D$2:$D$500, A35)</f>
        <v/>
      </c>
      <c r="C35" s="112">
        <f>COUNTIFS('01_MASTER_DATABASE'!$D$2:$D$500, A35, '01_MASTER_DATABASE'!$G$2:$G$500, "*Cửa đi*")</f>
        <v/>
      </c>
      <c r="D35" s="112">
        <f>COUNTIFS('01_MASTER_DATABASE'!$D$2:$D$500, A35, '01_MASTER_DATABASE'!$G$2:$G$500, "*Cửa sổ*")</f>
        <v/>
      </c>
      <c r="E35" s="112">
        <f>COUNTIFS('01_MASTER_DATABASE'!$D$2:$D$500, A35, '01_MASTER_DATABASE'!$B$2:$B$500, "*Slim*")</f>
        <v/>
      </c>
      <c r="F35" s="112">
        <f>COUNTIFS('01_MASTER_DATABASE'!$D$2:$D$500, A35, '01_MASTER_DATABASE'!$B$2:$B$500, "*Thermal*") + COUNTIFS('01_MASTER_DATABASE'!$D$2:$D$500, A35, '01_MASTER_DATABASE'!$B$2:$B$500, "*cầu*")</f>
        <v/>
      </c>
      <c r="G35" s="112">
        <f>COUNTIFS('01_MASTER_DATABASE'!$D$2:$D$500, A35, '01_MASTER_DATABASE'!$G$2:$G$500, "*mặt dựng*") + COUNTIFS('01_MASTER_DATABASE'!$D$2:$D$500, A35, '01_MASTER_DATABASE'!$G$2:$G$500, "*vách*")</f>
        <v/>
      </c>
      <c r="H35" s="112">
        <f>COUNTIFS('01_MASTER_DATABASE'!$D$2:$D$500, A35, '01_MASTER_DATABASE'!$G$2:$G$500, "*lan can*")</f>
        <v/>
      </c>
    </row>
    <row r="36" ht="25" customHeight="1">
      <c r="A36" s="111" t="inlineStr">
        <is>
          <t>Topal</t>
        </is>
      </c>
      <c r="B36" s="112">
        <f>COUNTIF('01_MASTER_DATABASE'!$D$2:$D$500, A36)</f>
        <v/>
      </c>
      <c r="C36" s="112">
        <f>COUNTIFS('01_MASTER_DATABASE'!$D$2:$D$500, A36, '01_MASTER_DATABASE'!$G$2:$G$500, "*Cửa đi*")</f>
        <v/>
      </c>
      <c r="D36" s="112">
        <f>COUNTIFS('01_MASTER_DATABASE'!$D$2:$D$500, A36, '01_MASTER_DATABASE'!$G$2:$G$500, "*Cửa sổ*")</f>
        <v/>
      </c>
      <c r="E36" s="112">
        <f>COUNTIFS('01_MASTER_DATABASE'!$D$2:$D$500, A36, '01_MASTER_DATABASE'!$B$2:$B$500, "*Slim*")</f>
        <v/>
      </c>
      <c r="F36" s="112">
        <f>COUNTIFS('01_MASTER_DATABASE'!$D$2:$D$500, A36, '01_MASTER_DATABASE'!$B$2:$B$500, "*Thermal*") + COUNTIFS('01_MASTER_DATABASE'!$D$2:$D$500, A36, '01_MASTER_DATABASE'!$B$2:$B$500, "*cầu*")</f>
        <v/>
      </c>
      <c r="G36" s="112">
        <f>COUNTIFS('01_MASTER_DATABASE'!$D$2:$D$500, A36, '01_MASTER_DATABASE'!$G$2:$G$500, "*mặt dựng*") + COUNTIFS('01_MASTER_DATABASE'!$D$2:$D$500, A36, '01_MASTER_DATABASE'!$G$2:$G$500, "*vách*")</f>
        <v/>
      </c>
      <c r="H36" s="112">
        <f>COUNTIFS('01_MASTER_DATABASE'!$D$2:$D$500, A36, '01_MASTER_DATABASE'!$G$2:$G$500, "*lan can*")</f>
        <v/>
      </c>
    </row>
    <row r="37" ht="25" customHeight="1">
      <c r="A37" s="111" t="inlineStr">
        <is>
          <t>Viralwindow</t>
        </is>
      </c>
      <c r="B37" s="112">
        <f>COUNTIF('01_MASTER_DATABASE'!$D$2:$D$500, A37)</f>
        <v/>
      </c>
      <c r="C37" s="112">
        <f>COUNTIFS('01_MASTER_DATABASE'!$D$2:$D$500, A37, '01_MASTER_DATABASE'!$G$2:$G$500, "*Cửa đi*")</f>
        <v/>
      </c>
      <c r="D37" s="112">
        <f>COUNTIFS('01_MASTER_DATABASE'!$D$2:$D$500, A37, '01_MASTER_DATABASE'!$G$2:$G$500, "*Cửa sổ*")</f>
        <v/>
      </c>
      <c r="E37" s="112">
        <f>COUNTIFS('01_MASTER_DATABASE'!$D$2:$D$500, A37, '01_MASTER_DATABASE'!$B$2:$B$500, "*Slim*")</f>
        <v/>
      </c>
      <c r="F37" s="112">
        <f>COUNTIFS('01_MASTER_DATABASE'!$D$2:$D$500, A37, '01_MASTER_DATABASE'!$B$2:$B$500, "*Thermal*") + COUNTIFS('01_MASTER_DATABASE'!$D$2:$D$500, A37, '01_MASTER_DATABASE'!$B$2:$B$500, "*cầu*")</f>
        <v/>
      </c>
      <c r="G37" s="112">
        <f>COUNTIFS('01_MASTER_DATABASE'!$D$2:$D$500, A37, '01_MASTER_DATABASE'!$G$2:$G$500, "*mặt dựng*") + COUNTIFS('01_MASTER_DATABASE'!$D$2:$D$500, A37, '01_MASTER_DATABASE'!$G$2:$G$500, "*vách*")</f>
        <v/>
      </c>
      <c r="H37" s="112">
        <f>COUNTIFS('01_MASTER_DATABASE'!$D$2:$D$500, A37, '01_MASTER_DATABASE'!$G$2:$G$500, "*lan can*")</f>
        <v/>
      </c>
    </row>
    <row r="38" ht="25" customHeight="1">
      <c r="A38" s="111" t="inlineStr">
        <is>
          <t>Vitrocsa/Local</t>
        </is>
      </c>
      <c r="B38" s="112">
        <f>COUNTIF('01_MASTER_DATABASE'!$D$2:$D$500, A38)</f>
        <v/>
      </c>
      <c r="C38" s="112">
        <f>COUNTIFS('01_MASTER_DATABASE'!$D$2:$D$500, A38, '01_MASTER_DATABASE'!$G$2:$G$500, "*Cửa đi*")</f>
        <v/>
      </c>
      <c r="D38" s="112">
        <f>COUNTIFS('01_MASTER_DATABASE'!$D$2:$D$500, A38, '01_MASTER_DATABASE'!$G$2:$G$500, "*Cửa sổ*")</f>
        <v/>
      </c>
      <c r="E38" s="112">
        <f>COUNTIFS('01_MASTER_DATABASE'!$D$2:$D$500, A38, '01_MASTER_DATABASE'!$B$2:$B$500, "*Slim*")</f>
        <v/>
      </c>
      <c r="F38" s="112">
        <f>COUNTIFS('01_MASTER_DATABASE'!$D$2:$D$500, A38, '01_MASTER_DATABASE'!$B$2:$B$500, "*Thermal*") + COUNTIFS('01_MASTER_DATABASE'!$D$2:$D$500, A38, '01_MASTER_DATABASE'!$B$2:$B$500, "*cầu*")</f>
        <v/>
      </c>
      <c r="G38" s="112">
        <f>COUNTIFS('01_MASTER_DATABASE'!$D$2:$D$500, A38, '01_MASTER_DATABASE'!$G$2:$G$500, "*mặt dựng*") + COUNTIFS('01_MASTER_DATABASE'!$D$2:$D$500, A38, '01_MASTER_DATABASE'!$G$2:$G$500, "*vách*")</f>
        <v/>
      </c>
      <c r="H38" s="112">
        <f>COUNTIFS('01_MASTER_DATABASE'!$D$2:$D$500, A38, '01_MASTER_DATABASE'!$G$2:$G$500, "*lan can*")</f>
        <v/>
      </c>
    </row>
    <row r="39" ht="25" customHeight="1">
      <c r="A39" s="111" t="inlineStr">
        <is>
          <t>Việt Pháp</t>
        </is>
      </c>
      <c r="B39" s="112">
        <f>COUNTIF('01_MASTER_DATABASE'!$D$2:$D$500, A39)</f>
        <v/>
      </c>
      <c r="C39" s="112">
        <f>COUNTIFS('01_MASTER_DATABASE'!$D$2:$D$500, A39, '01_MASTER_DATABASE'!$G$2:$G$500, "*Cửa đi*")</f>
        <v/>
      </c>
      <c r="D39" s="112">
        <f>COUNTIFS('01_MASTER_DATABASE'!$D$2:$D$500, A39, '01_MASTER_DATABASE'!$G$2:$G$500, "*Cửa sổ*")</f>
        <v/>
      </c>
      <c r="E39" s="112">
        <f>COUNTIFS('01_MASTER_DATABASE'!$D$2:$D$500, A39, '01_MASTER_DATABASE'!$B$2:$B$500, "*Slim*")</f>
        <v/>
      </c>
      <c r="F39" s="112">
        <f>COUNTIFS('01_MASTER_DATABASE'!$D$2:$D$500, A39, '01_MASTER_DATABASE'!$B$2:$B$500, "*Thermal*") + COUNTIFS('01_MASTER_DATABASE'!$D$2:$D$500, A39, '01_MASTER_DATABASE'!$B$2:$B$500, "*cầu*")</f>
        <v/>
      </c>
      <c r="G39" s="112">
        <f>COUNTIFS('01_MASTER_DATABASE'!$D$2:$D$500, A39, '01_MASTER_DATABASE'!$G$2:$G$500, "*mặt dựng*") + COUNTIFS('01_MASTER_DATABASE'!$D$2:$D$500, A39, '01_MASTER_DATABASE'!$G$2:$G$500, "*vách*")</f>
        <v/>
      </c>
      <c r="H39" s="112">
        <f>COUNTIFS('01_MASTER_DATABASE'!$D$2:$D$500, A39, '01_MASTER_DATABASE'!$G$2:$G$500, "*lan can*")</f>
        <v/>
      </c>
    </row>
    <row r="40" ht="25" customHeight="1">
      <c r="A40" s="111" t="inlineStr">
        <is>
          <t>Việt Ý</t>
        </is>
      </c>
      <c r="B40" s="112">
        <f>COUNTIF('01_MASTER_DATABASE'!$D$2:$D$500, A40)</f>
        <v/>
      </c>
      <c r="C40" s="112">
        <f>COUNTIFS('01_MASTER_DATABASE'!$D$2:$D$500, A40, '01_MASTER_DATABASE'!$G$2:$G$500, "*Cửa đi*")</f>
        <v/>
      </c>
      <c r="D40" s="112">
        <f>COUNTIFS('01_MASTER_DATABASE'!$D$2:$D$500, A40, '01_MASTER_DATABASE'!$G$2:$G$500, "*Cửa sổ*")</f>
        <v/>
      </c>
      <c r="E40" s="112">
        <f>COUNTIFS('01_MASTER_DATABASE'!$D$2:$D$500, A40, '01_MASTER_DATABASE'!$B$2:$B$500, "*Slim*")</f>
        <v/>
      </c>
      <c r="F40" s="112">
        <f>COUNTIFS('01_MASTER_DATABASE'!$D$2:$D$500, A40, '01_MASTER_DATABASE'!$B$2:$B$500, "*Thermal*") + COUNTIFS('01_MASTER_DATABASE'!$D$2:$D$500, A40, '01_MASTER_DATABASE'!$B$2:$B$500, "*cầu*")</f>
        <v/>
      </c>
      <c r="G40" s="112">
        <f>COUNTIFS('01_MASTER_DATABASE'!$D$2:$D$500, A40, '01_MASTER_DATABASE'!$G$2:$G$500, "*mặt dựng*") + COUNTIFS('01_MASTER_DATABASE'!$D$2:$D$500, A40, '01_MASTER_DATABASE'!$G$2:$G$500, "*vách*")</f>
        <v/>
      </c>
      <c r="H40" s="112">
        <f>COUNTIFS('01_MASTER_DATABASE'!$D$2:$D$500, A40, '01_MASTER_DATABASE'!$G$2:$G$500, "*lan can*")</f>
        <v/>
      </c>
    </row>
    <row r="41" ht="25" customHeight="1">
      <c r="A41" s="111" t="inlineStr">
        <is>
          <t>Xingfa</t>
        </is>
      </c>
      <c r="B41" s="112">
        <f>COUNTIF('01_MASTER_DATABASE'!$D$2:$D$500, A41)</f>
        <v/>
      </c>
      <c r="C41" s="112">
        <f>COUNTIFS('01_MASTER_DATABASE'!$D$2:$D$500, A41, '01_MASTER_DATABASE'!$G$2:$G$500, "*Cửa đi*")</f>
        <v/>
      </c>
      <c r="D41" s="112">
        <f>COUNTIFS('01_MASTER_DATABASE'!$D$2:$D$500, A41, '01_MASTER_DATABASE'!$G$2:$G$500, "*Cửa sổ*")</f>
        <v/>
      </c>
      <c r="E41" s="112">
        <f>COUNTIFS('01_MASTER_DATABASE'!$D$2:$D$500, A41, '01_MASTER_DATABASE'!$B$2:$B$500, "*Slim*")</f>
        <v/>
      </c>
      <c r="F41" s="112">
        <f>COUNTIFS('01_MASTER_DATABASE'!$D$2:$D$500, A41, '01_MASTER_DATABASE'!$B$2:$B$500, "*Thermal*") + COUNTIFS('01_MASTER_DATABASE'!$D$2:$D$500, A41, '01_MASTER_DATABASE'!$B$2:$B$500, "*cầu*")</f>
        <v/>
      </c>
      <c r="G41" s="112">
        <f>COUNTIFS('01_MASTER_DATABASE'!$D$2:$D$500, A41, '01_MASTER_DATABASE'!$G$2:$G$500, "*mặt dựng*") + COUNTIFS('01_MASTER_DATABASE'!$D$2:$D$500, A41, '01_MASTER_DATABASE'!$G$2:$G$500, "*vách*")</f>
        <v/>
      </c>
      <c r="H41" s="112">
        <f>COUNTIFS('01_MASTER_DATABASE'!$D$2:$D$500, A41, '01_MASTER_DATABASE'!$G$2:$G$500, "*lan can*")</f>
        <v/>
      </c>
    </row>
    <row r="42" ht="25" customHeight="1">
      <c r="A42" s="111" t="inlineStr">
        <is>
          <t>YKK AP</t>
        </is>
      </c>
      <c r="B42" s="112">
        <f>COUNTIF('01_MASTER_DATABASE'!$D$2:$D$500, A42)</f>
        <v/>
      </c>
      <c r="C42" s="112">
        <f>COUNTIFS('01_MASTER_DATABASE'!$D$2:$D$500, A42, '01_MASTER_DATABASE'!$G$2:$G$500, "*Cửa đi*")</f>
        <v/>
      </c>
      <c r="D42" s="112">
        <f>COUNTIFS('01_MASTER_DATABASE'!$D$2:$D$500, A42, '01_MASTER_DATABASE'!$G$2:$G$500, "*Cửa sổ*")</f>
        <v/>
      </c>
      <c r="E42" s="112">
        <f>COUNTIFS('01_MASTER_DATABASE'!$D$2:$D$500, A42, '01_MASTER_DATABASE'!$B$2:$B$500, "*Slim*")</f>
        <v/>
      </c>
      <c r="F42" s="112">
        <f>COUNTIFS('01_MASTER_DATABASE'!$D$2:$D$500, A42, '01_MASTER_DATABASE'!$B$2:$B$500, "*Thermal*") + COUNTIFS('01_MASTER_DATABASE'!$D$2:$D$500, A42, '01_MASTER_DATABASE'!$B$2:$B$500, "*cầu*")</f>
        <v/>
      </c>
      <c r="G42" s="112">
        <f>COUNTIFS('01_MASTER_DATABASE'!$D$2:$D$500, A42, '01_MASTER_DATABASE'!$G$2:$G$500, "*mặt dựng*") + COUNTIFS('01_MASTER_DATABASE'!$D$2:$D$500, A42, '01_MASTER_DATABASE'!$G$2:$G$500, "*vách*")</f>
        <v/>
      </c>
      <c r="H42" s="112">
        <f>COUNTIFS('01_MASTER_DATABASE'!$D$2:$D$500, A42, '01_MASTER_DATABASE'!$G$2:$G$500, "*lan can*")</f>
        <v/>
      </c>
    </row>
    <row r="43" ht="25" customHeight="1">
      <c r="A43" s="111" t="inlineStr">
        <is>
          <t>Yangli</t>
        </is>
      </c>
      <c r="B43" s="112">
        <f>COUNTIF('01_MASTER_DATABASE'!$D$2:$D$500, A43)</f>
        <v/>
      </c>
      <c r="C43" s="112">
        <f>COUNTIFS('01_MASTER_DATABASE'!$D$2:$D$500, A43, '01_MASTER_DATABASE'!$G$2:$G$500, "*Cửa đi*")</f>
        <v/>
      </c>
      <c r="D43" s="112">
        <f>COUNTIFS('01_MASTER_DATABASE'!$D$2:$D$500, A43, '01_MASTER_DATABASE'!$G$2:$G$500, "*Cửa sổ*")</f>
        <v/>
      </c>
      <c r="E43" s="112">
        <f>COUNTIFS('01_MASTER_DATABASE'!$D$2:$D$500, A43, '01_MASTER_DATABASE'!$B$2:$B$500, "*Slim*")</f>
        <v/>
      </c>
      <c r="F43" s="112">
        <f>COUNTIFS('01_MASTER_DATABASE'!$D$2:$D$500, A43, '01_MASTER_DATABASE'!$B$2:$B$500, "*Thermal*") + COUNTIFS('01_MASTER_DATABASE'!$D$2:$D$500, A43, '01_MASTER_DATABASE'!$B$2:$B$500, "*cầu*")</f>
        <v/>
      </c>
      <c r="G43" s="112">
        <f>COUNTIFS('01_MASTER_DATABASE'!$D$2:$D$500, A43, '01_MASTER_DATABASE'!$G$2:$G$500, "*mặt dựng*") + COUNTIFS('01_MASTER_DATABASE'!$D$2:$D$500, A43, '01_MASTER_DATABASE'!$G$2:$G$500, "*vách*")</f>
        <v/>
      </c>
      <c r="H43" s="112">
        <f>COUNTIFS('01_MASTER_DATABASE'!$D$2:$D$500, A43, '01_MASTER_DATABASE'!$G$2:$G$500, "*lan can*")</f>
        <v/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09" t="inlineStr">
        <is>
          <t>PHÂN TÍCH HỆ CỬA THEO PHÂN KHÚC THƯƠNG HIỆU</t>
        </is>
      </c>
    </row>
    <row r="2" ht="20" customHeight="1"/>
    <row r="4" ht="30" customHeight="1">
      <c r="A4" s="110" t="inlineStr">
        <is>
          <t>Hãng</t>
        </is>
      </c>
      <c r="B4" s="110" t="inlineStr">
        <is>
          <t>Phổ Thông / Tiết Kiệm</t>
        </is>
      </c>
      <c r="C4" s="110" t="inlineStr">
        <is>
          <t>Tầm Trung</t>
        </is>
      </c>
      <c r="D4" s="110" t="inlineStr">
        <is>
          <t>Cao Cấp rãnh C</t>
        </is>
      </c>
      <c r="E4" s="110" t="inlineStr">
        <is>
          <t>Luxury / Siêu Cao Cấp</t>
        </is>
      </c>
    </row>
    <row r="5" ht="25" customHeight="1">
      <c r="A5" s="111" t="inlineStr">
        <is>
          <t>Civro</t>
        </is>
      </c>
      <c r="B5" s="112">
        <f>COUNTIFS('01_MASTER_DATABASE'!$D$2:$D$500, A5, '01_MASTER_DATABASE'!$B$2:$B$500, "*Phổ thông*") + COUNTIFS('01_MASTER_DATABASE'!$D$2:$D$500, A5, '01_MASTER_DATABASE'!$B$2:$B$500, "*Vát cạnh*") + COUNTIFS('01_MASTER_DATABASE'!$D$2:$D$500, A5, '01_MASTER_DATABASE'!$B$2:$B$500, "*nhựa*")</f>
        <v/>
      </c>
      <c r="C5" s="112">
        <f>COUNTIFS('01_MASTER_DATABASE'!$D$2:$D$500, A5, '01_MASTER_DATABASE'!$B$2:$B$500, "*Tầm trung*") + COUNTIFS('01_MASTER_DATABASE'!$D$2:$D$500, A5, '01_MASTER_DATABASE'!$B$2:$B$500, "*sản xuất*")</f>
        <v/>
      </c>
      <c r="D5" s="112">
        <f>COUNTIFS('01_MASTER_DATABASE'!$D$2:$D$500, A5, '01_MASTER_DATABASE'!$B$2:$B$500, "*Cao cấp*") + COUNTIFS('01_MASTER_DATABASE'!$D$2:$D$500, A5, '01_MASTER_DATABASE'!$B$2:$B$500, "*Rãnh C*")</f>
        <v/>
      </c>
      <c r="E5" s="112">
        <f>COUNTIFS('01_MASTER_DATABASE'!$D$2:$D$500, A5, '01_MASTER_DATABASE'!$B$2:$B$500, "*Luxury*") + COUNTIFS('01_MASTER_DATABASE'!$D$2:$D$500, A5, '01_MASTER_DATABASE'!$B$2:$B$500, "*Cầu cách nhiệt*")</f>
        <v/>
      </c>
    </row>
    <row r="6" ht="25" customHeight="1">
      <c r="A6" s="111" t="inlineStr">
        <is>
          <t>Civro/Maxpro/Soco</t>
        </is>
      </c>
      <c r="B6" s="112">
        <f>COUNTIFS('01_MASTER_DATABASE'!$D$2:$D$500, A6, '01_MASTER_DATABASE'!$B$2:$B$500, "*Phổ thông*") + COUNTIFS('01_MASTER_DATABASE'!$D$2:$D$500, A6, '01_MASTER_DATABASE'!$B$2:$B$500, "*Vát cạnh*") + COUNTIFS('01_MASTER_DATABASE'!$D$2:$D$500, A6, '01_MASTER_DATABASE'!$B$2:$B$500, "*nhựa*")</f>
        <v/>
      </c>
      <c r="C6" s="112">
        <f>COUNTIFS('01_MASTER_DATABASE'!$D$2:$D$500, A6, '01_MASTER_DATABASE'!$B$2:$B$500, "*Tầm trung*") + COUNTIFS('01_MASTER_DATABASE'!$D$2:$D$500, A6, '01_MASTER_DATABASE'!$B$2:$B$500, "*sản xuất*")</f>
        <v/>
      </c>
      <c r="D6" s="112">
        <f>COUNTIFS('01_MASTER_DATABASE'!$D$2:$D$500, A6, '01_MASTER_DATABASE'!$B$2:$B$500, "*Cao cấp*") + COUNTIFS('01_MASTER_DATABASE'!$D$2:$D$500, A6, '01_MASTER_DATABASE'!$B$2:$B$500, "*Rãnh C*")</f>
        <v/>
      </c>
      <c r="E6" s="112">
        <f>COUNTIFS('01_MASTER_DATABASE'!$D$2:$D$500, A6, '01_MASTER_DATABASE'!$B$2:$B$500, "*Luxury*") + COUNTIFS('01_MASTER_DATABASE'!$D$2:$D$500, A6, '01_MASTER_DATABASE'!$B$2:$B$500, "*Cầu cách nhiệt*")</f>
        <v/>
      </c>
    </row>
    <row r="7" ht="25" customHeight="1">
      <c r="A7" s="111" t="inlineStr">
        <is>
          <t>Civro/Owin/Local</t>
        </is>
      </c>
      <c r="B7" s="112">
        <f>COUNTIFS('01_MASTER_DATABASE'!$D$2:$D$500, A7, '01_MASTER_DATABASE'!$B$2:$B$500, "*Phổ thông*") + COUNTIFS('01_MASTER_DATABASE'!$D$2:$D$500, A7, '01_MASTER_DATABASE'!$B$2:$B$500, "*Vát cạnh*") + COUNTIFS('01_MASTER_DATABASE'!$D$2:$D$500, A7, '01_MASTER_DATABASE'!$B$2:$B$500, "*nhựa*")</f>
        <v/>
      </c>
      <c r="C7" s="112">
        <f>COUNTIFS('01_MASTER_DATABASE'!$D$2:$D$500, A7, '01_MASTER_DATABASE'!$B$2:$B$500, "*Tầm trung*") + COUNTIFS('01_MASTER_DATABASE'!$D$2:$D$500, A7, '01_MASTER_DATABASE'!$B$2:$B$500, "*sản xuất*")</f>
        <v/>
      </c>
      <c r="D7" s="112">
        <f>COUNTIFS('01_MASTER_DATABASE'!$D$2:$D$500, A7, '01_MASTER_DATABASE'!$B$2:$B$500, "*Cao cấp*") + COUNTIFS('01_MASTER_DATABASE'!$D$2:$D$500, A7, '01_MASTER_DATABASE'!$B$2:$B$500, "*Rãnh C*")</f>
        <v/>
      </c>
      <c r="E7" s="112">
        <f>COUNTIFS('01_MASTER_DATABASE'!$D$2:$D$500, A7, '01_MASTER_DATABASE'!$B$2:$B$500, "*Luxury*") + COUNTIFS('01_MASTER_DATABASE'!$D$2:$D$500, A7, '01_MASTER_DATABASE'!$B$2:$B$500, "*Cầu cách nhiệt*")</f>
        <v/>
      </c>
    </row>
    <row r="8" ht="25" customHeight="1">
      <c r="A8" s="111" t="inlineStr">
        <is>
          <t>Civro/PAG/Schüco</t>
        </is>
      </c>
      <c r="B8" s="112">
        <f>COUNTIFS('01_MASTER_DATABASE'!$D$2:$D$500, A8, '01_MASTER_DATABASE'!$B$2:$B$500, "*Phổ thông*") + COUNTIFS('01_MASTER_DATABASE'!$D$2:$D$500, A8, '01_MASTER_DATABASE'!$B$2:$B$500, "*Vát cạnh*") + COUNTIFS('01_MASTER_DATABASE'!$D$2:$D$500, A8, '01_MASTER_DATABASE'!$B$2:$B$500, "*nhựa*")</f>
        <v/>
      </c>
      <c r="C8" s="112">
        <f>COUNTIFS('01_MASTER_DATABASE'!$D$2:$D$500, A8, '01_MASTER_DATABASE'!$B$2:$B$500, "*Tầm trung*") + COUNTIFS('01_MASTER_DATABASE'!$D$2:$D$500, A8, '01_MASTER_DATABASE'!$B$2:$B$500, "*sản xuất*")</f>
        <v/>
      </c>
      <c r="D8" s="112">
        <f>COUNTIFS('01_MASTER_DATABASE'!$D$2:$D$500, A8, '01_MASTER_DATABASE'!$B$2:$B$500, "*Cao cấp*") + COUNTIFS('01_MASTER_DATABASE'!$D$2:$D$500, A8, '01_MASTER_DATABASE'!$B$2:$B$500, "*Rãnh C*")</f>
        <v/>
      </c>
      <c r="E8" s="112">
        <f>COUNTIFS('01_MASTER_DATABASE'!$D$2:$D$500, A8, '01_MASTER_DATABASE'!$B$2:$B$500, "*Luxury*") + COUNTIFS('01_MASTER_DATABASE'!$D$2:$D$500, A8, '01_MASTER_DATABASE'!$B$2:$B$500, "*Cầu cách nhiệt*")</f>
        <v/>
      </c>
    </row>
    <row r="9" ht="25" customHeight="1">
      <c r="A9" s="111" t="inlineStr">
        <is>
          <t>Các hãng</t>
        </is>
      </c>
      <c r="B9" s="112">
        <f>COUNTIFS('01_MASTER_DATABASE'!$D$2:$D$500, A9, '01_MASTER_DATABASE'!$B$2:$B$500, "*Phổ thông*") + COUNTIFS('01_MASTER_DATABASE'!$D$2:$D$500, A9, '01_MASTER_DATABASE'!$B$2:$B$500, "*Vát cạnh*") + COUNTIFS('01_MASTER_DATABASE'!$D$2:$D$500, A9, '01_MASTER_DATABASE'!$B$2:$B$500, "*nhựa*")</f>
        <v/>
      </c>
      <c r="C9" s="112">
        <f>COUNTIFS('01_MASTER_DATABASE'!$D$2:$D$500, A9, '01_MASTER_DATABASE'!$B$2:$B$500, "*Tầm trung*") + COUNTIFS('01_MASTER_DATABASE'!$D$2:$D$500, A9, '01_MASTER_DATABASE'!$B$2:$B$500, "*sản xuất*")</f>
        <v/>
      </c>
      <c r="D9" s="112">
        <f>COUNTIFS('01_MASTER_DATABASE'!$D$2:$D$500, A9, '01_MASTER_DATABASE'!$B$2:$B$500, "*Cao cấp*") + COUNTIFS('01_MASTER_DATABASE'!$D$2:$D$500, A9, '01_MASTER_DATABASE'!$B$2:$B$500, "*Rãnh C*")</f>
        <v/>
      </c>
      <c r="E9" s="112">
        <f>COUNTIFS('01_MASTER_DATABASE'!$D$2:$D$500, A9, '01_MASTER_DATABASE'!$B$2:$B$500, "*Luxury*") + COUNTIFS('01_MASTER_DATABASE'!$D$2:$D$500, A9, '01_MASTER_DATABASE'!$B$2:$B$500, "*Cầu cách nhiệt*")</f>
        <v/>
      </c>
    </row>
    <row r="10" ht="25" customHeight="1">
      <c r="A10" s="111" t="inlineStr">
        <is>
          <t>Dorma/Besam/Local</t>
        </is>
      </c>
      <c r="B10" s="112">
        <f>COUNTIFS('01_MASTER_DATABASE'!$D$2:$D$500, A10, '01_MASTER_DATABASE'!$B$2:$B$500, "*Phổ thông*") + COUNTIFS('01_MASTER_DATABASE'!$D$2:$D$500, A10, '01_MASTER_DATABASE'!$B$2:$B$500, "*Vát cạnh*") + COUNTIFS('01_MASTER_DATABASE'!$D$2:$D$500, A10, '01_MASTER_DATABASE'!$B$2:$B$500, "*nhựa*")</f>
        <v/>
      </c>
      <c r="C10" s="112">
        <f>COUNTIFS('01_MASTER_DATABASE'!$D$2:$D$500, A10, '01_MASTER_DATABASE'!$B$2:$B$500, "*Tầm trung*") + COUNTIFS('01_MASTER_DATABASE'!$D$2:$D$500, A10, '01_MASTER_DATABASE'!$B$2:$B$500, "*sản xuất*")</f>
        <v/>
      </c>
      <c r="D10" s="112">
        <f>COUNTIFS('01_MASTER_DATABASE'!$D$2:$D$500, A10, '01_MASTER_DATABASE'!$B$2:$B$500, "*Cao cấp*") + COUNTIFS('01_MASTER_DATABASE'!$D$2:$D$500, A10, '01_MASTER_DATABASE'!$B$2:$B$500, "*Rãnh C*")</f>
        <v/>
      </c>
      <c r="E10" s="112">
        <f>COUNTIFS('01_MASTER_DATABASE'!$D$2:$D$500, A10, '01_MASTER_DATABASE'!$B$2:$B$500, "*Luxury*") + COUNTIFS('01_MASTER_DATABASE'!$D$2:$D$500, A10, '01_MASTER_DATABASE'!$B$2:$B$500, "*Cầu cách nhiệt*")</f>
        <v/>
      </c>
    </row>
    <row r="11" ht="25" customHeight="1">
      <c r="A11" s="111" t="inlineStr">
        <is>
          <t>EuroVN</t>
        </is>
      </c>
      <c r="B11" s="112">
        <f>COUNTIFS('01_MASTER_DATABASE'!$D$2:$D$500, A11, '01_MASTER_DATABASE'!$B$2:$B$500, "*Phổ thông*") + COUNTIFS('01_MASTER_DATABASE'!$D$2:$D$500, A11, '01_MASTER_DATABASE'!$B$2:$B$500, "*Vát cạnh*") + COUNTIFS('01_MASTER_DATABASE'!$D$2:$D$500, A11, '01_MASTER_DATABASE'!$B$2:$B$500, "*nhựa*")</f>
        <v/>
      </c>
      <c r="C11" s="112">
        <f>COUNTIFS('01_MASTER_DATABASE'!$D$2:$D$500, A11, '01_MASTER_DATABASE'!$B$2:$B$500, "*Tầm trung*") + COUNTIFS('01_MASTER_DATABASE'!$D$2:$D$500, A11, '01_MASTER_DATABASE'!$B$2:$B$500, "*sản xuất*")</f>
        <v/>
      </c>
      <c r="D11" s="112">
        <f>COUNTIFS('01_MASTER_DATABASE'!$D$2:$D$500, A11, '01_MASTER_DATABASE'!$B$2:$B$500, "*Cao cấp*") + COUNTIFS('01_MASTER_DATABASE'!$D$2:$D$500, A11, '01_MASTER_DATABASE'!$B$2:$B$500, "*Rãnh C*")</f>
        <v/>
      </c>
      <c r="E11" s="112">
        <f>COUNTIFS('01_MASTER_DATABASE'!$D$2:$D$500, A11, '01_MASTER_DATABASE'!$B$2:$B$500, "*Luxury*") + COUNTIFS('01_MASTER_DATABASE'!$D$2:$D$500, A11, '01_MASTER_DATABASE'!$B$2:$B$500, "*Cầu cách nhiệt*")</f>
        <v/>
      </c>
    </row>
    <row r="12" ht="25" customHeight="1">
      <c r="A12" s="111" t="inlineStr">
        <is>
          <t>Eurowindow</t>
        </is>
      </c>
      <c r="B12" s="112">
        <f>COUNTIFS('01_MASTER_DATABASE'!$D$2:$D$500, A12, '01_MASTER_DATABASE'!$B$2:$B$500, "*Phổ thông*") + COUNTIFS('01_MASTER_DATABASE'!$D$2:$D$500, A12, '01_MASTER_DATABASE'!$B$2:$B$500, "*Vát cạnh*") + COUNTIFS('01_MASTER_DATABASE'!$D$2:$D$500, A12, '01_MASTER_DATABASE'!$B$2:$B$500, "*nhựa*")</f>
        <v/>
      </c>
      <c r="C12" s="112">
        <f>COUNTIFS('01_MASTER_DATABASE'!$D$2:$D$500, A12, '01_MASTER_DATABASE'!$B$2:$B$500, "*Tầm trung*") + COUNTIFS('01_MASTER_DATABASE'!$D$2:$D$500, A12, '01_MASTER_DATABASE'!$B$2:$B$500, "*sản xuất*")</f>
        <v/>
      </c>
      <c r="D12" s="112">
        <f>COUNTIFS('01_MASTER_DATABASE'!$D$2:$D$500, A12, '01_MASTER_DATABASE'!$B$2:$B$500, "*Cao cấp*") + COUNTIFS('01_MASTER_DATABASE'!$D$2:$D$500, A12, '01_MASTER_DATABASE'!$B$2:$B$500, "*Rãnh C*")</f>
        <v/>
      </c>
      <c r="E12" s="112">
        <f>COUNTIFS('01_MASTER_DATABASE'!$D$2:$D$500, A12, '01_MASTER_DATABASE'!$B$2:$B$500, "*Luxury*") + COUNTIFS('01_MASTER_DATABASE'!$D$2:$D$500, A12, '01_MASTER_DATABASE'!$B$2:$B$500, "*Cầu cách nhiệt*")</f>
        <v/>
      </c>
    </row>
    <row r="13" ht="25" customHeight="1">
      <c r="A13" s="111" t="inlineStr">
        <is>
          <t>Hondalex</t>
        </is>
      </c>
      <c r="B13" s="112">
        <f>COUNTIFS('01_MASTER_DATABASE'!$D$2:$D$500, A13, '01_MASTER_DATABASE'!$B$2:$B$500, "*Phổ thông*") + COUNTIFS('01_MASTER_DATABASE'!$D$2:$D$500, A13, '01_MASTER_DATABASE'!$B$2:$B$500, "*Vát cạnh*") + COUNTIFS('01_MASTER_DATABASE'!$D$2:$D$500, A13, '01_MASTER_DATABASE'!$B$2:$B$500, "*nhựa*")</f>
        <v/>
      </c>
      <c r="C13" s="112">
        <f>COUNTIFS('01_MASTER_DATABASE'!$D$2:$D$500, A13, '01_MASTER_DATABASE'!$B$2:$B$500, "*Tầm trung*") + COUNTIFS('01_MASTER_DATABASE'!$D$2:$D$500, A13, '01_MASTER_DATABASE'!$B$2:$B$500, "*sản xuất*")</f>
        <v/>
      </c>
      <c r="D13" s="112">
        <f>COUNTIFS('01_MASTER_DATABASE'!$D$2:$D$500, A13, '01_MASTER_DATABASE'!$B$2:$B$500, "*Cao cấp*") + COUNTIFS('01_MASTER_DATABASE'!$D$2:$D$500, A13, '01_MASTER_DATABASE'!$B$2:$B$500, "*Rãnh C*")</f>
        <v/>
      </c>
      <c r="E13" s="112">
        <f>COUNTIFS('01_MASTER_DATABASE'!$D$2:$D$500, A13, '01_MASTER_DATABASE'!$B$2:$B$500, "*Luxury*") + COUNTIFS('01_MASTER_DATABASE'!$D$2:$D$500, A13, '01_MASTER_DATABASE'!$B$2:$B$500, "*Cầu cách nhiệt*")</f>
        <v/>
      </c>
    </row>
    <row r="14" ht="25" customHeight="1">
      <c r="A14" s="111" t="inlineStr">
        <is>
          <t>Hệ PCCC</t>
        </is>
      </c>
      <c r="B14" s="112">
        <f>COUNTIFS('01_MASTER_DATABASE'!$D$2:$D$500, A14, '01_MASTER_DATABASE'!$B$2:$B$500, "*Phổ thông*") + COUNTIFS('01_MASTER_DATABASE'!$D$2:$D$500, A14, '01_MASTER_DATABASE'!$B$2:$B$500, "*Vát cạnh*") + COUNTIFS('01_MASTER_DATABASE'!$D$2:$D$500, A14, '01_MASTER_DATABASE'!$B$2:$B$500, "*nhựa*")</f>
        <v/>
      </c>
      <c r="C14" s="112">
        <f>COUNTIFS('01_MASTER_DATABASE'!$D$2:$D$500, A14, '01_MASTER_DATABASE'!$B$2:$B$500, "*Tầm trung*") + COUNTIFS('01_MASTER_DATABASE'!$D$2:$D$500, A14, '01_MASTER_DATABASE'!$B$2:$B$500, "*sản xuất*")</f>
        <v/>
      </c>
      <c r="D14" s="112">
        <f>COUNTIFS('01_MASTER_DATABASE'!$D$2:$D$500, A14, '01_MASTER_DATABASE'!$B$2:$B$500, "*Cao cấp*") + COUNTIFS('01_MASTER_DATABASE'!$D$2:$D$500, A14, '01_MASTER_DATABASE'!$B$2:$B$500, "*Rãnh C*")</f>
        <v/>
      </c>
      <c r="E14" s="112">
        <f>COUNTIFS('01_MASTER_DATABASE'!$D$2:$D$500, A14, '01_MASTER_DATABASE'!$B$2:$B$500, "*Luxury*") + COUNTIFS('01_MASTER_DATABASE'!$D$2:$D$500, A14, '01_MASTER_DATABASE'!$B$2:$B$500, "*Cầu cách nhiệt*")</f>
        <v/>
      </c>
    </row>
    <row r="15" ht="25" customHeight="1">
      <c r="A15" s="111" t="inlineStr">
        <is>
          <t>Hệ Smart</t>
        </is>
      </c>
      <c r="B15" s="112">
        <f>COUNTIFS('01_MASTER_DATABASE'!$D$2:$D$500, A15, '01_MASTER_DATABASE'!$B$2:$B$500, "*Phổ thông*") + COUNTIFS('01_MASTER_DATABASE'!$D$2:$D$500, A15, '01_MASTER_DATABASE'!$B$2:$B$500, "*Vát cạnh*") + COUNTIFS('01_MASTER_DATABASE'!$D$2:$D$500, A15, '01_MASTER_DATABASE'!$B$2:$B$500, "*nhựa*")</f>
        <v/>
      </c>
      <c r="C15" s="112">
        <f>COUNTIFS('01_MASTER_DATABASE'!$D$2:$D$500, A15, '01_MASTER_DATABASE'!$B$2:$B$500, "*Tầm trung*") + COUNTIFS('01_MASTER_DATABASE'!$D$2:$D$500, A15, '01_MASTER_DATABASE'!$B$2:$B$500, "*sản xuất*")</f>
        <v/>
      </c>
      <c r="D15" s="112">
        <f>COUNTIFS('01_MASTER_DATABASE'!$D$2:$D$500, A15, '01_MASTER_DATABASE'!$B$2:$B$500, "*Cao cấp*") + COUNTIFS('01_MASTER_DATABASE'!$D$2:$D$500, A15, '01_MASTER_DATABASE'!$B$2:$B$500, "*Rãnh C*")</f>
        <v/>
      </c>
      <c r="E15" s="112">
        <f>COUNTIFS('01_MASTER_DATABASE'!$D$2:$D$500, A15, '01_MASTER_DATABASE'!$B$2:$B$500, "*Luxury*") + COUNTIFS('01_MASTER_DATABASE'!$D$2:$D$500, A15, '01_MASTER_DATABASE'!$B$2:$B$500, "*Cầu cách nhiệt*")</f>
        <v/>
      </c>
    </row>
    <row r="16" ht="25" customHeight="1">
      <c r="A16" s="111" t="inlineStr">
        <is>
          <t>Hệ chuyên dụng</t>
        </is>
      </c>
      <c r="B16" s="112">
        <f>COUNTIFS('01_MASTER_DATABASE'!$D$2:$D$500, A16, '01_MASTER_DATABASE'!$B$2:$B$500, "*Phổ thông*") + COUNTIFS('01_MASTER_DATABASE'!$D$2:$D$500, A16, '01_MASTER_DATABASE'!$B$2:$B$500, "*Vát cạnh*") + COUNTIFS('01_MASTER_DATABASE'!$D$2:$D$500, A16, '01_MASTER_DATABASE'!$B$2:$B$500, "*nhựa*")</f>
        <v/>
      </c>
      <c r="C16" s="112">
        <f>COUNTIFS('01_MASTER_DATABASE'!$D$2:$D$500, A16, '01_MASTER_DATABASE'!$B$2:$B$500, "*Tầm trung*") + COUNTIFS('01_MASTER_DATABASE'!$D$2:$D$500, A16, '01_MASTER_DATABASE'!$B$2:$B$500, "*sản xuất*")</f>
        <v/>
      </c>
      <c r="D16" s="112">
        <f>COUNTIFS('01_MASTER_DATABASE'!$D$2:$D$500, A16, '01_MASTER_DATABASE'!$B$2:$B$500, "*Cao cấp*") + COUNTIFS('01_MASTER_DATABASE'!$D$2:$D$500, A16, '01_MASTER_DATABASE'!$B$2:$B$500, "*Rãnh C*")</f>
        <v/>
      </c>
      <c r="E16" s="112">
        <f>COUNTIFS('01_MASTER_DATABASE'!$D$2:$D$500, A16, '01_MASTER_DATABASE'!$B$2:$B$500, "*Luxury*") + COUNTIFS('01_MASTER_DATABASE'!$D$2:$D$500, A16, '01_MASTER_DATABASE'!$B$2:$B$500, "*Cầu cách nhiệt*")</f>
        <v/>
      </c>
    </row>
    <row r="17" ht="25" customHeight="1">
      <c r="A17" s="111" t="inlineStr">
        <is>
          <t>KOS</t>
        </is>
      </c>
      <c r="B17" s="112">
        <f>COUNTIFS('01_MASTER_DATABASE'!$D$2:$D$500, A17, '01_MASTER_DATABASE'!$B$2:$B$500, "*Phổ thông*") + COUNTIFS('01_MASTER_DATABASE'!$D$2:$D$500, A17, '01_MASTER_DATABASE'!$B$2:$B$500, "*Vát cạnh*") + COUNTIFS('01_MASTER_DATABASE'!$D$2:$D$500, A17, '01_MASTER_DATABASE'!$B$2:$B$500, "*nhựa*")</f>
        <v/>
      </c>
      <c r="C17" s="112">
        <f>COUNTIFS('01_MASTER_DATABASE'!$D$2:$D$500, A17, '01_MASTER_DATABASE'!$B$2:$B$500, "*Tầm trung*") + COUNTIFS('01_MASTER_DATABASE'!$D$2:$D$500, A17, '01_MASTER_DATABASE'!$B$2:$B$500, "*sản xuất*")</f>
        <v/>
      </c>
      <c r="D17" s="112">
        <f>COUNTIFS('01_MASTER_DATABASE'!$D$2:$D$500, A17, '01_MASTER_DATABASE'!$B$2:$B$500, "*Cao cấp*") + COUNTIFS('01_MASTER_DATABASE'!$D$2:$D$500, A17, '01_MASTER_DATABASE'!$B$2:$B$500, "*Rãnh C*")</f>
        <v/>
      </c>
      <c r="E17" s="112">
        <f>COUNTIFS('01_MASTER_DATABASE'!$D$2:$D$500, A17, '01_MASTER_DATABASE'!$B$2:$B$500, "*Luxury*") + COUNTIFS('01_MASTER_DATABASE'!$D$2:$D$500, A17, '01_MASTER_DATABASE'!$B$2:$B$500, "*Cầu cách nhiệt*")</f>
        <v/>
      </c>
    </row>
    <row r="18" ht="25" customHeight="1">
      <c r="A18" s="111" t="inlineStr">
        <is>
          <t>Kogen</t>
        </is>
      </c>
      <c r="B18" s="112">
        <f>COUNTIFS('01_MASTER_DATABASE'!$D$2:$D$500, A18, '01_MASTER_DATABASE'!$B$2:$B$500, "*Phổ thông*") + COUNTIFS('01_MASTER_DATABASE'!$D$2:$D$500, A18, '01_MASTER_DATABASE'!$B$2:$B$500, "*Vát cạnh*") + COUNTIFS('01_MASTER_DATABASE'!$D$2:$D$500, A18, '01_MASTER_DATABASE'!$B$2:$B$500, "*nhựa*")</f>
        <v/>
      </c>
      <c r="C18" s="112">
        <f>COUNTIFS('01_MASTER_DATABASE'!$D$2:$D$500, A18, '01_MASTER_DATABASE'!$B$2:$B$500, "*Tầm trung*") + COUNTIFS('01_MASTER_DATABASE'!$D$2:$D$500, A18, '01_MASTER_DATABASE'!$B$2:$B$500, "*sản xuất*")</f>
        <v/>
      </c>
      <c r="D18" s="112">
        <f>COUNTIFS('01_MASTER_DATABASE'!$D$2:$D$500, A18, '01_MASTER_DATABASE'!$B$2:$B$500, "*Cao cấp*") + COUNTIFS('01_MASTER_DATABASE'!$D$2:$D$500, A18, '01_MASTER_DATABASE'!$B$2:$B$500, "*Rãnh C*")</f>
        <v/>
      </c>
      <c r="E18" s="112">
        <f>COUNTIFS('01_MASTER_DATABASE'!$D$2:$D$500, A18, '01_MASTER_DATABASE'!$B$2:$B$500, "*Luxury*") + COUNTIFS('01_MASTER_DATABASE'!$D$2:$D$500, A18, '01_MASTER_DATABASE'!$B$2:$B$500, "*Cầu cách nhiệt*")</f>
        <v/>
      </c>
    </row>
    <row r="19" ht="25" customHeight="1">
      <c r="A19" s="111" t="inlineStr">
        <is>
          <t>Local</t>
        </is>
      </c>
      <c r="B19" s="112">
        <f>COUNTIFS('01_MASTER_DATABASE'!$D$2:$D$500, A19, '01_MASTER_DATABASE'!$B$2:$B$500, "*Phổ thông*") + COUNTIFS('01_MASTER_DATABASE'!$D$2:$D$500, A19, '01_MASTER_DATABASE'!$B$2:$B$500, "*Vát cạnh*") + COUNTIFS('01_MASTER_DATABASE'!$D$2:$D$500, A19, '01_MASTER_DATABASE'!$B$2:$B$500, "*nhựa*")</f>
        <v/>
      </c>
      <c r="C19" s="112">
        <f>COUNTIFS('01_MASTER_DATABASE'!$D$2:$D$500, A19, '01_MASTER_DATABASE'!$B$2:$B$500, "*Tầm trung*") + COUNTIFS('01_MASTER_DATABASE'!$D$2:$D$500, A19, '01_MASTER_DATABASE'!$B$2:$B$500, "*sản xuất*")</f>
        <v/>
      </c>
      <c r="D19" s="112">
        <f>COUNTIFS('01_MASTER_DATABASE'!$D$2:$D$500, A19, '01_MASTER_DATABASE'!$B$2:$B$500, "*Cao cấp*") + COUNTIFS('01_MASTER_DATABASE'!$D$2:$D$500, A19, '01_MASTER_DATABASE'!$B$2:$B$500, "*Rãnh C*")</f>
        <v/>
      </c>
      <c r="E19" s="112">
        <f>COUNTIFS('01_MASTER_DATABASE'!$D$2:$D$500, A19, '01_MASTER_DATABASE'!$B$2:$B$500, "*Luxury*") + COUNTIFS('01_MASTER_DATABASE'!$D$2:$D$500, A19, '01_MASTER_DATABASE'!$B$2:$B$500, "*Cầu cách nhiệt*")</f>
        <v/>
      </c>
    </row>
    <row r="20" ht="25" customHeight="1">
      <c r="A20" s="111" t="inlineStr">
        <is>
          <t>Local/Châu Âu</t>
        </is>
      </c>
      <c r="B20" s="112">
        <f>COUNTIFS('01_MASTER_DATABASE'!$D$2:$D$500, A20, '01_MASTER_DATABASE'!$B$2:$B$500, "*Phổ thông*") + COUNTIFS('01_MASTER_DATABASE'!$D$2:$D$500, A20, '01_MASTER_DATABASE'!$B$2:$B$500, "*Vát cạnh*") + COUNTIFS('01_MASTER_DATABASE'!$D$2:$D$500, A20, '01_MASTER_DATABASE'!$B$2:$B$500, "*nhựa*")</f>
        <v/>
      </c>
      <c r="C20" s="112">
        <f>COUNTIFS('01_MASTER_DATABASE'!$D$2:$D$500, A20, '01_MASTER_DATABASE'!$B$2:$B$500, "*Tầm trung*") + COUNTIFS('01_MASTER_DATABASE'!$D$2:$D$500, A20, '01_MASTER_DATABASE'!$B$2:$B$500, "*sản xuất*")</f>
        <v/>
      </c>
      <c r="D20" s="112">
        <f>COUNTIFS('01_MASTER_DATABASE'!$D$2:$D$500, A20, '01_MASTER_DATABASE'!$B$2:$B$500, "*Cao cấp*") + COUNTIFS('01_MASTER_DATABASE'!$D$2:$D$500, A20, '01_MASTER_DATABASE'!$B$2:$B$500, "*Rãnh C*")</f>
        <v/>
      </c>
      <c r="E20" s="112">
        <f>COUNTIFS('01_MASTER_DATABASE'!$D$2:$D$500, A20, '01_MASTER_DATABASE'!$B$2:$B$500, "*Luxury*") + COUNTIFS('01_MASTER_DATABASE'!$D$2:$D$500, A20, '01_MASTER_DATABASE'!$B$2:$B$500, "*Cầu cách nhiệt*")</f>
        <v/>
      </c>
    </row>
    <row r="21" ht="25" customHeight="1">
      <c r="A21" s="111" t="inlineStr">
        <is>
          <t>Local/Ý</t>
        </is>
      </c>
      <c r="B21" s="112">
        <f>COUNTIFS('01_MASTER_DATABASE'!$D$2:$D$500, A21, '01_MASTER_DATABASE'!$B$2:$B$500, "*Phổ thông*") + COUNTIFS('01_MASTER_DATABASE'!$D$2:$D$500, A21, '01_MASTER_DATABASE'!$B$2:$B$500, "*Vát cạnh*") + COUNTIFS('01_MASTER_DATABASE'!$D$2:$D$500, A21, '01_MASTER_DATABASE'!$B$2:$B$500, "*nhựa*")</f>
        <v/>
      </c>
      <c r="C21" s="112">
        <f>COUNTIFS('01_MASTER_DATABASE'!$D$2:$D$500, A21, '01_MASTER_DATABASE'!$B$2:$B$500, "*Tầm trung*") + COUNTIFS('01_MASTER_DATABASE'!$D$2:$D$500, A21, '01_MASTER_DATABASE'!$B$2:$B$500, "*sản xuất*")</f>
        <v/>
      </c>
      <c r="D21" s="112">
        <f>COUNTIFS('01_MASTER_DATABASE'!$D$2:$D$500, A21, '01_MASTER_DATABASE'!$B$2:$B$500, "*Cao cấp*") + COUNTIFS('01_MASTER_DATABASE'!$D$2:$D$500, A21, '01_MASTER_DATABASE'!$B$2:$B$500, "*Rãnh C*")</f>
        <v/>
      </c>
      <c r="E21" s="112">
        <f>COUNTIFS('01_MASTER_DATABASE'!$D$2:$D$500, A21, '01_MASTER_DATABASE'!$B$2:$B$500, "*Luxury*") + COUNTIFS('01_MASTER_DATABASE'!$D$2:$D$500, A21, '01_MASTER_DATABASE'!$B$2:$B$500, "*Cầu cách nhiệt*")</f>
        <v/>
      </c>
    </row>
    <row r="22" ht="25" customHeight="1">
      <c r="A22" s="111" t="inlineStr">
        <is>
          <t>Maxpro JP</t>
        </is>
      </c>
      <c r="B22" s="112">
        <f>COUNTIFS('01_MASTER_DATABASE'!$D$2:$D$500, A22, '01_MASTER_DATABASE'!$B$2:$B$500, "*Phổ thông*") + COUNTIFS('01_MASTER_DATABASE'!$D$2:$D$500, A22, '01_MASTER_DATABASE'!$B$2:$B$500, "*Vát cạnh*") + COUNTIFS('01_MASTER_DATABASE'!$D$2:$D$500, A22, '01_MASTER_DATABASE'!$B$2:$B$500, "*nhựa*")</f>
        <v/>
      </c>
      <c r="C22" s="112">
        <f>COUNTIFS('01_MASTER_DATABASE'!$D$2:$D$500, A22, '01_MASTER_DATABASE'!$B$2:$B$500, "*Tầm trung*") + COUNTIFS('01_MASTER_DATABASE'!$D$2:$D$500, A22, '01_MASTER_DATABASE'!$B$2:$B$500, "*sản xuất*")</f>
        <v/>
      </c>
      <c r="D22" s="112">
        <f>COUNTIFS('01_MASTER_DATABASE'!$D$2:$D$500, A22, '01_MASTER_DATABASE'!$B$2:$B$500, "*Cao cấp*") + COUNTIFS('01_MASTER_DATABASE'!$D$2:$D$500, A22, '01_MASTER_DATABASE'!$B$2:$B$500, "*Rãnh C*")</f>
        <v/>
      </c>
      <c r="E22" s="112">
        <f>COUNTIFS('01_MASTER_DATABASE'!$D$2:$D$500, A22, '01_MASTER_DATABASE'!$B$2:$B$500, "*Luxury*") + COUNTIFS('01_MASTER_DATABASE'!$D$2:$D$500, A22, '01_MASTER_DATABASE'!$B$2:$B$500, "*Cầu cách nhiệt*")</f>
        <v/>
      </c>
    </row>
    <row r="23" ht="25" customHeight="1">
      <c r="A23" s="111" t="inlineStr">
        <is>
          <t>Maxpro/Owin/Local</t>
        </is>
      </c>
      <c r="B23" s="112">
        <f>COUNTIFS('01_MASTER_DATABASE'!$D$2:$D$500, A23, '01_MASTER_DATABASE'!$B$2:$B$500, "*Phổ thông*") + COUNTIFS('01_MASTER_DATABASE'!$D$2:$D$500, A23, '01_MASTER_DATABASE'!$B$2:$B$500, "*Vát cạnh*") + COUNTIFS('01_MASTER_DATABASE'!$D$2:$D$500, A23, '01_MASTER_DATABASE'!$B$2:$B$500, "*nhựa*")</f>
        <v/>
      </c>
      <c r="C23" s="112">
        <f>COUNTIFS('01_MASTER_DATABASE'!$D$2:$D$500, A23, '01_MASTER_DATABASE'!$B$2:$B$500, "*Tầm trung*") + COUNTIFS('01_MASTER_DATABASE'!$D$2:$D$500, A23, '01_MASTER_DATABASE'!$B$2:$B$500, "*sản xuất*")</f>
        <v/>
      </c>
      <c r="D23" s="112">
        <f>COUNTIFS('01_MASTER_DATABASE'!$D$2:$D$500, A23, '01_MASTER_DATABASE'!$B$2:$B$500, "*Cao cấp*") + COUNTIFS('01_MASTER_DATABASE'!$D$2:$D$500, A23, '01_MASTER_DATABASE'!$B$2:$B$500, "*Rãnh C*")</f>
        <v/>
      </c>
      <c r="E23" s="112">
        <f>COUNTIFS('01_MASTER_DATABASE'!$D$2:$D$500, A23, '01_MASTER_DATABASE'!$B$2:$B$500, "*Luxury*") + COUNTIFS('01_MASTER_DATABASE'!$D$2:$D$500, A23, '01_MASTER_DATABASE'!$B$2:$B$500, "*Cầu cách nhiệt*")</f>
        <v/>
      </c>
    </row>
    <row r="24" ht="25" customHeight="1">
      <c r="A24" s="111" t="inlineStr">
        <is>
          <t>Nhiều hãng</t>
        </is>
      </c>
      <c r="B24" s="112">
        <f>COUNTIFS('01_MASTER_DATABASE'!$D$2:$D$500, A24, '01_MASTER_DATABASE'!$B$2:$B$500, "*Phổ thông*") + COUNTIFS('01_MASTER_DATABASE'!$D$2:$D$500, A24, '01_MASTER_DATABASE'!$B$2:$B$500, "*Vát cạnh*") + COUNTIFS('01_MASTER_DATABASE'!$D$2:$D$500, A24, '01_MASTER_DATABASE'!$B$2:$B$500, "*nhựa*")</f>
        <v/>
      </c>
      <c r="C24" s="112">
        <f>COUNTIFS('01_MASTER_DATABASE'!$D$2:$D$500, A24, '01_MASTER_DATABASE'!$B$2:$B$500, "*Tầm trung*") + COUNTIFS('01_MASTER_DATABASE'!$D$2:$D$500, A24, '01_MASTER_DATABASE'!$B$2:$B$500, "*sản xuất*")</f>
        <v/>
      </c>
      <c r="D24" s="112">
        <f>COUNTIFS('01_MASTER_DATABASE'!$D$2:$D$500, A24, '01_MASTER_DATABASE'!$B$2:$B$500, "*Cao cấp*") + COUNTIFS('01_MASTER_DATABASE'!$D$2:$D$500, A24, '01_MASTER_DATABASE'!$B$2:$B$500, "*Rãnh C*")</f>
        <v/>
      </c>
      <c r="E24" s="112">
        <f>COUNTIFS('01_MASTER_DATABASE'!$D$2:$D$500, A24, '01_MASTER_DATABASE'!$B$2:$B$500, "*Luxury*") + COUNTIFS('01_MASTER_DATABASE'!$D$2:$D$500, A24, '01_MASTER_DATABASE'!$B$2:$B$500, "*Cầu cách nhiệt*")</f>
        <v/>
      </c>
    </row>
    <row r="25" ht="25" customHeight="1">
      <c r="A25" s="111" t="inlineStr">
        <is>
          <t>Nhiều hãng VN</t>
        </is>
      </c>
      <c r="B25" s="112">
        <f>COUNTIFS('01_MASTER_DATABASE'!$D$2:$D$500, A25, '01_MASTER_DATABASE'!$B$2:$B$500, "*Phổ thông*") + COUNTIFS('01_MASTER_DATABASE'!$D$2:$D$500, A25, '01_MASTER_DATABASE'!$B$2:$B$500, "*Vát cạnh*") + COUNTIFS('01_MASTER_DATABASE'!$D$2:$D$500, A25, '01_MASTER_DATABASE'!$B$2:$B$500, "*nhựa*")</f>
        <v/>
      </c>
      <c r="C25" s="112">
        <f>COUNTIFS('01_MASTER_DATABASE'!$D$2:$D$500, A25, '01_MASTER_DATABASE'!$B$2:$B$500, "*Tầm trung*") + COUNTIFS('01_MASTER_DATABASE'!$D$2:$D$500, A25, '01_MASTER_DATABASE'!$B$2:$B$500, "*sản xuất*")</f>
        <v/>
      </c>
      <c r="D25" s="112">
        <f>COUNTIFS('01_MASTER_DATABASE'!$D$2:$D$500, A25, '01_MASTER_DATABASE'!$B$2:$B$500, "*Cao cấp*") + COUNTIFS('01_MASTER_DATABASE'!$D$2:$D$500, A25, '01_MASTER_DATABASE'!$B$2:$B$500, "*Rãnh C*")</f>
        <v/>
      </c>
      <c r="E25" s="112">
        <f>COUNTIFS('01_MASTER_DATABASE'!$D$2:$D$500, A25, '01_MASTER_DATABASE'!$B$2:$B$500, "*Luxury*") + COUNTIFS('01_MASTER_DATABASE'!$D$2:$D$500, A25, '01_MASTER_DATABASE'!$B$2:$B$500, "*Cầu cách nhiệt*")</f>
        <v/>
      </c>
    </row>
    <row r="26" ht="25" customHeight="1">
      <c r="A26" s="111" t="inlineStr">
        <is>
          <t>Nhiều nhà máy</t>
        </is>
      </c>
      <c r="B26" s="112">
        <f>COUNTIFS('01_MASTER_DATABASE'!$D$2:$D$500, A26, '01_MASTER_DATABASE'!$B$2:$B$500, "*Phổ thông*") + COUNTIFS('01_MASTER_DATABASE'!$D$2:$D$500, A26, '01_MASTER_DATABASE'!$B$2:$B$500, "*Vát cạnh*") + COUNTIFS('01_MASTER_DATABASE'!$D$2:$D$500, A26, '01_MASTER_DATABASE'!$B$2:$B$500, "*nhựa*")</f>
        <v/>
      </c>
      <c r="C26" s="112">
        <f>COUNTIFS('01_MASTER_DATABASE'!$D$2:$D$500, A26, '01_MASTER_DATABASE'!$B$2:$B$500, "*Tầm trung*") + COUNTIFS('01_MASTER_DATABASE'!$D$2:$D$500, A26, '01_MASTER_DATABASE'!$B$2:$B$500, "*sản xuất*")</f>
        <v/>
      </c>
      <c r="D26" s="112">
        <f>COUNTIFS('01_MASTER_DATABASE'!$D$2:$D$500, A26, '01_MASTER_DATABASE'!$B$2:$B$500, "*Cao cấp*") + COUNTIFS('01_MASTER_DATABASE'!$D$2:$D$500, A26, '01_MASTER_DATABASE'!$B$2:$B$500, "*Rãnh C*")</f>
        <v/>
      </c>
      <c r="E26" s="112">
        <f>COUNTIFS('01_MASTER_DATABASE'!$D$2:$D$500, A26, '01_MASTER_DATABASE'!$B$2:$B$500, "*Luxury*") + COUNTIFS('01_MASTER_DATABASE'!$D$2:$D$500, A26, '01_MASTER_DATABASE'!$B$2:$B$500, "*Cầu cách nhiệt*")</f>
        <v/>
      </c>
    </row>
    <row r="27" ht="25" customHeight="1">
      <c r="A27" s="111" t="inlineStr">
        <is>
          <t>Owin</t>
        </is>
      </c>
      <c r="B27" s="112">
        <f>COUNTIFS('01_MASTER_DATABASE'!$D$2:$D$500, A27, '01_MASTER_DATABASE'!$B$2:$B$500, "*Phổ thông*") + COUNTIFS('01_MASTER_DATABASE'!$D$2:$D$500, A27, '01_MASTER_DATABASE'!$B$2:$B$500, "*Vát cạnh*") + COUNTIFS('01_MASTER_DATABASE'!$D$2:$D$500, A27, '01_MASTER_DATABASE'!$B$2:$B$500, "*nhựa*")</f>
        <v/>
      </c>
      <c r="C27" s="112">
        <f>COUNTIFS('01_MASTER_DATABASE'!$D$2:$D$500, A27, '01_MASTER_DATABASE'!$B$2:$B$500, "*Tầm trung*") + COUNTIFS('01_MASTER_DATABASE'!$D$2:$D$500, A27, '01_MASTER_DATABASE'!$B$2:$B$500, "*sản xuất*")</f>
        <v/>
      </c>
      <c r="D27" s="112">
        <f>COUNTIFS('01_MASTER_DATABASE'!$D$2:$D$500, A27, '01_MASTER_DATABASE'!$B$2:$B$500, "*Cao cấp*") + COUNTIFS('01_MASTER_DATABASE'!$D$2:$D$500, A27, '01_MASTER_DATABASE'!$B$2:$B$500, "*Rãnh C*")</f>
        <v/>
      </c>
      <c r="E27" s="112">
        <f>COUNTIFS('01_MASTER_DATABASE'!$D$2:$D$500, A27, '01_MASTER_DATABASE'!$B$2:$B$500, "*Luxury*") + COUNTIFS('01_MASTER_DATABASE'!$D$2:$D$500, A27, '01_MASTER_DATABASE'!$B$2:$B$500, "*Cầu cách nhiệt*")</f>
        <v/>
      </c>
    </row>
    <row r="28" ht="25" customHeight="1">
      <c r="A28" s="111" t="inlineStr">
        <is>
          <t>PAG</t>
        </is>
      </c>
      <c r="B28" s="112">
        <f>COUNTIFS('01_MASTER_DATABASE'!$D$2:$D$500, A28, '01_MASTER_DATABASE'!$B$2:$B$500, "*Phổ thông*") + COUNTIFS('01_MASTER_DATABASE'!$D$2:$D$500, A28, '01_MASTER_DATABASE'!$B$2:$B$500, "*Vát cạnh*") + COUNTIFS('01_MASTER_DATABASE'!$D$2:$D$500, A28, '01_MASTER_DATABASE'!$B$2:$B$500, "*nhựa*")</f>
        <v/>
      </c>
      <c r="C28" s="112">
        <f>COUNTIFS('01_MASTER_DATABASE'!$D$2:$D$500, A28, '01_MASTER_DATABASE'!$B$2:$B$500, "*Tầm trung*") + COUNTIFS('01_MASTER_DATABASE'!$D$2:$D$500, A28, '01_MASTER_DATABASE'!$B$2:$B$500, "*sản xuất*")</f>
        <v/>
      </c>
      <c r="D28" s="112">
        <f>COUNTIFS('01_MASTER_DATABASE'!$D$2:$D$500, A28, '01_MASTER_DATABASE'!$B$2:$B$500, "*Cao cấp*") + COUNTIFS('01_MASTER_DATABASE'!$D$2:$D$500, A28, '01_MASTER_DATABASE'!$B$2:$B$500, "*Rãnh C*")</f>
        <v/>
      </c>
      <c r="E28" s="112">
        <f>COUNTIFS('01_MASTER_DATABASE'!$D$2:$D$500, A28, '01_MASTER_DATABASE'!$B$2:$B$500, "*Luxury*") + COUNTIFS('01_MASTER_DATABASE'!$D$2:$D$500, A28, '01_MASTER_DATABASE'!$B$2:$B$500, "*Cầu cách nhiệt*")</f>
        <v/>
      </c>
    </row>
    <row r="29" ht="25" customHeight="1">
      <c r="A29" s="111" t="inlineStr">
        <is>
          <t>PMA</t>
        </is>
      </c>
      <c r="B29" s="112">
        <f>COUNTIFS('01_MASTER_DATABASE'!$D$2:$D$500, A29, '01_MASTER_DATABASE'!$B$2:$B$500, "*Phổ thông*") + COUNTIFS('01_MASTER_DATABASE'!$D$2:$D$500, A29, '01_MASTER_DATABASE'!$B$2:$B$500, "*Vát cạnh*") + COUNTIFS('01_MASTER_DATABASE'!$D$2:$D$500, A29, '01_MASTER_DATABASE'!$B$2:$B$500, "*nhựa*")</f>
        <v/>
      </c>
      <c r="C29" s="112">
        <f>COUNTIFS('01_MASTER_DATABASE'!$D$2:$D$500, A29, '01_MASTER_DATABASE'!$B$2:$B$500, "*Tầm trung*") + COUNTIFS('01_MASTER_DATABASE'!$D$2:$D$500, A29, '01_MASTER_DATABASE'!$B$2:$B$500, "*sản xuất*")</f>
        <v/>
      </c>
      <c r="D29" s="112">
        <f>COUNTIFS('01_MASTER_DATABASE'!$D$2:$D$500, A29, '01_MASTER_DATABASE'!$B$2:$B$500, "*Cao cấp*") + COUNTIFS('01_MASTER_DATABASE'!$D$2:$D$500, A29, '01_MASTER_DATABASE'!$B$2:$B$500, "*Rãnh C*")</f>
        <v/>
      </c>
      <c r="E29" s="112">
        <f>COUNTIFS('01_MASTER_DATABASE'!$D$2:$D$500, A29, '01_MASTER_DATABASE'!$B$2:$B$500, "*Luxury*") + COUNTIFS('01_MASTER_DATABASE'!$D$2:$D$500, A29, '01_MASTER_DATABASE'!$B$2:$B$500, "*Cầu cách nhiệt*")</f>
        <v/>
      </c>
    </row>
    <row r="30" ht="25" customHeight="1">
      <c r="A30" s="111" t="inlineStr">
        <is>
          <t>PMI</t>
        </is>
      </c>
      <c r="B30" s="112">
        <f>COUNTIFS('01_MASTER_DATABASE'!$D$2:$D$500, A30, '01_MASTER_DATABASE'!$B$2:$B$500, "*Phổ thông*") + COUNTIFS('01_MASTER_DATABASE'!$D$2:$D$500, A30, '01_MASTER_DATABASE'!$B$2:$B$500, "*Vát cạnh*") + COUNTIFS('01_MASTER_DATABASE'!$D$2:$D$500, A30, '01_MASTER_DATABASE'!$B$2:$B$500, "*nhựa*")</f>
        <v/>
      </c>
      <c r="C30" s="112">
        <f>COUNTIFS('01_MASTER_DATABASE'!$D$2:$D$500, A30, '01_MASTER_DATABASE'!$B$2:$B$500, "*Tầm trung*") + COUNTIFS('01_MASTER_DATABASE'!$D$2:$D$500, A30, '01_MASTER_DATABASE'!$B$2:$B$500, "*sản xuất*")</f>
        <v/>
      </c>
      <c r="D30" s="112">
        <f>COUNTIFS('01_MASTER_DATABASE'!$D$2:$D$500, A30, '01_MASTER_DATABASE'!$B$2:$B$500, "*Cao cấp*") + COUNTIFS('01_MASTER_DATABASE'!$D$2:$D$500, A30, '01_MASTER_DATABASE'!$B$2:$B$500, "*Rãnh C*")</f>
        <v/>
      </c>
      <c r="E30" s="112">
        <f>COUNTIFS('01_MASTER_DATABASE'!$D$2:$D$500, A30, '01_MASTER_DATABASE'!$B$2:$B$500, "*Luxury*") + COUNTIFS('01_MASTER_DATABASE'!$D$2:$D$500, A30, '01_MASTER_DATABASE'!$B$2:$B$500, "*Cầu cách nhiệt*")</f>
        <v/>
      </c>
    </row>
    <row r="31" ht="25" customHeight="1">
      <c r="A31" s="111" t="inlineStr">
        <is>
          <t>Reynaers</t>
        </is>
      </c>
      <c r="B31" s="112">
        <f>COUNTIFS('01_MASTER_DATABASE'!$D$2:$D$500, A31, '01_MASTER_DATABASE'!$B$2:$B$500, "*Phổ thông*") + COUNTIFS('01_MASTER_DATABASE'!$D$2:$D$500, A31, '01_MASTER_DATABASE'!$B$2:$B$500, "*Vát cạnh*") + COUNTIFS('01_MASTER_DATABASE'!$D$2:$D$500, A31, '01_MASTER_DATABASE'!$B$2:$B$500, "*nhựa*")</f>
        <v/>
      </c>
      <c r="C31" s="112">
        <f>COUNTIFS('01_MASTER_DATABASE'!$D$2:$D$500, A31, '01_MASTER_DATABASE'!$B$2:$B$500, "*Tầm trung*") + COUNTIFS('01_MASTER_DATABASE'!$D$2:$D$500, A31, '01_MASTER_DATABASE'!$B$2:$B$500, "*sản xuất*")</f>
        <v/>
      </c>
      <c r="D31" s="112">
        <f>COUNTIFS('01_MASTER_DATABASE'!$D$2:$D$500, A31, '01_MASTER_DATABASE'!$B$2:$B$500, "*Cao cấp*") + COUNTIFS('01_MASTER_DATABASE'!$D$2:$D$500, A31, '01_MASTER_DATABASE'!$B$2:$B$500, "*Rãnh C*")</f>
        <v/>
      </c>
      <c r="E31" s="112">
        <f>COUNTIFS('01_MASTER_DATABASE'!$D$2:$D$500, A31, '01_MASTER_DATABASE'!$B$2:$B$500, "*Luxury*") + COUNTIFS('01_MASTER_DATABASE'!$D$2:$D$500, A31, '01_MASTER_DATABASE'!$B$2:$B$500, "*Cầu cách nhiệt*")</f>
        <v/>
      </c>
    </row>
    <row r="32" ht="25" customHeight="1">
      <c r="A32" s="111" t="inlineStr">
        <is>
          <t>Schüco</t>
        </is>
      </c>
      <c r="B32" s="112">
        <f>COUNTIFS('01_MASTER_DATABASE'!$D$2:$D$500, A32, '01_MASTER_DATABASE'!$B$2:$B$500, "*Phổ thông*") + COUNTIFS('01_MASTER_DATABASE'!$D$2:$D$500, A32, '01_MASTER_DATABASE'!$B$2:$B$500, "*Vát cạnh*") + COUNTIFS('01_MASTER_DATABASE'!$D$2:$D$500, A32, '01_MASTER_DATABASE'!$B$2:$B$500, "*nhựa*")</f>
        <v/>
      </c>
      <c r="C32" s="112">
        <f>COUNTIFS('01_MASTER_DATABASE'!$D$2:$D$500, A32, '01_MASTER_DATABASE'!$B$2:$B$500, "*Tầm trung*") + COUNTIFS('01_MASTER_DATABASE'!$D$2:$D$500, A32, '01_MASTER_DATABASE'!$B$2:$B$500, "*sản xuất*")</f>
        <v/>
      </c>
      <c r="D32" s="112">
        <f>COUNTIFS('01_MASTER_DATABASE'!$D$2:$D$500, A32, '01_MASTER_DATABASE'!$B$2:$B$500, "*Cao cấp*") + COUNTIFS('01_MASTER_DATABASE'!$D$2:$D$500, A32, '01_MASTER_DATABASE'!$B$2:$B$500, "*Rãnh C*")</f>
        <v/>
      </c>
      <c r="E32" s="112">
        <f>COUNTIFS('01_MASTER_DATABASE'!$D$2:$D$500, A32, '01_MASTER_DATABASE'!$B$2:$B$500, "*Luxury*") + COUNTIFS('01_MASTER_DATABASE'!$D$2:$D$500, A32, '01_MASTER_DATABASE'!$B$2:$B$500, "*Cầu cách nhiệt*")</f>
        <v/>
      </c>
    </row>
    <row r="33" ht="25" customHeight="1">
      <c r="A33" s="111" t="inlineStr">
        <is>
          <t>Soco</t>
        </is>
      </c>
      <c r="B33" s="112">
        <f>COUNTIFS('01_MASTER_DATABASE'!$D$2:$D$500, A33, '01_MASTER_DATABASE'!$B$2:$B$500, "*Phổ thông*") + COUNTIFS('01_MASTER_DATABASE'!$D$2:$D$500, A33, '01_MASTER_DATABASE'!$B$2:$B$500, "*Vát cạnh*") + COUNTIFS('01_MASTER_DATABASE'!$D$2:$D$500, A33, '01_MASTER_DATABASE'!$B$2:$B$500, "*nhựa*")</f>
        <v/>
      </c>
      <c r="C33" s="112">
        <f>COUNTIFS('01_MASTER_DATABASE'!$D$2:$D$500, A33, '01_MASTER_DATABASE'!$B$2:$B$500, "*Tầm trung*") + COUNTIFS('01_MASTER_DATABASE'!$D$2:$D$500, A33, '01_MASTER_DATABASE'!$B$2:$B$500, "*sản xuất*")</f>
        <v/>
      </c>
      <c r="D33" s="112">
        <f>COUNTIFS('01_MASTER_DATABASE'!$D$2:$D$500, A33, '01_MASTER_DATABASE'!$B$2:$B$500, "*Cao cấp*") + COUNTIFS('01_MASTER_DATABASE'!$D$2:$D$500, A33, '01_MASTER_DATABASE'!$B$2:$B$500, "*Rãnh C*")</f>
        <v/>
      </c>
      <c r="E33" s="112">
        <f>COUNTIFS('01_MASTER_DATABASE'!$D$2:$D$500, A33, '01_MASTER_DATABASE'!$B$2:$B$500, "*Luxury*") + COUNTIFS('01_MASTER_DATABASE'!$D$2:$D$500, A33, '01_MASTER_DATABASE'!$B$2:$B$500, "*Cầu cách nhiệt*")</f>
        <v/>
      </c>
    </row>
    <row r="34" ht="25" customHeight="1">
      <c r="A34" s="111" t="inlineStr">
        <is>
          <t>Soco/Local</t>
        </is>
      </c>
      <c r="B34" s="112">
        <f>COUNTIFS('01_MASTER_DATABASE'!$D$2:$D$500, A34, '01_MASTER_DATABASE'!$B$2:$B$500, "*Phổ thông*") + COUNTIFS('01_MASTER_DATABASE'!$D$2:$D$500, A34, '01_MASTER_DATABASE'!$B$2:$B$500, "*Vát cạnh*") + COUNTIFS('01_MASTER_DATABASE'!$D$2:$D$500, A34, '01_MASTER_DATABASE'!$B$2:$B$500, "*nhựa*")</f>
        <v/>
      </c>
      <c r="C34" s="112">
        <f>COUNTIFS('01_MASTER_DATABASE'!$D$2:$D$500, A34, '01_MASTER_DATABASE'!$B$2:$B$500, "*Tầm trung*") + COUNTIFS('01_MASTER_DATABASE'!$D$2:$D$500, A34, '01_MASTER_DATABASE'!$B$2:$B$500, "*sản xuất*")</f>
        <v/>
      </c>
      <c r="D34" s="112">
        <f>COUNTIFS('01_MASTER_DATABASE'!$D$2:$D$500, A34, '01_MASTER_DATABASE'!$B$2:$B$500, "*Cao cấp*") + COUNTIFS('01_MASTER_DATABASE'!$D$2:$D$500, A34, '01_MASTER_DATABASE'!$B$2:$B$500, "*Rãnh C*")</f>
        <v/>
      </c>
      <c r="E34" s="112">
        <f>COUNTIFS('01_MASTER_DATABASE'!$D$2:$D$500, A34, '01_MASTER_DATABASE'!$B$2:$B$500, "*Luxury*") + COUNTIFS('01_MASTER_DATABASE'!$D$2:$D$500, A34, '01_MASTER_DATABASE'!$B$2:$B$500, "*Cầu cách nhiệt*")</f>
        <v/>
      </c>
    </row>
    <row r="35" ht="25" customHeight="1">
      <c r="A35" s="111" t="inlineStr">
        <is>
          <t>Soco/Maxpro/Civro</t>
        </is>
      </c>
      <c r="B35" s="112">
        <f>COUNTIFS('01_MASTER_DATABASE'!$D$2:$D$500, A35, '01_MASTER_DATABASE'!$B$2:$B$500, "*Phổ thông*") + COUNTIFS('01_MASTER_DATABASE'!$D$2:$D$500, A35, '01_MASTER_DATABASE'!$B$2:$B$500, "*Vát cạnh*") + COUNTIFS('01_MASTER_DATABASE'!$D$2:$D$500, A35, '01_MASTER_DATABASE'!$B$2:$B$500, "*nhựa*")</f>
        <v/>
      </c>
      <c r="C35" s="112">
        <f>COUNTIFS('01_MASTER_DATABASE'!$D$2:$D$500, A35, '01_MASTER_DATABASE'!$B$2:$B$500, "*Tầm trung*") + COUNTIFS('01_MASTER_DATABASE'!$D$2:$D$500, A35, '01_MASTER_DATABASE'!$B$2:$B$500, "*sản xuất*")</f>
        <v/>
      </c>
      <c r="D35" s="112">
        <f>COUNTIFS('01_MASTER_DATABASE'!$D$2:$D$500, A35, '01_MASTER_DATABASE'!$B$2:$B$500, "*Cao cấp*") + COUNTIFS('01_MASTER_DATABASE'!$D$2:$D$500, A35, '01_MASTER_DATABASE'!$B$2:$B$500, "*Rãnh C*")</f>
        <v/>
      </c>
      <c r="E35" s="112">
        <f>COUNTIFS('01_MASTER_DATABASE'!$D$2:$D$500, A35, '01_MASTER_DATABASE'!$B$2:$B$500, "*Luxury*") + COUNTIFS('01_MASTER_DATABASE'!$D$2:$D$500, A35, '01_MASTER_DATABASE'!$B$2:$B$500, "*Cầu cách nhiệt*")</f>
        <v/>
      </c>
    </row>
    <row r="36" ht="25" customHeight="1">
      <c r="A36" s="111" t="inlineStr">
        <is>
          <t>Topal</t>
        </is>
      </c>
      <c r="B36" s="112">
        <f>COUNTIFS('01_MASTER_DATABASE'!$D$2:$D$500, A36, '01_MASTER_DATABASE'!$B$2:$B$500, "*Phổ thông*") + COUNTIFS('01_MASTER_DATABASE'!$D$2:$D$500, A36, '01_MASTER_DATABASE'!$B$2:$B$500, "*Vát cạnh*") + COUNTIFS('01_MASTER_DATABASE'!$D$2:$D$500, A36, '01_MASTER_DATABASE'!$B$2:$B$500, "*nhựa*")</f>
        <v/>
      </c>
      <c r="C36" s="112">
        <f>COUNTIFS('01_MASTER_DATABASE'!$D$2:$D$500, A36, '01_MASTER_DATABASE'!$B$2:$B$500, "*Tầm trung*") + COUNTIFS('01_MASTER_DATABASE'!$D$2:$D$500, A36, '01_MASTER_DATABASE'!$B$2:$B$500, "*sản xuất*")</f>
        <v/>
      </c>
      <c r="D36" s="112">
        <f>COUNTIFS('01_MASTER_DATABASE'!$D$2:$D$500, A36, '01_MASTER_DATABASE'!$B$2:$B$500, "*Cao cấp*") + COUNTIFS('01_MASTER_DATABASE'!$D$2:$D$500, A36, '01_MASTER_DATABASE'!$B$2:$B$500, "*Rãnh C*")</f>
        <v/>
      </c>
      <c r="E36" s="112">
        <f>COUNTIFS('01_MASTER_DATABASE'!$D$2:$D$500, A36, '01_MASTER_DATABASE'!$B$2:$B$500, "*Luxury*") + COUNTIFS('01_MASTER_DATABASE'!$D$2:$D$500, A36, '01_MASTER_DATABASE'!$B$2:$B$500, "*Cầu cách nhiệt*")</f>
        <v/>
      </c>
    </row>
    <row r="37" ht="25" customHeight="1">
      <c r="A37" s="111" t="inlineStr">
        <is>
          <t>Viralwindow</t>
        </is>
      </c>
      <c r="B37" s="112">
        <f>COUNTIFS('01_MASTER_DATABASE'!$D$2:$D$500, A37, '01_MASTER_DATABASE'!$B$2:$B$500, "*Phổ thông*") + COUNTIFS('01_MASTER_DATABASE'!$D$2:$D$500, A37, '01_MASTER_DATABASE'!$B$2:$B$500, "*Vát cạnh*") + COUNTIFS('01_MASTER_DATABASE'!$D$2:$D$500, A37, '01_MASTER_DATABASE'!$B$2:$B$500, "*nhựa*")</f>
        <v/>
      </c>
      <c r="C37" s="112">
        <f>COUNTIFS('01_MASTER_DATABASE'!$D$2:$D$500, A37, '01_MASTER_DATABASE'!$B$2:$B$500, "*Tầm trung*") + COUNTIFS('01_MASTER_DATABASE'!$D$2:$D$500, A37, '01_MASTER_DATABASE'!$B$2:$B$500, "*sản xuất*")</f>
        <v/>
      </c>
      <c r="D37" s="112">
        <f>COUNTIFS('01_MASTER_DATABASE'!$D$2:$D$500, A37, '01_MASTER_DATABASE'!$B$2:$B$500, "*Cao cấp*") + COUNTIFS('01_MASTER_DATABASE'!$D$2:$D$500, A37, '01_MASTER_DATABASE'!$B$2:$B$500, "*Rãnh C*")</f>
        <v/>
      </c>
      <c r="E37" s="112">
        <f>COUNTIFS('01_MASTER_DATABASE'!$D$2:$D$500, A37, '01_MASTER_DATABASE'!$B$2:$B$500, "*Luxury*") + COUNTIFS('01_MASTER_DATABASE'!$D$2:$D$500, A37, '01_MASTER_DATABASE'!$B$2:$B$500, "*Cầu cách nhiệt*")</f>
        <v/>
      </c>
    </row>
    <row r="38" ht="25" customHeight="1">
      <c r="A38" s="111" t="inlineStr">
        <is>
          <t>Vitrocsa/Local</t>
        </is>
      </c>
      <c r="B38" s="112">
        <f>COUNTIFS('01_MASTER_DATABASE'!$D$2:$D$500, A38, '01_MASTER_DATABASE'!$B$2:$B$500, "*Phổ thông*") + COUNTIFS('01_MASTER_DATABASE'!$D$2:$D$500, A38, '01_MASTER_DATABASE'!$B$2:$B$500, "*Vát cạnh*") + COUNTIFS('01_MASTER_DATABASE'!$D$2:$D$500, A38, '01_MASTER_DATABASE'!$B$2:$B$500, "*nhựa*")</f>
        <v/>
      </c>
      <c r="C38" s="112">
        <f>COUNTIFS('01_MASTER_DATABASE'!$D$2:$D$500, A38, '01_MASTER_DATABASE'!$B$2:$B$500, "*Tầm trung*") + COUNTIFS('01_MASTER_DATABASE'!$D$2:$D$500, A38, '01_MASTER_DATABASE'!$B$2:$B$500, "*sản xuất*")</f>
        <v/>
      </c>
      <c r="D38" s="112">
        <f>COUNTIFS('01_MASTER_DATABASE'!$D$2:$D$500, A38, '01_MASTER_DATABASE'!$B$2:$B$500, "*Cao cấp*") + COUNTIFS('01_MASTER_DATABASE'!$D$2:$D$500, A38, '01_MASTER_DATABASE'!$B$2:$B$500, "*Rãnh C*")</f>
        <v/>
      </c>
      <c r="E38" s="112">
        <f>COUNTIFS('01_MASTER_DATABASE'!$D$2:$D$500, A38, '01_MASTER_DATABASE'!$B$2:$B$500, "*Luxury*") + COUNTIFS('01_MASTER_DATABASE'!$D$2:$D$500, A38, '01_MASTER_DATABASE'!$B$2:$B$500, "*Cầu cách nhiệt*")</f>
        <v/>
      </c>
    </row>
    <row r="39" ht="25" customHeight="1">
      <c r="A39" s="111" t="inlineStr">
        <is>
          <t>Việt Pháp</t>
        </is>
      </c>
      <c r="B39" s="112">
        <f>COUNTIFS('01_MASTER_DATABASE'!$D$2:$D$500, A39, '01_MASTER_DATABASE'!$B$2:$B$500, "*Phổ thông*") + COUNTIFS('01_MASTER_DATABASE'!$D$2:$D$500, A39, '01_MASTER_DATABASE'!$B$2:$B$500, "*Vát cạnh*") + COUNTIFS('01_MASTER_DATABASE'!$D$2:$D$500, A39, '01_MASTER_DATABASE'!$B$2:$B$500, "*nhựa*")</f>
        <v/>
      </c>
      <c r="C39" s="112">
        <f>COUNTIFS('01_MASTER_DATABASE'!$D$2:$D$500, A39, '01_MASTER_DATABASE'!$B$2:$B$500, "*Tầm trung*") + COUNTIFS('01_MASTER_DATABASE'!$D$2:$D$500, A39, '01_MASTER_DATABASE'!$B$2:$B$500, "*sản xuất*")</f>
        <v/>
      </c>
      <c r="D39" s="112">
        <f>COUNTIFS('01_MASTER_DATABASE'!$D$2:$D$500, A39, '01_MASTER_DATABASE'!$B$2:$B$500, "*Cao cấp*") + COUNTIFS('01_MASTER_DATABASE'!$D$2:$D$500, A39, '01_MASTER_DATABASE'!$B$2:$B$500, "*Rãnh C*")</f>
        <v/>
      </c>
      <c r="E39" s="112">
        <f>COUNTIFS('01_MASTER_DATABASE'!$D$2:$D$500, A39, '01_MASTER_DATABASE'!$B$2:$B$500, "*Luxury*") + COUNTIFS('01_MASTER_DATABASE'!$D$2:$D$500, A39, '01_MASTER_DATABASE'!$B$2:$B$500, "*Cầu cách nhiệt*")</f>
        <v/>
      </c>
    </row>
    <row r="40" ht="25" customHeight="1">
      <c r="A40" s="111" t="inlineStr">
        <is>
          <t>Việt Ý</t>
        </is>
      </c>
      <c r="B40" s="112">
        <f>COUNTIFS('01_MASTER_DATABASE'!$D$2:$D$500, A40, '01_MASTER_DATABASE'!$B$2:$B$500, "*Phổ thông*") + COUNTIFS('01_MASTER_DATABASE'!$D$2:$D$500, A40, '01_MASTER_DATABASE'!$B$2:$B$500, "*Vát cạnh*") + COUNTIFS('01_MASTER_DATABASE'!$D$2:$D$500, A40, '01_MASTER_DATABASE'!$B$2:$B$500, "*nhựa*")</f>
        <v/>
      </c>
      <c r="C40" s="112">
        <f>COUNTIFS('01_MASTER_DATABASE'!$D$2:$D$500, A40, '01_MASTER_DATABASE'!$B$2:$B$500, "*Tầm trung*") + COUNTIFS('01_MASTER_DATABASE'!$D$2:$D$500, A40, '01_MASTER_DATABASE'!$B$2:$B$500, "*sản xuất*")</f>
        <v/>
      </c>
      <c r="D40" s="112">
        <f>COUNTIFS('01_MASTER_DATABASE'!$D$2:$D$500, A40, '01_MASTER_DATABASE'!$B$2:$B$500, "*Cao cấp*") + COUNTIFS('01_MASTER_DATABASE'!$D$2:$D$500, A40, '01_MASTER_DATABASE'!$B$2:$B$500, "*Rãnh C*")</f>
        <v/>
      </c>
      <c r="E40" s="112">
        <f>COUNTIFS('01_MASTER_DATABASE'!$D$2:$D$500, A40, '01_MASTER_DATABASE'!$B$2:$B$500, "*Luxury*") + COUNTIFS('01_MASTER_DATABASE'!$D$2:$D$500, A40, '01_MASTER_DATABASE'!$B$2:$B$500, "*Cầu cách nhiệt*")</f>
        <v/>
      </c>
    </row>
    <row r="41" ht="25" customHeight="1">
      <c r="A41" s="111" t="inlineStr">
        <is>
          <t>Xingfa</t>
        </is>
      </c>
      <c r="B41" s="112">
        <f>COUNTIFS('01_MASTER_DATABASE'!$D$2:$D$500, A41, '01_MASTER_DATABASE'!$B$2:$B$500, "*Phổ thông*") + COUNTIFS('01_MASTER_DATABASE'!$D$2:$D$500, A41, '01_MASTER_DATABASE'!$B$2:$B$500, "*Vát cạnh*") + COUNTIFS('01_MASTER_DATABASE'!$D$2:$D$500, A41, '01_MASTER_DATABASE'!$B$2:$B$500, "*nhựa*")</f>
        <v/>
      </c>
      <c r="C41" s="112">
        <f>COUNTIFS('01_MASTER_DATABASE'!$D$2:$D$500, A41, '01_MASTER_DATABASE'!$B$2:$B$500, "*Tầm trung*") + COUNTIFS('01_MASTER_DATABASE'!$D$2:$D$500, A41, '01_MASTER_DATABASE'!$B$2:$B$500, "*sản xuất*")</f>
        <v/>
      </c>
      <c r="D41" s="112">
        <f>COUNTIFS('01_MASTER_DATABASE'!$D$2:$D$500, A41, '01_MASTER_DATABASE'!$B$2:$B$500, "*Cao cấp*") + COUNTIFS('01_MASTER_DATABASE'!$D$2:$D$500, A41, '01_MASTER_DATABASE'!$B$2:$B$500, "*Rãnh C*")</f>
        <v/>
      </c>
      <c r="E41" s="112">
        <f>COUNTIFS('01_MASTER_DATABASE'!$D$2:$D$500, A41, '01_MASTER_DATABASE'!$B$2:$B$500, "*Luxury*") + COUNTIFS('01_MASTER_DATABASE'!$D$2:$D$500, A41, '01_MASTER_DATABASE'!$B$2:$B$500, "*Cầu cách nhiệt*")</f>
        <v/>
      </c>
    </row>
    <row r="42" ht="25" customHeight="1">
      <c r="A42" s="111" t="inlineStr">
        <is>
          <t>YKK AP</t>
        </is>
      </c>
      <c r="B42" s="112">
        <f>COUNTIFS('01_MASTER_DATABASE'!$D$2:$D$500, A42, '01_MASTER_DATABASE'!$B$2:$B$500, "*Phổ thông*") + COUNTIFS('01_MASTER_DATABASE'!$D$2:$D$500, A42, '01_MASTER_DATABASE'!$B$2:$B$500, "*Vát cạnh*") + COUNTIFS('01_MASTER_DATABASE'!$D$2:$D$500, A42, '01_MASTER_DATABASE'!$B$2:$B$500, "*nhựa*")</f>
        <v/>
      </c>
      <c r="C42" s="112">
        <f>COUNTIFS('01_MASTER_DATABASE'!$D$2:$D$500, A42, '01_MASTER_DATABASE'!$B$2:$B$500, "*Tầm trung*") + COUNTIFS('01_MASTER_DATABASE'!$D$2:$D$500, A42, '01_MASTER_DATABASE'!$B$2:$B$500, "*sản xuất*")</f>
        <v/>
      </c>
      <c r="D42" s="112">
        <f>COUNTIFS('01_MASTER_DATABASE'!$D$2:$D$500, A42, '01_MASTER_DATABASE'!$B$2:$B$500, "*Cao cấp*") + COUNTIFS('01_MASTER_DATABASE'!$D$2:$D$500, A42, '01_MASTER_DATABASE'!$B$2:$B$500, "*Rãnh C*")</f>
        <v/>
      </c>
      <c r="E42" s="112">
        <f>COUNTIFS('01_MASTER_DATABASE'!$D$2:$D$500, A42, '01_MASTER_DATABASE'!$B$2:$B$500, "*Luxury*") + COUNTIFS('01_MASTER_DATABASE'!$D$2:$D$500, A42, '01_MASTER_DATABASE'!$B$2:$B$500, "*Cầu cách nhiệt*")</f>
        <v/>
      </c>
    </row>
    <row r="43" ht="25" customHeight="1">
      <c r="A43" s="111" t="inlineStr">
        <is>
          <t>Yangli</t>
        </is>
      </c>
      <c r="B43" s="112">
        <f>COUNTIFS('01_MASTER_DATABASE'!$D$2:$D$500, A43, '01_MASTER_DATABASE'!$B$2:$B$500, "*Phổ thông*") + COUNTIFS('01_MASTER_DATABASE'!$D$2:$D$500, A43, '01_MASTER_DATABASE'!$B$2:$B$500, "*Vát cạnh*") + COUNTIFS('01_MASTER_DATABASE'!$D$2:$D$500, A43, '01_MASTER_DATABASE'!$B$2:$B$500, "*nhựa*")</f>
        <v/>
      </c>
      <c r="C43" s="112">
        <f>COUNTIFS('01_MASTER_DATABASE'!$D$2:$D$500, A43, '01_MASTER_DATABASE'!$B$2:$B$500, "*Tầm trung*") + COUNTIFS('01_MASTER_DATABASE'!$D$2:$D$500, A43, '01_MASTER_DATABASE'!$B$2:$B$500, "*sản xuất*")</f>
        <v/>
      </c>
      <c r="D43" s="112">
        <f>COUNTIFS('01_MASTER_DATABASE'!$D$2:$D$500, A43, '01_MASTER_DATABASE'!$B$2:$B$500, "*Cao cấp*") + COUNTIFS('01_MASTER_DATABASE'!$D$2:$D$500, A43, '01_MASTER_DATABASE'!$B$2:$B$500, "*Rãnh C*")</f>
        <v/>
      </c>
      <c r="E43" s="112">
        <f>COUNTIFS('01_MASTER_DATABASE'!$D$2:$D$500, A43, '01_MASTER_DATABASE'!$B$2:$B$500, "*Luxury*") + COUNTIFS('01_MASTER_DATABASE'!$D$2:$D$500, A43, '01_MASTER_DATABASE'!$B$2:$B$500, "*Cầu cách nhiệt*")</f>
        <v/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0" customHeight="1">
      <c r="A1" s="109" t="inlineStr">
        <is>
          <t>PHÂN LOẠI CỬA THEO THỂ LOẠI (CỬA ĐI, SỔ, VÁCH, MÁI...)</t>
        </is>
      </c>
    </row>
    <row r="2" ht="20" customHeight="1"/>
    <row r="4" ht="30" customHeight="1">
      <c r="A4" s="110" t="inlineStr">
        <is>
          <t>Hãng</t>
        </is>
      </c>
      <c r="B4" s="110" t="inlineStr">
        <is>
          <t>Cửa Đi</t>
        </is>
      </c>
      <c r="C4" s="110" t="inlineStr">
        <is>
          <t>Cửa Sổ</t>
        </is>
      </c>
      <c r="D4" s="110" t="inlineStr">
        <is>
          <t>Vách Ngăn</t>
        </is>
      </c>
      <c r="E4" s="110" t="inlineStr">
        <is>
          <t>Mặt Dựng Vách Kính</t>
        </is>
      </c>
      <c r="F4" s="110" t="inlineStr">
        <is>
          <t>Lan Can Kính</t>
        </is>
      </c>
      <c r="G4" s="110" t="inlineStr">
        <is>
          <t>Mái Kính Cường Lực</t>
        </is>
      </c>
      <c r="H4" s="110" t="inlineStr">
        <is>
          <t>Khác</t>
        </is>
      </c>
    </row>
    <row r="5" ht="25" customHeight="1">
      <c r="A5" s="111" t="inlineStr">
        <is>
          <t>Civro</t>
        </is>
      </c>
      <c r="B5" s="112">
        <f>COUNTIFS('01_MASTER_DATABASE'!$D$2:$D$500, A5, '01_MASTER_DATABASE'!$G$2:$G$500, "*Cửa đi*")</f>
        <v/>
      </c>
      <c r="C5" s="112">
        <f>COUNTIFS('01_MASTER_DATABASE'!$D$2:$D$500, A5, '01_MASTER_DATABASE'!$G$2:$G$500, "*Cửa sổ*")</f>
        <v/>
      </c>
      <c r="D5" s="112">
        <f>COUNTIFS('01_MASTER_DATABASE'!$D$2:$D$500, A5, '01_MASTER_DATABASE'!$G$2:$G$500, "*vách ngăn*")</f>
        <v/>
      </c>
      <c r="E5" s="112">
        <f>COUNTIFS('01_MASTER_DATABASE'!$D$2:$D$500, A5, '01_MASTER_DATABASE'!$G$2:$G$500, "*mặt dựng*")</f>
        <v/>
      </c>
      <c r="F5" s="112">
        <f>COUNTIFS('01_MASTER_DATABASE'!$D$2:$D$500, A5, '01_MASTER_DATABASE'!$G$2:$G$500, "*lan can*")</f>
        <v/>
      </c>
      <c r="G5" s="112">
        <f>COUNTIFS('01_MASTER_DATABASE'!$D$2:$D$500, A5, '01_MASTER_DATABASE'!$G$2:$G$500, "*mái kính*")</f>
        <v/>
      </c>
      <c r="H5" s="112">
        <f>COUNTIF('01_MASTER_DATABASE'!$D$2:$D$500, A5) - (B5+C5+D5+E5+F5+G5)</f>
        <v/>
      </c>
    </row>
    <row r="6" ht="25" customHeight="1">
      <c r="A6" s="111" t="inlineStr">
        <is>
          <t>Civro/Maxpro/Soco</t>
        </is>
      </c>
      <c r="B6" s="112">
        <f>COUNTIFS('01_MASTER_DATABASE'!$D$2:$D$500, A6, '01_MASTER_DATABASE'!$G$2:$G$500, "*Cửa đi*")</f>
        <v/>
      </c>
      <c r="C6" s="112">
        <f>COUNTIFS('01_MASTER_DATABASE'!$D$2:$D$500, A6, '01_MASTER_DATABASE'!$G$2:$G$500, "*Cửa sổ*")</f>
        <v/>
      </c>
      <c r="D6" s="112">
        <f>COUNTIFS('01_MASTER_DATABASE'!$D$2:$D$500, A6, '01_MASTER_DATABASE'!$G$2:$G$500, "*vách ngăn*")</f>
        <v/>
      </c>
      <c r="E6" s="112">
        <f>COUNTIFS('01_MASTER_DATABASE'!$D$2:$D$500, A6, '01_MASTER_DATABASE'!$G$2:$G$500, "*mặt dựng*")</f>
        <v/>
      </c>
      <c r="F6" s="112">
        <f>COUNTIFS('01_MASTER_DATABASE'!$D$2:$D$500, A6, '01_MASTER_DATABASE'!$G$2:$G$500, "*lan can*")</f>
        <v/>
      </c>
      <c r="G6" s="112">
        <f>COUNTIFS('01_MASTER_DATABASE'!$D$2:$D$500, A6, '01_MASTER_DATABASE'!$G$2:$G$500, "*mái kính*")</f>
        <v/>
      </c>
      <c r="H6" s="112">
        <f>COUNTIF('01_MASTER_DATABASE'!$D$2:$D$500, A6) - (B6+C6+D6+E6+F6+G6)</f>
        <v/>
      </c>
    </row>
    <row r="7" ht="25" customHeight="1">
      <c r="A7" s="111" t="inlineStr">
        <is>
          <t>Civro/Owin/Local</t>
        </is>
      </c>
      <c r="B7" s="112">
        <f>COUNTIFS('01_MASTER_DATABASE'!$D$2:$D$500, A7, '01_MASTER_DATABASE'!$G$2:$G$500, "*Cửa đi*")</f>
        <v/>
      </c>
      <c r="C7" s="112">
        <f>COUNTIFS('01_MASTER_DATABASE'!$D$2:$D$500, A7, '01_MASTER_DATABASE'!$G$2:$G$500, "*Cửa sổ*")</f>
        <v/>
      </c>
      <c r="D7" s="112">
        <f>COUNTIFS('01_MASTER_DATABASE'!$D$2:$D$500, A7, '01_MASTER_DATABASE'!$G$2:$G$500, "*vách ngăn*")</f>
        <v/>
      </c>
      <c r="E7" s="112">
        <f>COUNTIFS('01_MASTER_DATABASE'!$D$2:$D$500, A7, '01_MASTER_DATABASE'!$G$2:$G$500, "*mặt dựng*")</f>
        <v/>
      </c>
      <c r="F7" s="112">
        <f>COUNTIFS('01_MASTER_DATABASE'!$D$2:$D$500, A7, '01_MASTER_DATABASE'!$G$2:$G$500, "*lan can*")</f>
        <v/>
      </c>
      <c r="G7" s="112">
        <f>COUNTIFS('01_MASTER_DATABASE'!$D$2:$D$500, A7, '01_MASTER_DATABASE'!$G$2:$G$500, "*mái kính*")</f>
        <v/>
      </c>
      <c r="H7" s="112">
        <f>COUNTIF('01_MASTER_DATABASE'!$D$2:$D$500, A7) - (B7+C7+D7+E7+F7+G7)</f>
        <v/>
      </c>
    </row>
    <row r="8" ht="25" customHeight="1">
      <c r="A8" s="111" t="inlineStr">
        <is>
          <t>Civro/PAG/Schüco</t>
        </is>
      </c>
      <c r="B8" s="112">
        <f>COUNTIFS('01_MASTER_DATABASE'!$D$2:$D$500, A8, '01_MASTER_DATABASE'!$G$2:$G$500, "*Cửa đi*")</f>
        <v/>
      </c>
      <c r="C8" s="112">
        <f>COUNTIFS('01_MASTER_DATABASE'!$D$2:$D$500, A8, '01_MASTER_DATABASE'!$G$2:$G$500, "*Cửa sổ*")</f>
        <v/>
      </c>
      <c r="D8" s="112">
        <f>COUNTIFS('01_MASTER_DATABASE'!$D$2:$D$500, A8, '01_MASTER_DATABASE'!$G$2:$G$500, "*vách ngăn*")</f>
        <v/>
      </c>
      <c r="E8" s="112">
        <f>COUNTIFS('01_MASTER_DATABASE'!$D$2:$D$500, A8, '01_MASTER_DATABASE'!$G$2:$G$500, "*mặt dựng*")</f>
        <v/>
      </c>
      <c r="F8" s="112">
        <f>COUNTIFS('01_MASTER_DATABASE'!$D$2:$D$500, A8, '01_MASTER_DATABASE'!$G$2:$G$500, "*lan can*")</f>
        <v/>
      </c>
      <c r="G8" s="112">
        <f>COUNTIFS('01_MASTER_DATABASE'!$D$2:$D$500, A8, '01_MASTER_DATABASE'!$G$2:$G$500, "*mái kính*")</f>
        <v/>
      </c>
      <c r="H8" s="112">
        <f>COUNTIF('01_MASTER_DATABASE'!$D$2:$D$500, A8) - (B8+C8+D8+E8+F8+G8)</f>
        <v/>
      </c>
    </row>
    <row r="9" ht="25" customHeight="1">
      <c r="A9" s="111" t="inlineStr">
        <is>
          <t>Các hãng</t>
        </is>
      </c>
      <c r="B9" s="112">
        <f>COUNTIFS('01_MASTER_DATABASE'!$D$2:$D$500, A9, '01_MASTER_DATABASE'!$G$2:$G$500, "*Cửa đi*")</f>
        <v/>
      </c>
      <c r="C9" s="112">
        <f>COUNTIFS('01_MASTER_DATABASE'!$D$2:$D$500, A9, '01_MASTER_DATABASE'!$G$2:$G$500, "*Cửa sổ*")</f>
        <v/>
      </c>
      <c r="D9" s="112">
        <f>COUNTIFS('01_MASTER_DATABASE'!$D$2:$D$500, A9, '01_MASTER_DATABASE'!$G$2:$G$500, "*vách ngăn*")</f>
        <v/>
      </c>
      <c r="E9" s="112">
        <f>COUNTIFS('01_MASTER_DATABASE'!$D$2:$D$500, A9, '01_MASTER_DATABASE'!$G$2:$G$500, "*mặt dựng*")</f>
        <v/>
      </c>
      <c r="F9" s="112">
        <f>COUNTIFS('01_MASTER_DATABASE'!$D$2:$D$500, A9, '01_MASTER_DATABASE'!$G$2:$G$500, "*lan can*")</f>
        <v/>
      </c>
      <c r="G9" s="112">
        <f>COUNTIFS('01_MASTER_DATABASE'!$D$2:$D$500, A9, '01_MASTER_DATABASE'!$G$2:$G$500, "*mái kính*")</f>
        <v/>
      </c>
      <c r="H9" s="112">
        <f>COUNTIF('01_MASTER_DATABASE'!$D$2:$D$500, A9) - (B9+C9+D9+E9+F9+G9)</f>
        <v/>
      </c>
    </row>
    <row r="10" ht="25" customHeight="1">
      <c r="A10" s="111" t="inlineStr">
        <is>
          <t>Dorma/Besam/Local</t>
        </is>
      </c>
      <c r="B10" s="112">
        <f>COUNTIFS('01_MASTER_DATABASE'!$D$2:$D$500, A10, '01_MASTER_DATABASE'!$G$2:$G$500, "*Cửa đi*")</f>
        <v/>
      </c>
      <c r="C10" s="112">
        <f>COUNTIFS('01_MASTER_DATABASE'!$D$2:$D$500, A10, '01_MASTER_DATABASE'!$G$2:$G$500, "*Cửa sổ*")</f>
        <v/>
      </c>
      <c r="D10" s="112">
        <f>COUNTIFS('01_MASTER_DATABASE'!$D$2:$D$500, A10, '01_MASTER_DATABASE'!$G$2:$G$500, "*vách ngăn*")</f>
        <v/>
      </c>
      <c r="E10" s="112">
        <f>COUNTIFS('01_MASTER_DATABASE'!$D$2:$D$500, A10, '01_MASTER_DATABASE'!$G$2:$G$500, "*mặt dựng*")</f>
        <v/>
      </c>
      <c r="F10" s="112">
        <f>COUNTIFS('01_MASTER_DATABASE'!$D$2:$D$500, A10, '01_MASTER_DATABASE'!$G$2:$G$500, "*lan can*")</f>
        <v/>
      </c>
      <c r="G10" s="112">
        <f>COUNTIFS('01_MASTER_DATABASE'!$D$2:$D$500, A10, '01_MASTER_DATABASE'!$G$2:$G$500, "*mái kính*")</f>
        <v/>
      </c>
      <c r="H10" s="112">
        <f>COUNTIF('01_MASTER_DATABASE'!$D$2:$D$500, A10) - (B10+C10+D10+E10+F10+G10)</f>
        <v/>
      </c>
    </row>
    <row r="11" ht="25" customHeight="1">
      <c r="A11" s="111" t="inlineStr">
        <is>
          <t>EuroVN</t>
        </is>
      </c>
      <c r="B11" s="112">
        <f>COUNTIFS('01_MASTER_DATABASE'!$D$2:$D$500, A11, '01_MASTER_DATABASE'!$G$2:$G$500, "*Cửa đi*")</f>
        <v/>
      </c>
      <c r="C11" s="112">
        <f>COUNTIFS('01_MASTER_DATABASE'!$D$2:$D$500, A11, '01_MASTER_DATABASE'!$G$2:$G$500, "*Cửa sổ*")</f>
        <v/>
      </c>
      <c r="D11" s="112">
        <f>COUNTIFS('01_MASTER_DATABASE'!$D$2:$D$500, A11, '01_MASTER_DATABASE'!$G$2:$G$500, "*vách ngăn*")</f>
        <v/>
      </c>
      <c r="E11" s="112">
        <f>COUNTIFS('01_MASTER_DATABASE'!$D$2:$D$500, A11, '01_MASTER_DATABASE'!$G$2:$G$500, "*mặt dựng*")</f>
        <v/>
      </c>
      <c r="F11" s="112">
        <f>COUNTIFS('01_MASTER_DATABASE'!$D$2:$D$500, A11, '01_MASTER_DATABASE'!$G$2:$G$500, "*lan can*")</f>
        <v/>
      </c>
      <c r="G11" s="112">
        <f>COUNTIFS('01_MASTER_DATABASE'!$D$2:$D$500, A11, '01_MASTER_DATABASE'!$G$2:$G$500, "*mái kính*")</f>
        <v/>
      </c>
      <c r="H11" s="112">
        <f>COUNTIF('01_MASTER_DATABASE'!$D$2:$D$500, A11) - (B11+C11+D11+E11+F11+G11)</f>
        <v/>
      </c>
    </row>
    <row r="12" ht="25" customHeight="1">
      <c r="A12" s="111" t="inlineStr">
        <is>
          <t>Eurowindow</t>
        </is>
      </c>
      <c r="B12" s="112">
        <f>COUNTIFS('01_MASTER_DATABASE'!$D$2:$D$500, A12, '01_MASTER_DATABASE'!$G$2:$G$500, "*Cửa đi*")</f>
        <v/>
      </c>
      <c r="C12" s="112">
        <f>COUNTIFS('01_MASTER_DATABASE'!$D$2:$D$500, A12, '01_MASTER_DATABASE'!$G$2:$G$500, "*Cửa sổ*")</f>
        <v/>
      </c>
      <c r="D12" s="112">
        <f>COUNTIFS('01_MASTER_DATABASE'!$D$2:$D$500, A12, '01_MASTER_DATABASE'!$G$2:$G$500, "*vách ngăn*")</f>
        <v/>
      </c>
      <c r="E12" s="112">
        <f>COUNTIFS('01_MASTER_DATABASE'!$D$2:$D$500, A12, '01_MASTER_DATABASE'!$G$2:$G$500, "*mặt dựng*")</f>
        <v/>
      </c>
      <c r="F12" s="112">
        <f>COUNTIFS('01_MASTER_DATABASE'!$D$2:$D$500, A12, '01_MASTER_DATABASE'!$G$2:$G$500, "*lan can*")</f>
        <v/>
      </c>
      <c r="G12" s="112">
        <f>COUNTIFS('01_MASTER_DATABASE'!$D$2:$D$500, A12, '01_MASTER_DATABASE'!$G$2:$G$500, "*mái kính*")</f>
        <v/>
      </c>
      <c r="H12" s="112">
        <f>COUNTIF('01_MASTER_DATABASE'!$D$2:$D$500, A12) - (B12+C12+D12+E12+F12+G12)</f>
        <v/>
      </c>
    </row>
    <row r="13" ht="25" customHeight="1">
      <c r="A13" s="111" t="inlineStr">
        <is>
          <t>Hondalex</t>
        </is>
      </c>
      <c r="B13" s="112">
        <f>COUNTIFS('01_MASTER_DATABASE'!$D$2:$D$500, A13, '01_MASTER_DATABASE'!$G$2:$G$500, "*Cửa đi*")</f>
        <v/>
      </c>
      <c r="C13" s="112">
        <f>COUNTIFS('01_MASTER_DATABASE'!$D$2:$D$500, A13, '01_MASTER_DATABASE'!$G$2:$G$500, "*Cửa sổ*")</f>
        <v/>
      </c>
      <c r="D13" s="112">
        <f>COUNTIFS('01_MASTER_DATABASE'!$D$2:$D$500, A13, '01_MASTER_DATABASE'!$G$2:$G$500, "*vách ngăn*")</f>
        <v/>
      </c>
      <c r="E13" s="112">
        <f>COUNTIFS('01_MASTER_DATABASE'!$D$2:$D$500, A13, '01_MASTER_DATABASE'!$G$2:$G$500, "*mặt dựng*")</f>
        <v/>
      </c>
      <c r="F13" s="112">
        <f>COUNTIFS('01_MASTER_DATABASE'!$D$2:$D$500, A13, '01_MASTER_DATABASE'!$G$2:$G$500, "*lan can*")</f>
        <v/>
      </c>
      <c r="G13" s="112">
        <f>COUNTIFS('01_MASTER_DATABASE'!$D$2:$D$500, A13, '01_MASTER_DATABASE'!$G$2:$G$500, "*mái kính*")</f>
        <v/>
      </c>
      <c r="H13" s="112">
        <f>COUNTIF('01_MASTER_DATABASE'!$D$2:$D$500, A13) - (B13+C13+D13+E13+F13+G13)</f>
        <v/>
      </c>
    </row>
    <row r="14" ht="25" customHeight="1">
      <c r="A14" s="111" t="inlineStr">
        <is>
          <t>Hệ PCCC</t>
        </is>
      </c>
      <c r="B14" s="112">
        <f>COUNTIFS('01_MASTER_DATABASE'!$D$2:$D$500, A14, '01_MASTER_DATABASE'!$G$2:$G$500, "*Cửa đi*")</f>
        <v/>
      </c>
      <c r="C14" s="112">
        <f>COUNTIFS('01_MASTER_DATABASE'!$D$2:$D$500, A14, '01_MASTER_DATABASE'!$G$2:$G$500, "*Cửa sổ*")</f>
        <v/>
      </c>
      <c r="D14" s="112">
        <f>COUNTIFS('01_MASTER_DATABASE'!$D$2:$D$500, A14, '01_MASTER_DATABASE'!$G$2:$G$500, "*vách ngăn*")</f>
        <v/>
      </c>
      <c r="E14" s="112">
        <f>COUNTIFS('01_MASTER_DATABASE'!$D$2:$D$500, A14, '01_MASTER_DATABASE'!$G$2:$G$500, "*mặt dựng*")</f>
        <v/>
      </c>
      <c r="F14" s="112">
        <f>COUNTIFS('01_MASTER_DATABASE'!$D$2:$D$500, A14, '01_MASTER_DATABASE'!$G$2:$G$500, "*lan can*")</f>
        <v/>
      </c>
      <c r="G14" s="112">
        <f>COUNTIFS('01_MASTER_DATABASE'!$D$2:$D$500, A14, '01_MASTER_DATABASE'!$G$2:$G$500, "*mái kính*")</f>
        <v/>
      </c>
      <c r="H14" s="112">
        <f>COUNTIF('01_MASTER_DATABASE'!$D$2:$D$500, A14) - (B14+C14+D14+E14+F14+G14)</f>
        <v/>
      </c>
    </row>
    <row r="15" ht="25" customHeight="1">
      <c r="A15" s="111" t="inlineStr">
        <is>
          <t>Hệ Smart</t>
        </is>
      </c>
      <c r="B15" s="112">
        <f>COUNTIFS('01_MASTER_DATABASE'!$D$2:$D$500, A15, '01_MASTER_DATABASE'!$G$2:$G$500, "*Cửa đi*")</f>
        <v/>
      </c>
      <c r="C15" s="112">
        <f>COUNTIFS('01_MASTER_DATABASE'!$D$2:$D$500, A15, '01_MASTER_DATABASE'!$G$2:$G$500, "*Cửa sổ*")</f>
        <v/>
      </c>
      <c r="D15" s="112">
        <f>COUNTIFS('01_MASTER_DATABASE'!$D$2:$D$500, A15, '01_MASTER_DATABASE'!$G$2:$G$500, "*vách ngăn*")</f>
        <v/>
      </c>
      <c r="E15" s="112">
        <f>COUNTIFS('01_MASTER_DATABASE'!$D$2:$D$500, A15, '01_MASTER_DATABASE'!$G$2:$G$500, "*mặt dựng*")</f>
        <v/>
      </c>
      <c r="F15" s="112">
        <f>COUNTIFS('01_MASTER_DATABASE'!$D$2:$D$500, A15, '01_MASTER_DATABASE'!$G$2:$G$500, "*lan can*")</f>
        <v/>
      </c>
      <c r="G15" s="112">
        <f>COUNTIFS('01_MASTER_DATABASE'!$D$2:$D$500, A15, '01_MASTER_DATABASE'!$G$2:$G$500, "*mái kính*")</f>
        <v/>
      </c>
      <c r="H15" s="112">
        <f>COUNTIF('01_MASTER_DATABASE'!$D$2:$D$500, A15) - (B15+C15+D15+E15+F15+G15)</f>
        <v/>
      </c>
    </row>
    <row r="16" ht="25" customHeight="1">
      <c r="A16" s="111" t="inlineStr">
        <is>
          <t>Hệ chuyên dụng</t>
        </is>
      </c>
      <c r="B16" s="112">
        <f>COUNTIFS('01_MASTER_DATABASE'!$D$2:$D$500, A16, '01_MASTER_DATABASE'!$G$2:$G$500, "*Cửa đi*")</f>
        <v/>
      </c>
      <c r="C16" s="112">
        <f>COUNTIFS('01_MASTER_DATABASE'!$D$2:$D$500, A16, '01_MASTER_DATABASE'!$G$2:$G$500, "*Cửa sổ*")</f>
        <v/>
      </c>
      <c r="D16" s="112">
        <f>COUNTIFS('01_MASTER_DATABASE'!$D$2:$D$500, A16, '01_MASTER_DATABASE'!$G$2:$G$500, "*vách ngăn*")</f>
        <v/>
      </c>
      <c r="E16" s="112">
        <f>COUNTIFS('01_MASTER_DATABASE'!$D$2:$D$500, A16, '01_MASTER_DATABASE'!$G$2:$G$500, "*mặt dựng*")</f>
        <v/>
      </c>
      <c r="F16" s="112">
        <f>COUNTIFS('01_MASTER_DATABASE'!$D$2:$D$500, A16, '01_MASTER_DATABASE'!$G$2:$G$500, "*lan can*")</f>
        <v/>
      </c>
      <c r="G16" s="112">
        <f>COUNTIFS('01_MASTER_DATABASE'!$D$2:$D$500, A16, '01_MASTER_DATABASE'!$G$2:$G$500, "*mái kính*")</f>
        <v/>
      </c>
      <c r="H16" s="112">
        <f>COUNTIF('01_MASTER_DATABASE'!$D$2:$D$500, A16) - (B16+C16+D16+E16+F16+G16)</f>
        <v/>
      </c>
    </row>
    <row r="17" ht="25" customHeight="1">
      <c r="A17" s="111" t="inlineStr">
        <is>
          <t>KOS</t>
        </is>
      </c>
      <c r="B17" s="112">
        <f>COUNTIFS('01_MASTER_DATABASE'!$D$2:$D$500, A17, '01_MASTER_DATABASE'!$G$2:$G$500, "*Cửa đi*")</f>
        <v/>
      </c>
      <c r="C17" s="112">
        <f>COUNTIFS('01_MASTER_DATABASE'!$D$2:$D$500, A17, '01_MASTER_DATABASE'!$G$2:$G$500, "*Cửa sổ*")</f>
        <v/>
      </c>
      <c r="D17" s="112">
        <f>COUNTIFS('01_MASTER_DATABASE'!$D$2:$D$500, A17, '01_MASTER_DATABASE'!$G$2:$G$500, "*vách ngăn*")</f>
        <v/>
      </c>
      <c r="E17" s="112">
        <f>COUNTIFS('01_MASTER_DATABASE'!$D$2:$D$500, A17, '01_MASTER_DATABASE'!$G$2:$G$500, "*mặt dựng*")</f>
        <v/>
      </c>
      <c r="F17" s="112">
        <f>COUNTIFS('01_MASTER_DATABASE'!$D$2:$D$500, A17, '01_MASTER_DATABASE'!$G$2:$G$500, "*lan can*")</f>
        <v/>
      </c>
      <c r="G17" s="112">
        <f>COUNTIFS('01_MASTER_DATABASE'!$D$2:$D$500, A17, '01_MASTER_DATABASE'!$G$2:$G$500, "*mái kính*")</f>
        <v/>
      </c>
      <c r="H17" s="112">
        <f>COUNTIF('01_MASTER_DATABASE'!$D$2:$D$500, A17) - (B17+C17+D17+E17+F17+G17)</f>
        <v/>
      </c>
    </row>
    <row r="18" ht="25" customHeight="1">
      <c r="A18" s="111" t="inlineStr">
        <is>
          <t>Kogen</t>
        </is>
      </c>
      <c r="B18" s="112">
        <f>COUNTIFS('01_MASTER_DATABASE'!$D$2:$D$500, A18, '01_MASTER_DATABASE'!$G$2:$G$500, "*Cửa đi*")</f>
        <v/>
      </c>
      <c r="C18" s="112">
        <f>COUNTIFS('01_MASTER_DATABASE'!$D$2:$D$500, A18, '01_MASTER_DATABASE'!$G$2:$G$500, "*Cửa sổ*")</f>
        <v/>
      </c>
      <c r="D18" s="112">
        <f>COUNTIFS('01_MASTER_DATABASE'!$D$2:$D$500, A18, '01_MASTER_DATABASE'!$G$2:$G$500, "*vách ngăn*")</f>
        <v/>
      </c>
      <c r="E18" s="112">
        <f>COUNTIFS('01_MASTER_DATABASE'!$D$2:$D$500, A18, '01_MASTER_DATABASE'!$G$2:$G$500, "*mặt dựng*")</f>
        <v/>
      </c>
      <c r="F18" s="112">
        <f>COUNTIFS('01_MASTER_DATABASE'!$D$2:$D$500, A18, '01_MASTER_DATABASE'!$G$2:$G$500, "*lan can*")</f>
        <v/>
      </c>
      <c r="G18" s="112">
        <f>COUNTIFS('01_MASTER_DATABASE'!$D$2:$D$500, A18, '01_MASTER_DATABASE'!$G$2:$G$500, "*mái kính*")</f>
        <v/>
      </c>
      <c r="H18" s="112">
        <f>COUNTIF('01_MASTER_DATABASE'!$D$2:$D$500, A18) - (B18+C18+D18+E18+F18+G18)</f>
        <v/>
      </c>
    </row>
    <row r="19" ht="25" customHeight="1">
      <c r="A19" s="111" t="inlineStr">
        <is>
          <t>Local</t>
        </is>
      </c>
      <c r="B19" s="112">
        <f>COUNTIFS('01_MASTER_DATABASE'!$D$2:$D$500, A19, '01_MASTER_DATABASE'!$G$2:$G$500, "*Cửa đi*")</f>
        <v/>
      </c>
      <c r="C19" s="112">
        <f>COUNTIFS('01_MASTER_DATABASE'!$D$2:$D$500, A19, '01_MASTER_DATABASE'!$G$2:$G$500, "*Cửa sổ*")</f>
        <v/>
      </c>
      <c r="D19" s="112">
        <f>COUNTIFS('01_MASTER_DATABASE'!$D$2:$D$500, A19, '01_MASTER_DATABASE'!$G$2:$G$500, "*vách ngăn*")</f>
        <v/>
      </c>
      <c r="E19" s="112">
        <f>COUNTIFS('01_MASTER_DATABASE'!$D$2:$D$500, A19, '01_MASTER_DATABASE'!$G$2:$G$500, "*mặt dựng*")</f>
        <v/>
      </c>
      <c r="F19" s="112">
        <f>COUNTIFS('01_MASTER_DATABASE'!$D$2:$D$500, A19, '01_MASTER_DATABASE'!$G$2:$G$500, "*lan can*")</f>
        <v/>
      </c>
      <c r="G19" s="112">
        <f>COUNTIFS('01_MASTER_DATABASE'!$D$2:$D$500, A19, '01_MASTER_DATABASE'!$G$2:$G$500, "*mái kính*")</f>
        <v/>
      </c>
      <c r="H19" s="112">
        <f>COUNTIF('01_MASTER_DATABASE'!$D$2:$D$500, A19) - (B19+C19+D19+E19+F19+G19)</f>
        <v/>
      </c>
    </row>
    <row r="20" ht="25" customHeight="1">
      <c r="A20" s="111" t="inlineStr">
        <is>
          <t>Local/Châu Âu</t>
        </is>
      </c>
      <c r="B20" s="112">
        <f>COUNTIFS('01_MASTER_DATABASE'!$D$2:$D$500, A20, '01_MASTER_DATABASE'!$G$2:$G$500, "*Cửa đi*")</f>
        <v/>
      </c>
      <c r="C20" s="112">
        <f>COUNTIFS('01_MASTER_DATABASE'!$D$2:$D$500, A20, '01_MASTER_DATABASE'!$G$2:$G$500, "*Cửa sổ*")</f>
        <v/>
      </c>
      <c r="D20" s="112">
        <f>COUNTIFS('01_MASTER_DATABASE'!$D$2:$D$500, A20, '01_MASTER_DATABASE'!$G$2:$G$500, "*vách ngăn*")</f>
        <v/>
      </c>
      <c r="E20" s="112">
        <f>COUNTIFS('01_MASTER_DATABASE'!$D$2:$D$500, A20, '01_MASTER_DATABASE'!$G$2:$G$500, "*mặt dựng*")</f>
        <v/>
      </c>
      <c r="F20" s="112">
        <f>COUNTIFS('01_MASTER_DATABASE'!$D$2:$D$500, A20, '01_MASTER_DATABASE'!$G$2:$G$500, "*lan can*")</f>
        <v/>
      </c>
      <c r="G20" s="112">
        <f>COUNTIFS('01_MASTER_DATABASE'!$D$2:$D$500, A20, '01_MASTER_DATABASE'!$G$2:$G$500, "*mái kính*")</f>
        <v/>
      </c>
      <c r="H20" s="112">
        <f>COUNTIF('01_MASTER_DATABASE'!$D$2:$D$500, A20) - (B20+C20+D20+E20+F20+G20)</f>
        <v/>
      </c>
    </row>
    <row r="21" ht="25" customHeight="1">
      <c r="A21" s="111" t="inlineStr">
        <is>
          <t>Local/Ý</t>
        </is>
      </c>
      <c r="B21" s="112">
        <f>COUNTIFS('01_MASTER_DATABASE'!$D$2:$D$500, A21, '01_MASTER_DATABASE'!$G$2:$G$500, "*Cửa đi*")</f>
        <v/>
      </c>
      <c r="C21" s="112">
        <f>COUNTIFS('01_MASTER_DATABASE'!$D$2:$D$500, A21, '01_MASTER_DATABASE'!$G$2:$G$500, "*Cửa sổ*")</f>
        <v/>
      </c>
      <c r="D21" s="112">
        <f>COUNTIFS('01_MASTER_DATABASE'!$D$2:$D$500, A21, '01_MASTER_DATABASE'!$G$2:$G$500, "*vách ngăn*")</f>
        <v/>
      </c>
      <c r="E21" s="112">
        <f>COUNTIFS('01_MASTER_DATABASE'!$D$2:$D$500, A21, '01_MASTER_DATABASE'!$G$2:$G$500, "*mặt dựng*")</f>
        <v/>
      </c>
      <c r="F21" s="112">
        <f>COUNTIFS('01_MASTER_DATABASE'!$D$2:$D$500, A21, '01_MASTER_DATABASE'!$G$2:$G$500, "*lan can*")</f>
        <v/>
      </c>
      <c r="G21" s="112">
        <f>COUNTIFS('01_MASTER_DATABASE'!$D$2:$D$500, A21, '01_MASTER_DATABASE'!$G$2:$G$500, "*mái kính*")</f>
        <v/>
      </c>
      <c r="H21" s="112">
        <f>COUNTIF('01_MASTER_DATABASE'!$D$2:$D$500, A21) - (B21+C21+D21+E21+F21+G21)</f>
        <v/>
      </c>
    </row>
    <row r="22" ht="25" customHeight="1">
      <c r="A22" s="111" t="inlineStr">
        <is>
          <t>Maxpro JP</t>
        </is>
      </c>
      <c r="B22" s="112">
        <f>COUNTIFS('01_MASTER_DATABASE'!$D$2:$D$500, A22, '01_MASTER_DATABASE'!$G$2:$G$500, "*Cửa đi*")</f>
        <v/>
      </c>
      <c r="C22" s="112">
        <f>COUNTIFS('01_MASTER_DATABASE'!$D$2:$D$500, A22, '01_MASTER_DATABASE'!$G$2:$G$500, "*Cửa sổ*")</f>
        <v/>
      </c>
      <c r="D22" s="112">
        <f>COUNTIFS('01_MASTER_DATABASE'!$D$2:$D$500, A22, '01_MASTER_DATABASE'!$G$2:$G$500, "*vách ngăn*")</f>
        <v/>
      </c>
      <c r="E22" s="112">
        <f>COUNTIFS('01_MASTER_DATABASE'!$D$2:$D$500, A22, '01_MASTER_DATABASE'!$G$2:$G$500, "*mặt dựng*")</f>
        <v/>
      </c>
      <c r="F22" s="112">
        <f>COUNTIFS('01_MASTER_DATABASE'!$D$2:$D$500, A22, '01_MASTER_DATABASE'!$G$2:$G$500, "*lan can*")</f>
        <v/>
      </c>
      <c r="G22" s="112">
        <f>COUNTIFS('01_MASTER_DATABASE'!$D$2:$D$500, A22, '01_MASTER_DATABASE'!$G$2:$G$500, "*mái kính*")</f>
        <v/>
      </c>
      <c r="H22" s="112">
        <f>COUNTIF('01_MASTER_DATABASE'!$D$2:$D$500, A22) - (B22+C22+D22+E22+F22+G22)</f>
        <v/>
      </c>
    </row>
    <row r="23" ht="25" customHeight="1">
      <c r="A23" s="111" t="inlineStr">
        <is>
          <t>Maxpro/Owin/Local</t>
        </is>
      </c>
      <c r="B23" s="112">
        <f>COUNTIFS('01_MASTER_DATABASE'!$D$2:$D$500, A23, '01_MASTER_DATABASE'!$G$2:$G$500, "*Cửa đi*")</f>
        <v/>
      </c>
      <c r="C23" s="112">
        <f>COUNTIFS('01_MASTER_DATABASE'!$D$2:$D$500, A23, '01_MASTER_DATABASE'!$G$2:$G$500, "*Cửa sổ*")</f>
        <v/>
      </c>
      <c r="D23" s="112">
        <f>COUNTIFS('01_MASTER_DATABASE'!$D$2:$D$500, A23, '01_MASTER_DATABASE'!$G$2:$G$500, "*vách ngăn*")</f>
        <v/>
      </c>
      <c r="E23" s="112">
        <f>COUNTIFS('01_MASTER_DATABASE'!$D$2:$D$500, A23, '01_MASTER_DATABASE'!$G$2:$G$500, "*mặt dựng*")</f>
        <v/>
      </c>
      <c r="F23" s="112">
        <f>COUNTIFS('01_MASTER_DATABASE'!$D$2:$D$500, A23, '01_MASTER_DATABASE'!$G$2:$G$500, "*lan can*")</f>
        <v/>
      </c>
      <c r="G23" s="112">
        <f>COUNTIFS('01_MASTER_DATABASE'!$D$2:$D$500, A23, '01_MASTER_DATABASE'!$G$2:$G$500, "*mái kính*")</f>
        <v/>
      </c>
      <c r="H23" s="112">
        <f>COUNTIF('01_MASTER_DATABASE'!$D$2:$D$500, A23) - (B23+C23+D23+E23+F23+G23)</f>
        <v/>
      </c>
    </row>
    <row r="24" ht="25" customHeight="1">
      <c r="A24" s="111" t="inlineStr">
        <is>
          <t>Nhiều hãng</t>
        </is>
      </c>
      <c r="B24" s="112">
        <f>COUNTIFS('01_MASTER_DATABASE'!$D$2:$D$500, A24, '01_MASTER_DATABASE'!$G$2:$G$500, "*Cửa đi*")</f>
        <v/>
      </c>
      <c r="C24" s="112">
        <f>COUNTIFS('01_MASTER_DATABASE'!$D$2:$D$500, A24, '01_MASTER_DATABASE'!$G$2:$G$500, "*Cửa sổ*")</f>
        <v/>
      </c>
      <c r="D24" s="112">
        <f>COUNTIFS('01_MASTER_DATABASE'!$D$2:$D$500, A24, '01_MASTER_DATABASE'!$G$2:$G$500, "*vách ngăn*")</f>
        <v/>
      </c>
      <c r="E24" s="112">
        <f>COUNTIFS('01_MASTER_DATABASE'!$D$2:$D$500, A24, '01_MASTER_DATABASE'!$G$2:$G$500, "*mặt dựng*")</f>
        <v/>
      </c>
      <c r="F24" s="112">
        <f>COUNTIFS('01_MASTER_DATABASE'!$D$2:$D$500, A24, '01_MASTER_DATABASE'!$G$2:$G$500, "*lan can*")</f>
        <v/>
      </c>
      <c r="G24" s="112">
        <f>COUNTIFS('01_MASTER_DATABASE'!$D$2:$D$500, A24, '01_MASTER_DATABASE'!$G$2:$G$500, "*mái kính*")</f>
        <v/>
      </c>
      <c r="H24" s="112">
        <f>COUNTIF('01_MASTER_DATABASE'!$D$2:$D$500, A24) - (B24+C24+D24+E24+F24+G24)</f>
        <v/>
      </c>
    </row>
    <row r="25" ht="25" customHeight="1">
      <c r="A25" s="111" t="inlineStr">
        <is>
          <t>Nhiều hãng VN</t>
        </is>
      </c>
      <c r="B25" s="112">
        <f>COUNTIFS('01_MASTER_DATABASE'!$D$2:$D$500, A25, '01_MASTER_DATABASE'!$G$2:$G$500, "*Cửa đi*")</f>
        <v/>
      </c>
      <c r="C25" s="112">
        <f>COUNTIFS('01_MASTER_DATABASE'!$D$2:$D$500, A25, '01_MASTER_DATABASE'!$G$2:$G$500, "*Cửa sổ*")</f>
        <v/>
      </c>
      <c r="D25" s="112">
        <f>COUNTIFS('01_MASTER_DATABASE'!$D$2:$D$500, A25, '01_MASTER_DATABASE'!$G$2:$G$500, "*vách ngăn*")</f>
        <v/>
      </c>
      <c r="E25" s="112">
        <f>COUNTIFS('01_MASTER_DATABASE'!$D$2:$D$500, A25, '01_MASTER_DATABASE'!$G$2:$G$500, "*mặt dựng*")</f>
        <v/>
      </c>
      <c r="F25" s="112">
        <f>COUNTIFS('01_MASTER_DATABASE'!$D$2:$D$500, A25, '01_MASTER_DATABASE'!$G$2:$G$500, "*lan can*")</f>
        <v/>
      </c>
      <c r="G25" s="112">
        <f>COUNTIFS('01_MASTER_DATABASE'!$D$2:$D$500, A25, '01_MASTER_DATABASE'!$G$2:$G$500, "*mái kính*")</f>
        <v/>
      </c>
      <c r="H25" s="112">
        <f>COUNTIF('01_MASTER_DATABASE'!$D$2:$D$500, A25) - (B25+C25+D25+E25+F25+G25)</f>
        <v/>
      </c>
    </row>
    <row r="26" ht="25" customHeight="1">
      <c r="A26" s="111" t="inlineStr">
        <is>
          <t>Nhiều nhà máy</t>
        </is>
      </c>
      <c r="B26" s="112">
        <f>COUNTIFS('01_MASTER_DATABASE'!$D$2:$D$500, A26, '01_MASTER_DATABASE'!$G$2:$G$500, "*Cửa đi*")</f>
        <v/>
      </c>
      <c r="C26" s="112">
        <f>COUNTIFS('01_MASTER_DATABASE'!$D$2:$D$500, A26, '01_MASTER_DATABASE'!$G$2:$G$500, "*Cửa sổ*")</f>
        <v/>
      </c>
      <c r="D26" s="112">
        <f>COUNTIFS('01_MASTER_DATABASE'!$D$2:$D$500, A26, '01_MASTER_DATABASE'!$G$2:$G$500, "*vách ngăn*")</f>
        <v/>
      </c>
      <c r="E26" s="112">
        <f>COUNTIFS('01_MASTER_DATABASE'!$D$2:$D$500, A26, '01_MASTER_DATABASE'!$G$2:$G$500, "*mặt dựng*")</f>
        <v/>
      </c>
      <c r="F26" s="112">
        <f>COUNTIFS('01_MASTER_DATABASE'!$D$2:$D$500, A26, '01_MASTER_DATABASE'!$G$2:$G$500, "*lan can*")</f>
        <v/>
      </c>
      <c r="G26" s="112">
        <f>COUNTIFS('01_MASTER_DATABASE'!$D$2:$D$500, A26, '01_MASTER_DATABASE'!$G$2:$G$500, "*mái kính*")</f>
        <v/>
      </c>
      <c r="H26" s="112">
        <f>COUNTIF('01_MASTER_DATABASE'!$D$2:$D$500, A26) - (B26+C26+D26+E26+F26+G26)</f>
        <v/>
      </c>
    </row>
    <row r="27" ht="25" customHeight="1">
      <c r="A27" s="111" t="inlineStr">
        <is>
          <t>Owin</t>
        </is>
      </c>
      <c r="B27" s="112">
        <f>COUNTIFS('01_MASTER_DATABASE'!$D$2:$D$500, A27, '01_MASTER_DATABASE'!$G$2:$G$500, "*Cửa đi*")</f>
        <v/>
      </c>
      <c r="C27" s="112">
        <f>COUNTIFS('01_MASTER_DATABASE'!$D$2:$D$500, A27, '01_MASTER_DATABASE'!$G$2:$G$500, "*Cửa sổ*")</f>
        <v/>
      </c>
      <c r="D27" s="112">
        <f>COUNTIFS('01_MASTER_DATABASE'!$D$2:$D$500, A27, '01_MASTER_DATABASE'!$G$2:$G$500, "*vách ngăn*")</f>
        <v/>
      </c>
      <c r="E27" s="112">
        <f>COUNTIFS('01_MASTER_DATABASE'!$D$2:$D$500, A27, '01_MASTER_DATABASE'!$G$2:$G$500, "*mặt dựng*")</f>
        <v/>
      </c>
      <c r="F27" s="112">
        <f>COUNTIFS('01_MASTER_DATABASE'!$D$2:$D$500, A27, '01_MASTER_DATABASE'!$G$2:$G$500, "*lan can*")</f>
        <v/>
      </c>
      <c r="G27" s="112">
        <f>COUNTIFS('01_MASTER_DATABASE'!$D$2:$D$500, A27, '01_MASTER_DATABASE'!$G$2:$G$500, "*mái kính*")</f>
        <v/>
      </c>
      <c r="H27" s="112">
        <f>COUNTIF('01_MASTER_DATABASE'!$D$2:$D$500, A27) - (B27+C27+D27+E27+F27+G27)</f>
        <v/>
      </c>
    </row>
    <row r="28" ht="25" customHeight="1">
      <c r="A28" s="111" t="inlineStr">
        <is>
          <t>PAG</t>
        </is>
      </c>
      <c r="B28" s="112">
        <f>COUNTIFS('01_MASTER_DATABASE'!$D$2:$D$500, A28, '01_MASTER_DATABASE'!$G$2:$G$500, "*Cửa đi*")</f>
        <v/>
      </c>
      <c r="C28" s="112">
        <f>COUNTIFS('01_MASTER_DATABASE'!$D$2:$D$500, A28, '01_MASTER_DATABASE'!$G$2:$G$500, "*Cửa sổ*")</f>
        <v/>
      </c>
      <c r="D28" s="112">
        <f>COUNTIFS('01_MASTER_DATABASE'!$D$2:$D$500, A28, '01_MASTER_DATABASE'!$G$2:$G$500, "*vách ngăn*")</f>
        <v/>
      </c>
      <c r="E28" s="112">
        <f>COUNTIFS('01_MASTER_DATABASE'!$D$2:$D$500, A28, '01_MASTER_DATABASE'!$G$2:$G$500, "*mặt dựng*")</f>
        <v/>
      </c>
      <c r="F28" s="112">
        <f>COUNTIFS('01_MASTER_DATABASE'!$D$2:$D$500, A28, '01_MASTER_DATABASE'!$G$2:$G$500, "*lan can*")</f>
        <v/>
      </c>
      <c r="G28" s="112">
        <f>COUNTIFS('01_MASTER_DATABASE'!$D$2:$D$500, A28, '01_MASTER_DATABASE'!$G$2:$G$500, "*mái kính*")</f>
        <v/>
      </c>
      <c r="H28" s="112">
        <f>COUNTIF('01_MASTER_DATABASE'!$D$2:$D$500, A28) - (B28+C28+D28+E28+F28+G28)</f>
        <v/>
      </c>
    </row>
    <row r="29" ht="25" customHeight="1">
      <c r="A29" s="111" t="inlineStr">
        <is>
          <t>PMA</t>
        </is>
      </c>
      <c r="B29" s="112">
        <f>COUNTIFS('01_MASTER_DATABASE'!$D$2:$D$500, A29, '01_MASTER_DATABASE'!$G$2:$G$500, "*Cửa đi*")</f>
        <v/>
      </c>
      <c r="C29" s="112">
        <f>COUNTIFS('01_MASTER_DATABASE'!$D$2:$D$500, A29, '01_MASTER_DATABASE'!$G$2:$G$500, "*Cửa sổ*")</f>
        <v/>
      </c>
      <c r="D29" s="112">
        <f>COUNTIFS('01_MASTER_DATABASE'!$D$2:$D$500, A29, '01_MASTER_DATABASE'!$G$2:$G$500, "*vách ngăn*")</f>
        <v/>
      </c>
      <c r="E29" s="112">
        <f>COUNTIFS('01_MASTER_DATABASE'!$D$2:$D$500, A29, '01_MASTER_DATABASE'!$G$2:$G$500, "*mặt dựng*")</f>
        <v/>
      </c>
      <c r="F29" s="112">
        <f>COUNTIFS('01_MASTER_DATABASE'!$D$2:$D$500, A29, '01_MASTER_DATABASE'!$G$2:$G$500, "*lan can*")</f>
        <v/>
      </c>
      <c r="G29" s="112">
        <f>COUNTIFS('01_MASTER_DATABASE'!$D$2:$D$500, A29, '01_MASTER_DATABASE'!$G$2:$G$500, "*mái kính*")</f>
        <v/>
      </c>
      <c r="H29" s="112">
        <f>COUNTIF('01_MASTER_DATABASE'!$D$2:$D$500, A29) - (B29+C29+D29+E29+F29+G29)</f>
        <v/>
      </c>
    </row>
    <row r="30" ht="25" customHeight="1">
      <c r="A30" s="111" t="inlineStr">
        <is>
          <t>PMI</t>
        </is>
      </c>
      <c r="B30" s="112">
        <f>COUNTIFS('01_MASTER_DATABASE'!$D$2:$D$500, A30, '01_MASTER_DATABASE'!$G$2:$G$500, "*Cửa đi*")</f>
        <v/>
      </c>
      <c r="C30" s="112">
        <f>COUNTIFS('01_MASTER_DATABASE'!$D$2:$D$500, A30, '01_MASTER_DATABASE'!$G$2:$G$500, "*Cửa sổ*")</f>
        <v/>
      </c>
      <c r="D30" s="112">
        <f>COUNTIFS('01_MASTER_DATABASE'!$D$2:$D$500, A30, '01_MASTER_DATABASE'!$G$2:$G$500, "*vách ngăn*")</f>
        <v/>
      </c>
      <c r="E30" s="112">
        <f>COUNTIFS('01_MASTER_DATABASE'!$D$2:$D$500, A30, '01_MASTER_DATABASE'!$G$2:$G$500, "*mặt dựng*")</f>
        <v/>
      </c>
      <c r="F30" s="112">
        <f>COUNTIFS('01_MASTER_DATABASE'!$D$2:$D$500, A30, '01_MASTER_DATABASE'!$G$2:$G$500, "*lan can*")</f>
        <v/>
      </c>
      <c r="G30" s="112">
        <f>COUNTIFS('01_MASTER_DATABASE'!$D$2:$D$500, A30, '01_MASTER_DATABASE'!$G$2:$G$500, "*mái kính*")</f>
        <v/>
      </c>
      <c r="H30" s="112">
        <f>COUNTIF('01_MASTER_DATABASE'!$D$2:$D$500, A30) - (B30+C30+D30+E30+F30+G30)</f>
        <v/>
      </c>
    </row>
    <row r="31" ht="25" customHeight="1">
      <c r="A31" s="111" t="inlineStr">
        <is>
          <t>Reynaers</t>
        </is>
      </c>
      <c r="B31" s="112">
        <f>COUNTIFS('01_MASTER_DATABASE'!$D$2:$D$500, A31, '01_MASTER_DATABASE'!$G$2:$G$500, "*Cửa đi*")</f>
        <v/>
      </c>
      <c r="C31" s="112">
        <f>COUNTIFS('01_MASTER_DATABASE'!$D$2:$D$500, A31, '01_MASTER_DATABASE'!$G$2:$G$500, "*Cửa sổ*")</f>
        <v/>
      </c>
      <c r="D31" s="112">
        <f>COUNTIFS('01_MASTER_DATABASE'!$D$2:$D$500, A31, '01_MASTER_DATABASE'!$G$2:$G$500, "*vách ngăn*")</f>
        <v/>
      </c>
      <c r="E31" s="112">
        <f>COUNTIFS('01_MASTER_DATABASE'!$D$2:$D$500, A31, '01_MASTER_DATABASE'!$G$2:$G$500, "*mặt dựng*")</f>
        <v/>
      </c>
      <c r="F31" s="112">
        <f>COUNTIFS('01_MASTER_DATABASE'!$D$2:$D$500, A31, '01_MASTER_DATABASE'!$G$2:$G$500, "*lan can*")</f>
        <v/>
      </c>
      <c r="G31" s="112">
        <f>COUNTIFS('01_MASTER_DATABASE'!$D$2:$D$500, A31, '01_MASTER_DATABASE'!$G$2:$G$500, "*mái kính*")</f>
        <v/>
      </c>
      <c r="H31" s="112">
        <f>COUNTIF('01_MASTER_DATABASE'!$D$2:$D$500, A31) - (B31+C31+D31+E31+F31+G31)</f>
        <v/>
      </c>
    </row>
    <row r="32" ht="25" customHeight="1">
      <c r="A32" s="111" t="inlineStr">
        <is>
          <t>Schüco</t>
        </is>
      </c>
      <c r="B32" s="112">
        <f>COUNTIFS('01_MASTER_DATABASE'!$D$2:$D$500, A32, '01_MASTER_DATABASE'!$G$2:$G$500, "*Cửa đi*")</f>
        <v/>
      </c>
      <c r="C32" s="112">
        <f>COUNTIFS('01_MASTER_DATABASE'!$D$2:$D$500, A32, '01_MASTER_DATABASE'!$G$2:$G$500, "*Cửa sổ*")</f>
        <v/>
      </c>
      <c r="D32" s="112">
        <f>COUNTIFS('01_MASTER_DATABASE'!$D$2:$D$500, A32, '01_MASTER_DATABASE'!$G$2:$G$500, "*vách ngăn*")</f>
        <v/>
      </c>
      <c r="E32" s="112">
        <f>COUNTIFS('01_MASTER_DATABASE'!$D$2:$D$500, A32, '01_MASTER_DATABASE'!$G$2:$G$500, "*mặt dựng*")</f>
        <v/>
      </c>
      <c r="F32" s="112">
        <f>COUNTIFS('01_MASTER_DATABASE'!$D$2:$D$500, A32, '01_MASTER_DATABASE'!$G$2:$G$500, "*lan can*")</f>
        <v/>
      </c>
      <c r="G32" s="112">
        <f>COUNTIFS('01_MASTER_DATABASE'!$D$2:$D$500, A32, '01_MASTER_DATABASE'!$G$2:$G$500, "*mái kính*")</f>
        <v/>
      </c>
      <c r="H32" s="112">
        <f>COUNTIF('01_MASTER_DATABASE'!$D$2:$D$500, A32) - (B32+C32+D32+E32+F32+G32)</f>
        <v/>
      </c>
    </row>
    <row r="33" ht="25" customHeight="1">
      <c r="A33" s="111" t="inlineStr">
        <is>
          <t>Soco</t>
        </is>
      </c>
      <c r="B33" s="112">
        <f>COUNTIFS('01_MASTER_DATABASE'!$D$2:$D$500, A33, '01_MASTER_DATABASE'!$G$2:$G$500, "*Cửa đi*")</f>
        <v/>
      </c>
      <c r="C33" s="112">
        <f>COUNTIFS('01_MASTER_DATABASE'!$D$2:$D$500, A33, '01_MASTER_DATABASE'!$G$2:$G$500, "*Cửa sổ*")</f>
        <v/>
      </c>
      <c r="D33" s="112">
        <f>COUNTIFS('01_MASTER_DATABASE'!$D$2:$D$500, A33, '01_MASTER_DATABASE'!$G$2:$G$500, "*vách ngăn*")</f>
        <v/>
      </c>
      <c r="E33" s="112">
        <f>COUNTIFS('01_MASTER_DATABASE'!$D$2:$D$500, A33, '01_MASTER_DATABASE'!$G$2:$G$500, "*mặt dựng*")</f>
        <v/>
      </c>
      <c r="F33" s="112">
        <f>COUNTIFS('01_MASTER_DATABASE'!$D$2:$D$500, A33, '01_MASTER_DATABASE'!$G$2:$G$500, "*lan can*")</f>
        <v/>
      </c>
      <c r="G33" s="112">
        <f>COUNTIFS('01_MASTER_DATABASE'!$D$2:$D$500, A33, '01_MASTER_DATABASE'!$G$2:$G$500, "*mái kính*")</f>
        <v/>
      </c>
      <c r="H33" s="112">
        <f>COUNTIF('01_MASTER_DATABASE'!$D$2:$D$500, A33) - (B33+C33+D33+E33+F33+G33)</f>
        <v/>
      </c>
    </row>
    <row r="34" ht="25" customHeight="1">
      <c r="A34" s="111" t="inlineStr">
        <is>
          <t>Soco/Local</t>
        </is>
      </c>
      <c r="B34" s="112">
        <f>COUNTIFS('01_MASTER_DATABASE'!$D$2:$D$500, A34, '01_MASTER_DATABASE'!$G$2:$G$500, "*Cửa đi*")</f>
        <v/>
      </c>
      <c r="C34" s="112">
        <f>COUNTIFS('01_MASTER_DATABASE'!$D$2:$D$500, A34, '01_MASTER_DATABASE'!$G$2:$G$500, "*Cửa sổ*")</f>
        <v/>
      </c>
      <c r="D34" s="112">
        <f>COUNTIFS('01_MASTER_DATABASE'!$D$2:$D$500, A34, '01_MASTER_DATABASE'!$G$2:$G$500, "*vách ngăn*")</f>
        <v/>
      </c>
      <c r="E34" s="112">
        <f>COUNTIFS('01_MASTER_DATABASE'!$D$2:$D$500, A34, '01_MASTER_DATABASE'!$G$2:$G$500, "*mặt dựng*")</f>
        <v/>
      </c>
      <c r="F34" s="112">
        <f>COUNTIFS('01_MASTER_DATABASE'!$D$2:$D$500, A34, '01_MASTER_DATABASE'!$G$2:$G$500, "*lan can*")</f>
        <v/>
      </c>
      <c r="G34" s="112">
        <f>COUNTIFS('01_MASTER_DATABASE'!$D$2:$D$500, A34, '01_MASTER_DATABASE'!$G$2:$G$500, "*mái kính*")</f>
        <v/>
      </c>
      <c r="H34" s="112">
        <f>COUNTIF('01_MASTER_DATABASE'!$D$2:$D$500, A34) - (B34+C34+D34+E34+F34+G34)</f>
        <v/>
      </c>
    </row>
    <row r="35" ht="25" customHeight="1">
      <c r="A35" s="111" t="inlineStr">
        <is>
          <t>Soco/Maxpro/Civro</t>
        </is>
      </c>
      <c r="B35" s="112">
        <f>COUNTIFS('01_MASTER_DATABASE'!$D$2:$D$500, A35, '01_MASTER_DATABASE'!$G$2:$G$500, "*Cửa đi*")</f>
        <v/>
      </c>
      <c r="C35" s="112">
        <f>COUNTIFS('01_MASTER_DATABASE'!$D$2:$D$500, A35, '01_MASTER_DATABASE'!$G$2:$G$500, "*Cửa sổ*")</f>
        <v/>
      </c>
      <c r="D35" s="112">
        <f>COUNTIFS('01_MASTER_DATABASE'!$D$2:$D$500, A35, '01_MASTER_DATABASE'!$G$2:$G$500, "*vách ngăn*")</f>
        <v/>
      </c>
      <c r="E35" s="112">
        <f>COUNTIFS('01_MASTER_DATABASE'!$D$2:$D$500, A35, '01_MASTER_DATABASE'!$G$2:$G$500, "*mặt dựng*")</f>
        <v/>
      </c>
      <c r="F35" s="112">
        <f>COUNTIFS('01_MASTER_DATABASE'!$D$2:$D$500, A35, '01_MASTER_DATABASE'!$G$2:$G$500, "*lan can*")</f>
        <v/>
      </c>
      <c r="G35" s="112">
        <f>COUNTIFS('01_MASTER_DATABASE'!$D$2:$D$500, A35, '01_MASTER_DATABASE'!$G$2:$G$500, "*mái kính*")</f>
        <v/>
      </c>
      <c r="H35" s="112">
        <f>COUNTIF('01_MASTER_DATABASE'!$D$2:$D$500, A35) - (B35+C35+D35+E35+F35+G35)</f>
        <v/>
      </c>
    </row>
    <row r="36" ht="25" customHeight="1">
      <c r="A36" s="111" t="inlineStr">
        <is>
          <t>Topal</t>
        </is>
      </c>
      <c r="B36" s="112">
        <f>COUNTIFS('01_MASTER_DATABASE'!$D$2:$D$500, A36, '01_MASTER_DATABASE'!$G$2:$G$500, "*Cửa đi*")</f>
        <v/>
      </c>
      <c r="C36" s="112">
        <f>COUNTIFS('01_MASTER_DATABASE'!$D$2:$D$500, A36, '01_MASTER_DATABASE'!$G$2:$G$500, "*Cửa sổ*")</f>
        <v/>
      </c>
      <c r="D36" s="112">
        <f>COUNTIFS('01_MASTER_DATABASE'!$D$2:$D$500, A36, '01_MASTER_DATABASE'!$G$2:$G$500, "*vách ngăn*")</f>
        <v/>
      </c>
      <c r="E36" s="112">
        <f>COUNTIFS('01_MASTER_DATABASE'!$D$2:$D$500, A36, '01_MASTER_DATABASE'!$G$2:$G$500, "*mặt dựng*")</f>
        <v/>
      </c>
      <c r="F36" s="112">
        <f>COUNTIFS('01_MASTER_DATABASE'!$D$2:$D$500, A36, '01_MASTER_DATABASE'!$G$2:$G$500, "*lan can*")</f>
        <v/>
      </c>
      <c r="G36" s="112">
        <f>COUNTIFS('01_MASTER_DATABASE'!$D$2:$D$500, A36, '01_MASTER_DATABASE'!$G$2:$G$500, "*mái kính*")</f>
        <v/>
      </c>
      <c r="H36" s="112">
        <f>COUNTIF('01_MASTER_DATABASE'!$D$2:$D$500, A36) - (B36+C36+D36+E36+F36+G36)</f>
        <v/>
      </c>
    </row>
    <row r="37" ht="25" customHeight="1">
      <c r="A37" s="111" t="inlineStr">
        <is>
          <t>Viralwindow</t>
        </is>
      </c>
      <c r="B37" s="112">
        <f>COUNTIFS('01_MASTER_DATABASE'!$D$2:$D$500, A37, '01_MASTER_DATABASE'!$G$2:$G$500, "*Cửa đi*")</f>
        <v/>
      </c>
      <c r="C37" s="112">
        <f>COUNTIFS('01_MASTER_DATABASE'!$D$2:$D$500, A37, '01_MASTER_DATABASE'!$G$2:$G$500, "*Cửa sổ*")</f>
        <v/>
      </c>
      <c r="D37" s="112">
        <f>COUNTIFS('01_MASTER_DATABASE'!$D$2:$D$500, A37, '01_MASTER_DATABASE'!$G$2:$G$500, "*vách ngăn*")</f>
        <v/>
      </c>
      <c r="E37" s="112">
        <f>COUNTIFS('01_MASTER_DATABASE'!$D$2:$D$500, A37, '01_MASTER_DATABASE'!$G$2:$G$500, "*mặt dựng*")</f>
        <v/>
      </c>
      <c r="F37" s="112">
        <f>COUNTIFS('01_MASTER_DATABASE'!$D$2:$D$500, A37, '01_MASTER_DATABASE'!$G$2:$G$500, "*lan can*")</f>
        <v/>
      </c>
      <c r="G37" s="112">
        <f>COUNTIFS('01_MASTER_DATABASE'!$D$2:$D$500, A37, '01_MASTER_DATABASE'!$G$2:$G$500, "*mái kính*")</f>
        <v/>
      </c>
      <c r="H37" s="112">
        <f>COUNTIF('01_MASTER_DATABASE'!$D$2:$D$500, A37) - (B37+C37+D37+E37+F37+G37)</f>
        <v/>
      </c>
    </row>
    <row r="38" ht="25" customHeight="1">
      <c r="A38" s="111" t="inlineStr">
        <is>
          <t>Vitrocsa/Local</t>
        </is>
      </c>
      <c r="B38" s="112">
        <f>COUNTIFS('01_MASTER_DATABASE'!$D$2:$D$500, A38, '01_MASTER_DATABASE'!$G$2:$G$500, "*Cửa đi*")</f>
        <v/>
      </c>
      <c r="C38" s="112">
        <f>COUNTIFS('01_MASTER_DATABASE'!$D$2:$D$500, A38, '01_MASTER_DATABASE'!$G$2:$G$500, "*Cửa sổ*")</f>
        <v/>
      </c>
      <c r="D38" s="112">
        <f>COUNTIFS('01_MASTER_DATABASE'!$D$2:$D$500, A38, '01_MASTER_DATABASE'!$G$2:$G$500, "*vách ngăn*")</f>
        <v/>
      </c>
      <c r="E38" s="112">
        <f>COUNTIFS('01_MASTER_DATABASE'!$D$2:$D$500, A38, '01_MASTER_DATABASE'!$G$2:$G$500, "*mặt dựng*")</f>
        <v/>
      </c>
      <c r="F38" s="112">
        <f>COUNTIFS('01_MASTER_DATABASE'!$D$2:$D$500, A38, '01_MASTER_DATABASE'!$G$2:$G$500, "*lan can*")</f>
        <v/>
      </c>
      <c r="G38" s="112">
        <f>COUNTIFS('01_MASTER_DATABASE'!$D$2:$D$500, A38, '01_MASTER_DATABASE'!$G$2:$G$500, "*mái kính*")</f>
        <v/>
      </c>
      <c r="H38" s="112">
        <f>COUNTIF('01_MASTER_DATABASE'!$D$2:$D$500, A38) - (B38+C38+D38+E38+F38+G38)</f>
        <v/>
      </c>
    </row>
    <row r="39" ht="25" customHeight="1">
      <c r="A39" s="111" t="inlineStr">
        <is>
          <t>Việt Pháp</t>
        </is>
      </c>
      <c r="B39" s="112">
        <f>COUNTIFS('01_MASTER_DATABASE'!$D$2:$D$500, A39, '01_MASTER_DATABASE'!$G$2:$G$500, "*Cửa đi*")</f>
        <v/>
      </c>
      <c r="C39" s="112">
        <f>COUNTIFS('01_MASTER_DATABASE'!$D$2:$D$500, A39, '01_MASTER_DATABASE'!$G$2:$G$500, "*Cửa sổ*")</f>
        <v/>
      </c>
      <c r="D39" s="112">
        <f>COUNTIFS('01_MASTER_DATABASE'!$D$2:$D$500, A39, '01_MASTER_DATABASE'!$G$2:$G$500, "*vách ngăn*")</f>
        <v/>
      </c>
      <c r="E39" s="112">
        <f>COUNTIFS('01_MASTER_DATABASE'!$D$2:$D$500, A39, '01_MASTER_DATABASE'!$G$2:$G$500, "*mặt dựng*")</f>
        <v/>
      </c>
      <c r="F39" s="112">
        <f>COUNTIFS('01_MASTER_DATABASE'!$D$2:$D$500, A39, '01_MASTER_DATABASE'!$G$2:$G$500, "*lan can*")</f>
        <v/>
      </c>
      <c r="G39" s="112">
        <f>COUNTIFS('01_MASTER_DATABASE'!$D$2:$D$500, A39, '01_MASTER_DATABASE'!$G$2:$G$500, "*mái kính*")</f>
        <v/>
      </c>
      <c r="H39" s="112">
        <f>COUNTIF('01_MASTER_DATABASE'!$D$2:$D$500, A39) - (B39+C39+D39+E39+F39+G39)</f>
        <v/>
      </c>
    </row>
    <row r="40" ht="25" customHeight="1">
      <c r="A40" s="111" t="inlineStr">
        <is>
          <t>Việt Ý</t>
        </is>
      </c>
      <c r="B40" s="112">
        <f>COUNTIFS('01_MASTER_DATABASE'!$D$2:$D$500, A40, '01_MASTER_DATABASE'!$G$2:$G$500, "*Cửa đi*")</f>
        <v/>
      </c>
      <c r="C40" s="112">
        <f>COUNTIFS('01_MASTER_DATABASE'!$D$2:$D$500, A40, '01_MASTER_DATABASE'!$G$2:$G$500, "*Cửa sổ*")</f>
        <v/>
      </c>
      <c r="D40" s="112">
        <f>COUNTIFS('01_MASTER_DATABASE'!$D$2:$D$500, A40, '01_MASTER_DATABASE'!$G$2:$G$500, "*vách ngăn*")</f>
        <v/>
      </c>
      <c r="E40" s="112">
        <f>COUNTIFS('01_MASTER_DATABASE'!$D$2:$D$500, A40, '01_MASTER_DATABASE'!$G$2:$G$500, "*mặt dựng*")</f>
        <v/>
      </c>
      <c r="F40" s="112">
        <f>COUNTIFS('01_MASTER_DATABASE'!$D$2:$D$500, A40, '01_MASTER_DATABASE'!$G$2:$G$500, "*lan can*")</f>
        <v/>
      </c>
      <c r="G40" s="112">
        <f>COUNTIFS('01_MASTER_DATABASE'!$D$2:$D$500, A40, '01_MASTER_DATABASE'!$G$2:$G$500, "*mái kính*")</f>
        <v/>
      </c>
      <c r="H40" s="112">
        <f>COUNTIF('01_MASTER_DATABASE'!$D$2:$D$500, A40) - (B40+C40+D40+E40+F40+G40)</f>
        <v/>
      </c>
    </row>
    <row r="41" ht="25" customHeight="1">
      <c r="A41" s="111" t="inlineStr">
        <is>
          <t>Xingfa</t>
        </is>
      </c>
      <c r="B41" s="112">
        <f>COUNTIFS('01_MASTER_DATABASE'!$D$2:$D$500, A41, '01_MASTER_DATABASE'!$G$2:$G$500, "*Cửa đi*")</f>
        <v/>
      </c>
      <c r="C41" s="112">
        <f>COUNTIFS('01_MASTER_DATABASE'!$D$2:$D$500, A41, '01_MASTER_DATABASE'!$G$2:$G$500, "*Cửa sổ*")</f>
        <v/>
      </c>
      <c r="D41" s="112">
        <f>COUNTIFS('01_MASTER_DATABASE'!$D$2:$D$500, A41, '01_MASTER_DATABASE'!$G$2:$G$500, "*vách ngăn*")</f>
        <v/>
      </c>
      <c r="E41" s="112">
        <f>COUNTIFS('01_MASTER_DATABASE'!$D$2:$D$500, A41, '01_MASTER_DATABASE'!$G$2:$G$500, "*mặt dựng*")</f>
        <v/>
      </c>
      <c r="F41" s="112">
        <f>COUNTIFS('01_MASTER_DATABASE'!$D$2:$D$500, A41, '01_MASTER_DATABASE'!$G$2:$G$500, "*lan can*")</f>
        <v/>
      </c>
      <c r="G41" s="112">
        <f>COUNTIFS('01_MASTER_DATABASE'!$D$2:$D$500, A41, '01_MASTER_DATABASE'!$G$2:$G$500, "*mái kính*")</f>
        <v/>
      </c>
      <c r="H41" s="112">
        <f>COUNTIF('01_MASTER_DATABASE'!$D$2:$D$500, A41) - (B41+C41+D41+E41+F41+G41)</f>
        <v/>
      </c>
    </row>
    <row r="42" ht="25" customHeight="1">
      <c r="A42" s="111" t="inlineStr">
        <is>
          <t>YKK AP</t>
        </is>
      </c>
      <c r="B42" s="112">
        <f>COUNTIFS('01_MASTER_DATABASE'!$D$2:$D$500, A42, '01_MASTER_DATABASE'!$G$2:$G$500, "*Cửa đi*")</f>
        <v/>
      </c>
      <c r="C42" s="112">
        <f>COUNTIFS('01_MASTER_DATABASE'!$D$2:$D$500, A42, '01_MASTER_DATABASE'!$G$2:$G$500, "*Cửa sổ*")</f>
        <v/>
      </c>
      <c r="D42" s="112">
        <f>COUNTIFS('01_MASTER_DATABASE'!$D$2:$D$500, A42, '01_MASTER_DATABASE'!$G$2:$G$500, "*vách ngăn*")</f>
        <v/>
      </c>
      <c r="E42" s="112">
        <f>COUNTIFS('01_MASTER_DATABASE'!$D$2:$D$500, A42, '01_MASTER_DATABASE'!$G$2:$G$500, "*mặt dựng*")</f>
        <v/>
      </c>
      <c r="F42" s="112">
        <f>COUNTIFS('01_MASTER_DATABASE'!$D$2:$D$500, A42, '01_MASTER_DATABASE'!$G$2:$G$500, "*lan can*")</f>
        <v/>
      </c>
      <c r="G42" s="112">
        <f>COUNTIFS('01_MASTER_DATABASE'!$D$2:$D$500, A42, '01_MASTER_DATABASE'!$G$2:$G$500, "*mái kính*")</f>
        <v/>
      </c>
      <c r="H42" s="112">
        <f>COUNTIF('01_MASTER_DATABASE'!$D$2:$D$500, A42) - (B42+C42+D42+E42+F42+G42)</f>
        <v/>
      </c>
    </row>
    <row r="43" ht="25" customHeight="1">
      <c r="A43" s="111" t="inlineStr">
        <is>
          <t>Yangli</t>
        </is>
      </c>
      <c r="B43" s="112">
        <f>COUNTIFS('01_MASTER_DATABASE'!$D$2:$D$500, A43, '01_MASTER_DATABASE'!$G$2:$G$500, "*Cửa đi*")</f>
        <v/>
      </c>
      <c r="C43" s="112">
        <f>COUNTIFS('01_MASTER_DATABASE'!$D$2:$D$500, A43, '01_MASTER_DATABASE'!$G$2:$G$500, "*Cửa sổ*")</f>
        <v/>
      </c>
      <c r="D43" s="112">
        <f>COUNTIFS('01_MASTER_DATABASE'!$D$2:$D$500, A43, '01_MASTER_DATABASE'!$G$2:$G$500, "*vách ngăn*")</f>
        <v/>
      </c>
      <c r="E43" s="112">
        <f>COUNTIFS('01_MASTER_DATABASE'!$D$2:$D$500, A43, '01_MASTER_DATABASE'!$G$2:$G$500, "*mặt dựng*")</f>
        <v/>
      </c>
      <c r="F43" s="112">
        <f>COUNTIFS('01_MASTER_DATABASE'!$D$2:$D$500, A43, '01_MASTER_DATABASE'!$G$2:$G$500, "*lan can*")</f>
        <v/>
      </c>
      <c r="G43" s="112">
        <f>COUNTIFS('01_MASTER_DATABASE'!$D$2:$D$500, A43, '01_MASTER_DATABASE'!$G$2:$G$500, "*mái kính*")</f>
        <v/>
      </c>
      <c r="H43" s="112">
        <f>COUNTIF('01_MASTER_DATABASE'!$D$2:$D$500, A43) - (B43+C43+D43+E43+F43+G43)</f>
        <v/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109" t="inlineStr">
        <is>
          <t>SO SÁNH CÁC PHƯƠNG ÁN KIỂU MỞ CÁNH CỬA</t>
        </is>
      </c>
    </row>
    <row r="2" ht="20" customHeight="1"/>
    <row r="4" ht="30" customHeight="1">
      <c r="A4" s="110" t="inlineStr">
        <is>
          <t>Hãng</t>
        </is>
      </c>
      <c r="B4" s="110" t="inlineStr">
        <is>
          <t>Mở Quay (Casement)</t>
        </is>
      </c>
      <c r="C4" s="110" t="inlineStr">
        <is>
          <t>Trượt Lùa (Sliding)</t>
        </is>
      </c>
      <c r="D4" s="110" t="inlineStr">
        <is>
          <t>Mở Hất (Awning)</t>
        </is>
      </c>
      <c r="E4" s="110" t="inlineStr">
        <is>
          <t>Xếp Trượt (Folding)</t>
        </is>
      </c>
      <c r="F4" s="110" t="inlineStr">
        <is>
          <t>Trượt Quay (Slide &amp; Turn)</t>
        </is>
      </c>
      <c r="G4" s="110" t="inlineStr">
        <is>
          <t>Pivot / Trục Xoay</t>
        </is>
      </c>
    </row>
    <row r="5" ht="25" customHeight="1">
      <c r="A5" s="111" t="inlineStr">
        <is>
          <t>Civro</t>
        </is>
      </c>
      <c r="B5" s="112">
        <f>COUNTIFS('01_MASTER_DATABASE'!$D$2:$D$500, A5, '01_MASTER_DATABASE'!$H$2:$H$500, "*quay*")</f>
        <v/>
      </c>
      <c r="C5" s="112">
        <f>COUNTIFS('01_MASTER_DATABASE'!$D$2:$D$500, A5, '01_MASTER_DATABASE'!$H$2:$H$500, "*lùa*") + COUNTIFS('01_MASTER_DATABASE'!$D$2:$D$500, A5, '01_MASTER_DATABASE'!$H$2:$H$500, "*trượt*") - COUNTIFS('01_MASTER_DATABASE'!$D$2:$D$500, A5, '01_MASTER_DATABASE'!$H$2:$H$500, "*xếp trượt*") - COUNTIFS('01_MASTER_DATABASE'!$D$2:$D$500, A5, '01_MASTER_DATABASE'!$H$2:$H$500, "*trượt quay*")</f>
        <v/>
      </c>
      <c r="D5" s="112">
        <f>COUNTIFS('01_MASTER_DATABASE'!$D$2:$D$500, A5, '01_MASTER_DATABASE'!$H$2:$H$500, "*hất*")</f>
        <v/>
      </c>
      <c r="E5" s="112">
        <f>COUNTIFS('01_MASTER_DATABASE'!$D$2:$D$500, A5, '01_MASTER_DATABASE'!$H$2:$H$500, "*xếp trượt*")</f>
        <v/>
      </c>
      <c r="F5" s="112">
        <f>COUNTIFS('01_MASTER_DATABASE'!$D$2:$D$500, A5, '01_MASTER_DATABASE'!$H$2:$H$500, "*trượt quay*")</f>
        <v/>
      </c>
      <c r="G5" s="112">
        <f>COUNTIFS('01_MASTER_DATABASE'!$D$2:$D$500, A5, '01_MASTER_DATABASE'!$H$2:$H$500, "*pivot*") + COUNTIFS('01_MASTER_DATABASE'!$D$2:$D$500, A5, '01_MASTER_DATABASE'!$H$2:$H$500, "*trục xoay*")</f>
        <v/>
      </c>
    </row>
    <row r="6" ht="25" customHeight="1">
      <c r="A6" s="111" t="inlineStr">
        <is>
          <t>Civro/Maxpro/Soco</t>
        </is>
      </c>
      <c r="B6" s="112">
        <f>COUNTIFS('01_MASTER_DATABASE'!$D$2:$D$500, A6, '01_MASTER_DATABASE'!$H$2:$H$500, "*quay*")</f>
        <v/>
      </c>
      <c r="C6" s="112">
        <f>COUNTIFS('01_MASTER_DATABASE'!$D$2:$D$500, A6, '01_MASTER_DATABASE'!$H$2:$H$500, "*lùa*") + COUNTIFS('01_MASTER_DATABASE'!$D$2:$D$500, A6, '01_MASTER_DATABASE'!$H$2:$H$500, "*trượt*") - COUNTIFS('01_MASTER_DATABASE'!$D$2:$D$500, A6, '01_MASTER_DATABASE'!$H$2:$H$500, "*xếp trượt*") - COUNTIFS('01_MASTER_DATABASE'!$D$2:$D$500, A6, '01_MASTER_DATABASE'!$H$2:$H$500, "*trượt quay*")</f>
        <v/>
      </c>
      <c r="D6" s="112">
        <f>COUNTIFS('01_MASTER_DATABASE'!$D$2:$D$500, A6, '01_MASTER_DATABASE'!$H$2:$H$500, "*hất*")</f>
        <v/>
      </c>
      <c r="E6" s="112">
        <f>COUNTIFS('01_MASTER_DATABASE'!$D$2:$D$500, A6, '01_MASTER_DATABASE'!$H$2:$H$500, "*xếp trượt*")</f>
        <v/>
      </c>
      <c r="F6" s="112">
        <f>COUNTIFS('01_MASTER_DATABASE'!$D$2:$D$500, A6, '01_MASTER_DATABASE'!$H$2:$H$500, "*trượt quay*")</f>
        <v/>
      </c>
      <c r="G6" s="112">
        <f>COUNTIFS('01_MASTER_DATABASE'!$D$2:$D$500, A6, '01_MASTER_DATABASE'!$H$2:$H$500, "*pivot*") + COUNTIFS('01_MASTER_DATABASE'!$D$2:$D$500, A6, '01_MASTER_DATABASE'!$H$2:$H$500, "*trục xoay*")</f>
        <v/>
      </c>
    </row>
    <row r="7" ht="25" customHeight="1">
      <c r="A7" s="111" t="inlineStr">
        <is>
          <t>Civro/Owin/Local</t>
        </is>
      </c>
      <c r="B7" s="112">
        <f>COUNTIFS('01_MASTER_DATABASE'!$D$2:$D$500, A7, '01_MASTER_DATABASE'!$H$2:$H$500, "*quay*")</f>
        <v/>
      </c>
      <c r="C7" s="112">
        <f>COUNTIFS('01_MASTER_DATABASE'!$D$2:$D$500, A7, '01_MASTER_DATABASE'!$H$2:$H$500, "*lùa*") + COUNTIFS('01_MASTER_DATABASE'!$D$2:$D$500, A7, '01_MASTER_DATABASE'!$H$2:$H$500, "*trượt*") - COUNTIFS('01_MASTER_DATABASE'!$D$2:$D$500, A7, '01_MASTER_DATABASE'!$H$2:$H$500, "*xếp trượt*") - COUNTIFS('01_MASTER_DATABASE'!$D$2:$D$500, A7, '01_MASTER_DATABASE'!$H$2:$H$500, "*trượt quay*")</f>
        <v/>
      </c>
      <c r="D7" s="112">
        <f>COUNTIFS('01_MASTER_DATABASE'!$D$2:$D$500, A7, '01_MASTER_DATABASE'!$H$2:$H$500, "*hất*")</f>
        <v/>
      </c>
      <c r="E7" s="112">
        <f>COUNTIFS('01_MASTER_DATABASE'!$D$2:$D$500, A7, '01_MASTER_DATABASE'!$H$2:$H$500, "*xếp trượt*")</f>
        <v/>
      </c>
      <c r="F7" s="112">
        <f>COUNTIFS('01_MASTER_DATABASE'!$D$2:$D$500, A7, '01_MASTER_DATABASE'!$H$2:$H$500, "*trượt quay*")</f>
        <v/>
      </c>
      <c r="G7" s="112">
        <f>COUNTIFS('01_MASTER_DATABASE'!$D$2:$D$500, A7, '01_MASTER_DATABASE'!$H$2:$H$500, "*pivot*") + COUNTIFS('01_MASTER_DATABASE'!$D$2:$D$500, A7, '01_MASTER_DATABASE'!$H$2:$H$500, "*trục xoay*")</f>
        <v/>
      </c>
    </row>
    <row r="8" ht="25" customHeight="1">
      <c r="A8" s="111" t="inlineStr">
        <is>
          <t>Civro/PAG/Schüco</t>
        </is>
      </c>
      <c r="B8" s="112">
        <f>COUNTIFS('01_MASTER_DATABASE'!$D$2:$D$500, A8, '01_MASTER_DATABASE'!$H$2:$H$500, "*quay*")</f>
        <v/>
      </c>
      <c r="C8" s="112">
        <f>COUNTIFS('01_MASTER_DATABASE'!$D$2:$D$500, A8, '01_MASTER_DATABASE'!$H$2:$H$500, "*lùa*") + COUNTIFS('01_MASTER_DATABASE'!$D$2:$D$500, A8, '01_MASTER_DATABASE'!$H$2:$H$500, "*trượt*") - COUNTIFS('01_MASTER_DATABASE'!$D$2:$D$500, A8, '01_MASTER_DATABASE'!$H$2:$H$500, "*xếp trượt*") - COUNTIFS('01_MASTER_DATABASE'!$D$2:$D$500, A8, '01_MASTER_DATABASE'!$H$2:$H$500, "*trượt quay*")</f>
        <v/>
      </c>
      <c r="D8" s="112">
        <f>COUNTIFS('01_MASTER_DATABASE'!$D$2:$D$500, A8, '01_MASTER_DATABASE'!$H$2:$H$500, "*hất*")</f>
        <v/>
      </c>
      <c r="E8" s="112">
        <f>COUNTIFS('01_MASTER_DATABASE'!$D$2:$D$500, A8, '01_MASTER_DATABASE'!$H$2:$H$500, "*xếp trượt*")</f>
        <v/>
      </c>
      <c r="F8" s="112">
        <f>COUNTIFS('01_MASTER_DATABASE'!$D$2:$D$500, A8, '01_MASTER_DATABASE'!$H$2:$H$500, "*trượt quay*")</f>
        <v/>
      </c>
      <c r="G8" s="112">
        <f>COUNTIFS('01_MASTER_DATABASE'!$D$2:$D$500, A8, '01_MASTER_DATABASE'!$H$2:$H$500, "*pivot*") + COUNTIFS('01_MASTER_DATABASE'!$D$2:$D$500, A8, '01_MASTER_DATABASE'!$H$2:$H$500, "*trục xoay*")</f>
        <v/>
      </c>
    </row>
    <row r="9" ht="25" customHeight="1">
      <c r="A9" s="111" t="inlineStr">
        <is>
          <t>Các hãng</t>
        </is>
      </c>
      <c r="B9" s="112">
        <f>COUNTIFS('01_MASTER_DATABASE'!$D$2:$D$500, A9, '01_MASTER_DATABASE'!$H$2:$H$500, "*quay*")</f>
        <v/>
      </c>
      <c r="C9" s="112">
        <f>COUNTIFS('01_MASTER_DATABASE'!$D$2:$D$500, A9, '01_MASTER_DATABASE'!$H$2:$H$500, "*lùa*") + COUNTIFS('01_MASTER_DATABASE'!$D$2:$D$500, A9, '01_MASTER_DATABASE'!$H$2:$H$500, "*trượt*") - COUNTIFS('01_MASTER_DATABASE'!$D$2:$D$500, A9, '01_MASTER_DATABASE'!$H$2:$H$500, "*xếp trượt*") - COUNTIFS('01_MASTER_DATABASE'!$D$2:$D$500, A9, '01_MASTER_DATABASE'!$H$2:$H$500, "*trượt quay*")</f>
        <v/>
      </c>
      <c r="D9" s="112">
        <f>COUNTIFS('01_MASTER_DATABASE'!$D$2:$D$500, A9, '01_MASTER_DATABASE'!$H$2:$H$500, "*hất*")</f>
        <v/>
      </c>
      <c r="E9" s="112">
        <f>COUNTIFS('01_MASTER_DATABASE'!$D$2:$D$500, A9, '01_MASTER_DATABASE'!$H$2:$H$500, "*xếp trượt*")</f>
        <v/>
      </c>
      <c r="F9" s="112">
        <f>COUNTIFS('01_MASTER_DATABASE'!$D$2:$D$500, A9, '01_MASTER_DATABASE'!$H$2:$H$500, "*trượt quay*")</f>
        <v/>
      </c>
      <c r="G9" s="112">
        <f>COUNTIFS('01_MASTER_DATABASE'!$D$2:$D$500, A9, '01_MASTER_DATABASE'!$H$2:$H$500, "*pivot*") + COUNTIFS('01_MASTER_DATABASE'!$D$2:$D$500, A9, '01_MASTER_DATABASE'!$H$2:$H$500, "*trục xoay*")</f>
        <v/>
      </c>
    </row>
    <row r="10" ht="25" customHeight="1">
      <c r="A10" s="111" t="inlineStr">
        <is>
          <t>Dorma/Besam/Local</t>
        </is>
      </c>
      <c r="B10" s="112">
        <f>COUNTIFS('01_MASTER_DATABASE'!$D$2:$D$500, A10, '01_MASTER_DATABASE'!$H$2:$H$500, "*quay*")</f>
        <v/>
      </c>
      <c r="C10" s="112">
        <f>COUNTIFS('01_MASTER_DATABASE'!$D$2:$D$500, A10, '01_MASTER_DATABASE'!$H$2:$H$500, "*lùa*") + COUNTIFS('01_MASTER_DATABASE'!$D$2:$D$500, A10, '01_MASTER_DATABASE'!$H$2:$H$500, "*trượt*") - COUNTIFS('01_MASTER_DATABASE'!$D$2:$D$500, A10, '01_MASTER_DATABASE'!$H$2:$H$500, "*xếp trượt*") - COUNTIFS('01_MASTER_DATABASE'!$D$2:$D$500, A10, '01_MASTER_DATABASE'!$H$2:$H$500, "*trượt quay*")</f>
        <v/>
      </c>
      <c r="D10" s="112">
        <f>COUNTIFS('01_MASTER_DATABASE'!$D$2:$D$500, A10, '01_MASTER_DATABASE'!$H$2:$H$500, "*hất*")</f>
        <v/>
      </c>
      <c r="E10" s="112">
        <f>COUNTIFS('01_MASTER_DATABASE'!$D$2:$D$500, A10, '01_MASTER_DATABASE'!$H$2:$H$500, "*xếp trượt*")</f>
        <v/>
      </c>
      <c r="F10" s="112">
        <f>COUNTIFS('01_MASTER_DATABASE'!$D$2:$D$500, A10, '01_MASTER_DATABASE'!$H$2:$H$500, "*trượt quay*")</f>
        <v/>
      </c>
      <c r="G10" s="112">
        <f>COUNTIFS('01_MASTER_DATABASE'!$D$2:$D$500, A10, '01_MASTER_DATABASE'!$H$2:$H$500, "*pivot*") + COUNTIFS('01_MASTER_DATABASE'!$D$2:$D$500, A10, '01_MASTER_DATABASE'!$H$2:$H$500, "*trục xoay*")</f>
        <v/>
      </c>
    </row>
    <row r="11" ht="25" customHeight="1">
      <c r="A11" s="111" t="inlineStr">
        <is>
          <t>EuroVN</t>
        </is>
      </c>
      <c r="B11" s="112">
        <f>COUNTIFS('01_MASTER_DATABASE'!$D$2:$D$500, A11, '01_MASTER_DATABASE'!$H$2:$H$500, "*quay*")</f>
        <v/>
      </c>
      <c r="C11" s="112">
        <f>COUNTIFS('01_MASTER_DATABASE'!$D$2:$D$500, A11, '01_MASTER_DATABASE'!$H$2:$H$500, "*lùa*") + COUNTIFS('01_MASTER_DATABASE'!$D$2:$D$500, A11, '01_MASTER_DATABASE'!$H$2:$H$500, "*trượt*") - COUNTIFS('01_MASTER_DATABASE'!$D$2:$D$500, A11, '01_MASTER_DATABASE'!$H$2:$H$500, "*xếp trượt*") - COUNTIFS('01_MASTER_DATABASE'!$D$2:$D$500, A11, '01_MASTER_DATABASE'!$H$2:$H$500, "*trượt quay*")</f>
        <v/>
      </c>
      <c r="D11" s="112">
        <f>COUNTIFS('01_MASTER_DATABASE'!$D$2:$D$500, A11, '01_MASTER_DATABASE'!$H$2:$H$500, "*hất*")</f>
        <v/>
      </c>
      <c r="E11" s="112">
        <f>COUNTIFS('01_MASTER_DATABASE'!$D$2:$D$500, A11, '01_MASTER_DATABASE'!$H$2:$H$500, "*xếp trượt*")</f>
        <v/>
      </c>
      <c r="F11" s="112">
        <f>COUNTIFS('01_MASTER_DATABASE'!$D$2:$D$500, A11, '01_MASTER_DATABASE'!$H$2:$H$500, "*trượt quay*")</f>
        <v/>
      </c>
      <c r="G11" s="112">
        <f>COUNTIFS('01_MASTER_DATABASE'!$D$2:$D$500, A11, '01_MASTER_DATABASE'!$H$2:$H$500, "*pivot*") + COUNTIFS('01_MASTER_DATABASE'!$D$2:$D$500, A11, '01_MASTER_DATABASE'!$H$2:$H$500, "*trục xoay*")</f>
        <v/>
      </c>
    </row>
    <row r="12" ht="25" customHeight="1">
      <c r="A12" s="111" t="inlineStr">
        <is>
          <t>Eurowindow</t>
        </is>
      </c>
      <c r="B12" s="112">
        <f>COUNTIFS('01_MASTER_DATABASE'!$D$2:$D$500, A12, '01_MASTER_DATABASE'!$H$2:$H$500, "*quay*")</f>
        <v/>
      </c>
      <c r="C12" s="112">
        <f>COUNTIFS('01_MASTER_DATABASE'!$D$2:$D$500, A12, '01_MASTER_DATABASE'!$H$2:$H$500, "*lùa*") + COUNTIFS('01_MASTER_DATABASE'!$D$2:$D$500, A12, '01_MASTER_DATABASE'!$H$2:$H$500, "*trượt*") - COUNTIFS('01_MASTER_DATABASE'!$D$2:$D$500, A12, '01_MASTER_DATABASE'!$H$2:$H$500, "*xếp trượt*") - COUNTIFS('01_MASTER_DATABASE'!$D$2:$D$500, A12, '01_MASTER_DATABASE'!$H$2:$H$500, "*trượt quay*")</f>
        <v/>
      </c>
      <c r="D12" s="112">
        <f>COUNTIFS('01_MASTER_DATABASE'!$D$2:$D$500, A12, '01_MASTER_DATABASE'!$H$2:$H$500, "*hất*")</f>
        <v/>
      </c>
      <c r="E12" s="112">
        <f>COUNTIFS('01_MASTER_DATABASE'!$D$2:$D$500, A12, '01_MASTER_DATABASE'!$H$2:$H$500, "*xếp trượt*")</f>
        <v/>
      </c>
      <c r="F12" s="112">
        <f>COUNTIFS('01_MASTER_DATABASE'!$D$2:$D$500, A12, '01_MASTER_DATABASE'!$H$2:$H$500, "*trượt quay*")</f>
        <v/>
      </c>
      <c r="G12" s="112">
        <f>COUNTIFS('01_MASTER_DATABASE'!$D$2:$D$500, A12, '01_MASTER_DATABASE'!$H$2:$H$500, "*pivot*") + COUNTIFS('01_MASTER_DATABASE'!$D$2:$D$500, A12, '01_MASTER_DATABASE'!$H$2:$H$500, "*trục xoay*")</f>
        <v/>
      </c>
    </row>
    <row r="13" ht="25" customHeight="1">
      <c r="A13" s="111" t="inlineStr">
        <is>
          <t>Hondalex</t>
        </is>
      </c>
      <c r="B13" s="112">
        <f>COUNTIFS('01_MASTER_DATABASE'!$D$2:$D$500, A13, '01_MASTER_DATABASE'!$H$2:$H$500, "*quay*")</f>
        <v/>
      </c>
      <c r="C13" s="112">
        <f>COUNTIFS('01_MASTER_DATABASE'!$D$2:$D$500, A13, '01_MASTER_DATABASE'!$H$2:$H$500, "*lùa*") + COUNTIFS('01_MASTER_DATABASE'!$D$2:$D$500, A13, '01_MASTER_DATABASE'!$H$2:$H$500, "*trượt*") - COUNTIFS('01_MASTER_DATABASE'!$D$2:$D$500, A13, '01_MASTER_DATABASE'!$H$2:$H$500, "*xếp trượt*") - COUNTIFS('01_MASTER_DATABASE'!$D$2:$D$500, A13, '01_MASTER_DATABASE'!$H$2:$H$500, "*trượt quay*")</f>
        <v/>
      </c>
      <c r="D13" s="112">
        <f>COUNTIFS('01_MASTER_DATABASE'!$D$2:$D$500, A13, '01_MASTER_DATABASE'!$H$2:$H$500, "*hất*")</f>
        <v/>
      </c>
      <c r="E13" s="112">
        <f>COUNTIFS('01_MASTER_DATABASE'!$D$2:$D$500, A13, '01_MASTER_DATABASE'!$H$2:$H$500, "*xếp trượt*")</f>
        <v/>
      </c>
      <c r="F13" s="112">
        <f>COUNTIFS('01_MASTER_DATABASE'!$D$2:$D$500, A13, '01_MASTER_DATABASE'!$H$2:$H$500, "*trượt quay*")</f>
        <v/>
      </c>
      <c r="G13" s="112">
        <f>COUNTIFS('01_MASTER_DATABASE'!$D$2:$D$500, A13, '01_MASTER_DATABASE'!$H$2:$H$500, "*pivot*") + COUNTIFS('01_MASTER_DATABASE'!$D$2:$D$500, A13, '01_MASTER_DATABASE'!$H$2:$H$500, "*trục xoay*")</f>
        <v/>
      </c>
    </row>
    <row r="14" ht="25" customHeight="1">
      <c r="A14" s="111" t="inlineStr">
        <is>
          <t>Hệ PCCC</t>
        </is>
      </c>
      <c r="B14" s="112">
        <f>COUNTIFS('01_MASTER_DATABASE'!$D$2:$D$500, A14, '01_MASTER_DATABASE'!$H$2:$H$500, "*quay*")</f>
        <v/>
      </c>
      <c r="C14" s="112">
        <f>COUNTIFS('01_MASTER_DATABASE'!$D$2:$D$500, A14, '01_MASTER_DATABASE'!$H$2:$H$500, "*lùa*") + COUNTIFS('01_MASTER_DATABASE'!$D$2:$D$500, A14, '01_MASTER_DATABASE'!$H$2:$H$500, "*trượt*") - COUNTIFS('01_MASTER_DATABASE'!$D$2:$D$500, A14, '01_MASTER_DATABASE'!$H$2:$H$500, "*xếp trượt*") - COUNTIFS('01_MASTER_DATABASE'!$D$2:$D$500, A14, '01_MASTER_DATABASE'!$H$2:$H$500, "*trượt quay*")</f>
        <v/>
      </c>
      <c r="D14" s="112">
        <f>COUNTIFS('01_MASTER_DATABASE'!$D$2:$D$500, A14, '01_MASTER_DATABASE'!$H$2:$H$500, "*hất*")</f>
        <v/>
      </c>
      <c r="E14" s="112">
        <f>COUNTIFS('01_MASTER_DATABASE'!$D$2:$D$500, A14, '01_MASTER_DATABASE'!$H$2:$H$500, "*xếp trượt*")</f>
        <v/>
      </c>
      <c r="F14" s="112">
        <f>COUNTIFS('01_MASTER_DATABASE'!$D$2:$D$500, A14, '01_MASTER_DATABASE'!$H$2:$H$500, "*trượt quay*")</f>
        <v/>
      </c>
      <c r="G14" s="112">
        <f>COUNTIFS('01_MASTER_DATABASE'!$D$2:$D$500, A14, '01_MASTER_DATABASE'!$H$2:$H$500, "*pivot*") + COUNTIFS('01_MASTER_DATABASE'!$D$2:$D$500, A14, '01_MASTER_DATABASE'!$H$2:$H$500, "*trục xoay*")</f>
        <v/>
      </c>
    </row>
    <row r="15" ht="25" customHeight="1">
      <c r="A15" s="111" t="inlineStr">
        <is>
          <t>Hệ Smart</t>
        </is>
      </c>
      <c r="B15" s="112">
        <f>COUNTIFS('01_MASTER_DATABASE'!$D$2:$D$500, A15, '01_MASTER_DATABASE'!$H$2:$H$500, "*quay*")</f>
        <v/>
      </c>
      <c r="C15" s="112">
        <f>COUNTIFS('01_MASTER_DATABASE'!$D$2:$D$500, A15, '01_MASTER_DATABASE'!$H$2:$H$500, "*lùa*") + COUNTIFS('01_MASTER_DATABASE'!$D$2:$D$500, A15, '01_MASTER_DATABASE'!$H$2:$H$500, "*trượt*") - COUNTIFS('01_MASTER_DATABASE'!$D$2:$D$500, A15, '01_MASTER_DATABASE'!$H$2:$H$500, "*xếp trượt*") - COUNTIFS('01_MASTER_DATABASE'!$D$2:$D$500, A15, '01_MASTER_DATABASE'!$H$2:$H$500, "*trượt quay*")</f>
        <v/>
      </c>
      <c r="D15" s="112">
        <f>COUNTIFS('01_MASTER_DATABASE'!$D$2:$D$500, A15, '01_MASTER_DATABASE'!$H$2:$H$500, "*hất*")</f>
        <v/>
      </c>
      <c r="E15" s="112">
        <f>COUNTIFS('01_MASTER_DATABASE'!$D$2:$D$500, A15, '01_MASTER_DATABASE'!$H$2:$H$500, "*xếp trượt*")</f>
        <v/>
      </c>
      <c r="F15" s="112">
        <f>COUNTIFS('01_MASTER_DATABASE'!$D$2:$D$500, A15, '01_MASTER_DATABASE'!$H$2:$H$500, "*trượt quay*")</f>
        <v/>
      </c>
      <c r="G15" s="112">
        <f>COUNTIFS('01_MASTER_DATABASE'!$D$2:$D$500, A15, '01_MASTER_DATABASE'!$H$2:$H$500, "*pivot*") + COUNTIFS('01_MASTER_DATABASE'!$D$2:$D$500, A15, '01_MASTER_DATABASE'!$H$2:$H$500, "*trục xoay*")</f>
        <v/>
      </c>
    </row>
    <row r="16" ht="25" customHeight="1">
      <c r="A16" s="111" t="inlineStr">
        <is>
          <t>Hệ chuyên dụng</t>
        </is>
      </c>
      <c r="B16" s="112">
        <f>COUNTIFS('01_MASTER_DATABASE'!$D$2:$D$500, A16, '01_MASTER_DATABASE'!$H$2:$H$500, "*quay*")</f>
        <v/>
      </c>
      <c r="C16" s="112">
        <f>COUNTIFS('01_MASTER_DATABASE'!$D$2:$D$500, A16, '01_MASTER_DATABASE'!$H$2:$H$500, "*lùa*") + COUNTIFS('01_MASTER_DATABASE'!$D$2:$D$500, A16, '01_MASTER_DATABASE'!$H$2:$H$500, "*trượt*") - COUNTIFS('01_MASTER_DATABASE'!$D$2:$D$500, A16, '01_MASTER_DATABASE'!$H$2:$H$500, "*xếp trượt*") - COUNTIFS('01_MASTER_DATABASE'!$D$2:$D$500, A16, '01_MASTER_DATABASE'!$H$2:$H$500, "*trượt quay*")</f>
        <v/>
      </c>
      <c r="D16" s="112">
        <f>COUNTIFS('01_MASTER_DATABASE'!$D$2:$D$500, A16, '01_MASTER_DATABASE'!$H$2:$H$500, "*hất*")</f>
        <v/>
      </c>
      <c r="E16" s="112">
        <f>COUNTIFS('01_MASTER_DATABASE'!$D$2:$D$500, A16, '01_MASTER_DATABASE'!$H$2:$H$500, "*xếp trượt*")</f>
        <v/>
      </c>
      <c r="F16" s="112">
        <f>COUNTIFS('01_MASTER_DATABASE'!$D$2:$D$500, A16, '01_MASTER_DATABASE'!$H$2:$H$500, "*trượt quay*")</f>
        <v/>
      </c>
      <c r="G16" s="112">
        <f>COUNTIFS('01_MASTER_DATABASE'!$D$2:$D$500, A16, '01_MASTER_DATABASE'!$H$2:$H$500, "*pivot*") + COUNTIFS('01_MASTER_DATABASE'!$D$2:$D$500, A16, '01_MASTER_DATABASE'!$H$2:$H$500, "*trục xoay*")</f>
        <v/>
      </c>
    </row>
    <row r="17" ht="25" customHeight="1">
      <c r="A17" s="111" t="inlineStr">
        <is>
          <t>KOS</t>
        </is>
      </c>
      <c r="B17" s="112">
        <f>COUNTIFS('01_MASTER_DATABASE'!$D$2:$D$500, A17, '01_MASTER_DATABASE'!$H$2:$H$500, "*quay*")</f>
        <v/>
      </c>
      <c r="C17" s="112">
        <f>COUNTIFS('01_MASTER_DATABASE'!$D$2:$D$500, A17, '01_MASTER_DATABASE'!$H$2:$H$500, "*lùa*") + COUNTIFS('01_MASTER_DATABASE'!$D$2:$D$500, A17, '01_MASTER_DATABASE'!$H$2:$H$500, "*trượt*") - COUNTIFS('01_MASTER_DATABASE'!$D$2:$D$500, A17, '01_MASTER_DATABASE'!$H$2:$H$500, "*xếp trượt*") - COUNTIFS('01_MASTER_DATABASE'!$D$2:$D$500, A17, '01_MASTER_DATABASE'!$H$2:$H$500, "*trượt quay*")</f>
        <v/>
      </c>
      <c r="D17" s="112">
        <f>COUNTIFS('01_MASTER_DATABASE'!$D$2:$D$500, A17, '01_MASTER_DATABASE'!$H$2:$H$500, "*hất*")</f>
        <v/>
      </c>
      <c r="E17" s="112">
        <f>COUNTIFS('01_MASTER_DATABASE'!$D$2:$D$500, A17, '01_MASTER_DATABASE'!$H$2:$H$500, "*xếp trượt*")</f>
        <v/>
      </c>
      <c r="F17" s="112">
        <f>COUNTIFS('01_MASTER_DATABASE'!$D$2:$D$500, A17, '01_MASTER_DATABASE'!$H$2:$H$500, "*trượt quay*")</f>
        <v/>
      </c>
      <c r="G17" s="112">
        <f>COUNTIFS('01_MASTER_DATABASE'!$D$2:$D$500, A17, '01_MASTER_DATABASE'!$H$2:$H$500, "*pivot*") + COUNTIFS('01_MASTER_DATABASE'!$D$2:$D$500, A17, '01_MASTER_DATABASE'!$H$2:$H$500, "*trục xoay*")</f>
        <v/>
      </c>
    </row>
    <row r="18" ht="25" customHeight="1">
      <c r="A18" s="111" t="inlineStr">
        <is>
          <t>Kogen</t>
        </is>
      </c>
      <c r="B18" s="112">
        <f>COUNTIFS('01_MASTER_DATABASE'!$D$2:$D$500, A18, '01_MASTER_DATABASE'!$H$2:$H$500, "*quay*")</f>
        <v/>
      </c>
      <c r="C18" s="112">
        <f>COUNTIFS('01_MASTER_DATABASE'!$D$2:$D$500, A18, '01_MASTER_DATABASE'!$H$2:$H$500, "*lùa*") + COUNTIFS('01_MASTER_DATABASE'!$D$2:$D$500, A18, '01_MASTER_DATABASE'!$H$2:$H$500, "*trượt*") - COUNTIFS('01_MASTER_DATABASE'!$D$2:$D$500, A18, '01_MASTER_DATABASE'!$H$2:$H$500, "*xếp trượt*") - COUNTIFS('01_MASTER_DATABASE'!$D$2:$D$500, A18, '01_MASTER_DATABASE'!$H$2:$H$500, "*trượt quay*")</f>
        <v/>
      </c>
      <c r="D18" s="112">
        <f>COUNTIFS('01_MASTER_DATABASE'!$D$2:$D$500, A18, '01_MASTER_DATABASE'!$H$2:$H$500, "*hất*")</f>
        <v/>
      </c>
      <c r="E18" s="112">
        <f>COUNTIFS('01_MASTER_DATABASE'!$D$2:$D$500, A18, '01_MASTER_DATABASE'!$H$2:$H$500, "*xếp trượt*")</f>
        <v/>
      </c>
      <c r="F18" s="112">
        <f>COUNTIFS('01_MASTER_DATABASE'!$D$2:$D$500, A18, '01_MASTER_DATABASE'!$H$2:$H$500, "*trượt quay*")</f>
        <v/>
      </c>
      <c r="G18" s="112">
        <f>COUNTIFS('01_MASTER_DATABASE'!$D$2:$D$500, A18, '01_MASTER_DATABASE'!$H$2:$H$500, "*pivot*") + COUNTIFS('01_MASTER_DATABASE'!$D$2:$D$500, A18, '01_MASTER_DATABASE'!$H$2:$H$500, "*trục xoay*")</f>
        <v/>
      </c>
    </row>
    <row r="19" ht="25" customHeight="1">
      <c r="A19" s="111" t="inlineStr">
        <is>
          <t>Local</t>
        </is>
      </c>
      <c r="B19" s="112">
        <f>COUNTIFS('01_MASTER_DATABASE'!$D$2:$D$500, A19, '01_MASTER_DATABASE'!$H$2:$H$500, "*quay*")</f>
        <v/>
      </c>
      <c r="C19" s="112">
        <f>COUNTIFS('01_MASTER_DATABASE'!$D$2:$D$500, A19, '01_MASTER_DATABASE'!$H$2:$H$500, "*lùa*") + COUNTIFS('01_MASTER_DATABASE'!$D$2:$D$500, A19, '01_MASTER_DATABASE'!$H$2:$H$500, "*trượt*") - COUNTIFS('01_MASTER_DATABASE'!$D$2:$D$500, A19, '01_MASTER_DATABASE'!$H$2:$H$500, "*xếp trượt*") - COUNTIFS('01_MASTER_DATABASE'!$D$2:$D$500, A19, '01_MASTER_DATABASE'!$H$2:$H$500, "*trượt quay*")</f>
        <v/>
      </c>
      <c r="D19" s="112">
        <f>COUNTIFS('01_MASTER_DATABASE'!$D$2:$D$500, A19, '01_MASTER_DATABASE'!$H$2:$H$500, "*hất*")</f>
        <v/>
      </c>
      <c r="E19" s="112">
        <f>COUNTIFS('01_MASTER_DATABASE'!$D$2:$D$500, A19, '01_MASTER_DATABASE'!$H$2:$H$500, "*xếp trượt*")</f>
        <v/>
      </c>
      <c r="F19" s="112">
        <f>COUNTIFS('01_MASTER_DATABASE'!$D$2:$D$500, A19, '01_MASTER_DATABASE'!$H$2:$H$500, "*trượt quay*")</f>
        <v/>
      </c>
      <c r="G19" s="112">
        <f>COUNTIFS('01_MASTER_DATABASE'!$D$2:$D$500, A19, '01_MASTER_DATABASE'!$H$2:$H$500, "*pivot*") + COUNTIFS('01_MASTER_DATABASE'!$D$2:$D$500, A19, '01_MASTER_DATABASE'!$H$2:$H$500, "*trục xoay*")</f>
        <v/>
      </c>
    </row>
    <row r="20" ht="25" customHeight="1">
      <c r="A20" s="111" t="inlineStr">
        <is>
          <t>Local/Châu Âu</t>
        </is>
      </c>
      <c r="B20" s="112">
        <f>COUNTIFS('01_MASTER_DATABASE'!$D$2:$D$500, A20, '01_MASTER_DATABASE'!$H$2:$H$500, "*quay*")</f>
        <v/>
      </c>
      <c r="C20" s="112">
        <f>COUNTIFS('01_MASTER_DATABASE'!$D$2:$D$500, A20, '01_MASTER_DATABASE'!$H$2:$H$500, "*lùa*") + COUNTIFS('01_MASTER_DATABASE'!$D$2:$D$500, A20, '01_MASTER_DATABASE'!$H$2:$H$500, "*trượt*") - COUNTIFS('01_MASTER_DATABASE'!$D$2:$D$500, A20, '01_MASTER_DATABASE'!$H$2:$H$500, "*xếp trượt*") - COUNTIFS('01_MASTER_DATABASE'!$D$2:$D$500, A20, '01_MASTER_DATABASE'!$H$2:$H$500, "*trượt quay*")</f>
        <v/>
      </c>
      <c r="D20" s="112">
        <f>COUNTIFS('01_MASTER_DATABASE'!$D$2:$D$500, A20, '01_MASTER_DATABASE'!$H$2:$H$500, "*hất*")</f>
        <v/>
      </c>
      <c r="E20" s="112">
        <f>COUNTIFS('01_MASTER_DATABASE'!$D$2:$D$500, A20, '01_MASTER_DATABASE'!$H$2:$H$500, "*xếp trượt*")</f>
        <v/>
      </c>
      <c r="F20" s="112">
        <f>COUNTIFS('01_MASTER_DATABASE'!$D$2:$D$500, A20, '01_MASTER_DATABASE'!$H$2:$H$500, "*trượt quay*")</f>
        <v/>
      </c>
      <c r="G20" s="112">
        <f>COUNTIFS('01_MASTER_DATABASE'!$D$2:$D$500, A20, '01_MASTER_DATABASE'!$H$2:$H$500, "*pivot*") + COUNTIFS('01_MASTER_DATABASE'!$D$2:$D$500, A20, '01_MASTER_DATABASE'!$H$2:$H$500, "*trục xoay*")</f>
        <v/>
      </c>
    </row>
    <row r="21" ht="25" customHeight="1">
      <c r="A21" s="111" t="inlineStr">
        <is>
          <t>Local/Ý</t>
        </is>
      </c>
      <c r="B21" s="112">
        <f>COUNTIFS('01_MASTER_DATABASE'!$D$2:$D$500, A21, '01_MASTER_DATABASE'!$H$2:$H$500, "*quay*")</f>
        <v/>
      </c>
      <c r="C21" s="112">
        <f>COUNTIFS('01_MASTER_DATABASE'!$D$2:$D$500, A21, '01_MASTER_DATABASE'!$H$2:$H$500, "*lùa*") + COUNTIFS('01_MASTER_DATABASE'!$D$2:$D$500, A21, '01_MASTER_DATABASE'!$H$2:$H$500, "*trượt*") - COUNTIFS('01_MASTER_DATABASE'!$D$2:$D$500, A21, '01_MASTER_DATABASE'!$H$2:$H$500, "*xếp trượt*") - COUNTIFS('01_MASTER_DATABASE'!$D$2:$D$500, A21, '01_MASTER_DATABASE'!$H$2:$H$500, "*trượt quay*")</f>
        <v/>
      </c>
      <c r="D21" s="112">
        <f>COUNTIFS('01_MASTER_DATABASE'!$D$2:$D$500, A21, '01_MASTER_DATABASE'!$H$2:$H$500, "*hất*")</f>
        <v/>
      </c>
      <c r="E21" s="112">
        <f>COUNTIFS('01_MASTER_DATABASE'!$D$2:$D$500, A21, '01_MASTER_DATABASE'!$H$2:$H$500, "*xếp trượt*")</f>
        <v/>
      </c>
      <c r="F21" s="112">
        <f>COUNTIFS('01_MASTER_DATABASE'!$D$2:$D$500, A21, '01_MASTER_DATABASE'!$H$2:$H$500, "*trượt quay*")</f>
        <v/>
      </c>
      <c r="G21" s="112">
        <f>COUNTIFS('01_MASTER_DATABASE'!$D$2:$D$500, A21, '01_MASTER_DATABASE'!$H$2:$H$500, "*pivot*") + COUNTIFS('01_MASTER_DATABASE'!$D$2:$D$500, A21, '01_MASTER_DATABASE'!$H$2:$H$500, "*trục xoay*")</f>
        <v/>
      </c>
    </row>
    <row r="22" ht="25" customHeight="1">
      <c r="A22" s="111" t="inlineStr">
        <is>
          <t>Maxpro JP</t>
        </is>
      </c>
      <c r="B22" s="112">
        <f>COUNTIFS('01_MASTER_DATABASE'!$D$2:$D$500, A22, '01_MASTER_DATABASE'!$H$2:$H$500, "*quay*")</f>
        <v/>
      </c>
      <c r="C22" s="112">
        <f>COUNTIFS('01_MASTER_DATABASE'!$D$2:$D$500, A22, '01_MASTER_DATABASE'!$H$2:$H$500, "*lùa*") + COUNTIFS('01_MASTER_DATABASE'!$D$2:$D$500, A22, '01_MASTER_DATABASE'!$H$2:$H$500, "*trượt*") - COUNTIFS('01_MASTER_DATABASE'!$D$2:$D$500, A22, '01_MASTER_DATABASE'!$H$2:$H$500, "*xếp trượt*") - COUNTIFS('01_MASTER_DATABASE'!$D$2:$D$500, A22, '01_MASTER_DATABASE'!$H$2:$H$500, "*trượt quay*")</f>
        <v/>
      </c>
      <c r="D22" s="112">
        <f>COUNTIFS('01_MASTER_DATABASE'!$D$2:$D$500, A22, '01_MASTER_DATABASE'!$H$2:$H$500, "*hất*")</f>
        <v/>
      </c>
      <c r="E22" s="112">
        <f>COUNTIFS('01_MASTER_DATABASE'!$D$2:$D$500, A22, '01_MASTER_DATABASE'!$H$2:$H$500, "*xếp trượt*")</f>
        <v/>
      </c>
      <c r="F22" s="112">
        <f>COUNTIFS('01_MASTER_DATABASE'!$D$2:$D$500, A22, '01_MASTER_DATABASE'!$H$2:$H$500, "*trượt quay*")</f>
        <v/>
      </c>
      <c r="G22" s="112">
        <f>COUNTIFS('01_MASTER_DATABASE'!$D$2:$D$500, A22, '01_MASTER_DATABASE'!$H$2:$H$500, "*pivot*") + COUNTIFS('01_MASTER_DATABASE'!$D$2:$D$500, A22, '01_MASTER_DATABASE'!$H$2:$H$500, "*trục xoay*")</f>
        <v/>
      </c>
    </row>
    <row r="23" ht="25" customHeight="1">
      <c r="A23" s="111" t="inlineStr">
        <is>
          <t>Maxpro/Owin/Local</t>
        </is>
      </c>
      <c r="B23" s="112">
        <f>COUNTIFS('01_MASTER_DATABASE'!$D$2:$D$500, A23, '01_MASTER_DATABASE'!$H$2:$H$500, "*quay*")</f>
        <v/>
      </c>
      <c r="C23" s="112">
        <f>COUNTIFS('01_MASTER_DATABASE'!$D$2:$D$500, A23, '01_MASTER_DATABASE'!$H$2:$H$500, "*lùa*") + COUNTIFS('01_MASTER_DATABASE'!$D$2:$D$500, A23, '01_MASTER_DATABASE'!$H$2:$H$500, "*trượt*") - COUNTIFS('01_MASTER_DATABASE'!$D$2:$D$500, A23, '01_MASTER_DATABASE'!$H$2:$H$500, "*xếp trượt*") - COUNTIFS('01_MASTER_DATABASE'!$D$2:$D$500, A23, '01_MASTER_DATABASE'!$H$2:$H$500, "*trượt quay*")</f>
        <v/>
      </c>
      <c r="D23" s="112">
        <f>COUNTIFS('01_MASTER_DATABASE'!$D$2:$D$500, A23, '01_MASTER_DATABASE'!$H$2:$H$500, "*hất*")</f>
        <v/>
      </c>
      <c r="E23" s="112">
        <f>COUNTIFS('01_MASTER_DATABASE'!$D$2:$D$500, A23, '01_MASTER_DATABASE'!$H$2:$H$500, "*xếp trượt*")</f>
        <v/>
      </c>
      <c r="F23" s="112">
        <f>COUNTIFS('01_MASTER_DATABASE'!$D$2:$D$500, A23, '01_MASTER_DATABASE'!$H$2:$H$500, "*trượt quay*")</f>
        <v/>
      </c>
      <c r="G23" s="112">
        <f>COUNTIFS('01_MASTER_DATABASE'!$D$2:$D$500, A23, '01_MASTER_DATABASE'!$H$2:$H$500, "*pivot*") + COUNTIFS('01_MASTER_DATABASE'!$D$2:$D$500, A23, '01_MASTER_DATABASE'!$H$2:$H$500, "*trục xoay*")</f>
        <v/>
      </c>
    </row>
    <row r="24" ht="25" customHeight="1">
      <c r="A24" s="111" t="inlineStr">
        <is>
          <t>Nhiều hãng</t>
        </is>
      </c>
      <c r="B24" s="112">
        <f>COUNTIFS('01_MASTER_DATABASE'!$D$2:$D$500, A24, '01_MASTER_DATABASE'!$H$2:$H$500, "*quay*")</f>
        <v/>
      </c>
      <c r="C24" s="112">
        <f>COUNTIFS('01_MASTER_DATABASE'!$D$2:$D$500, A24, '01_MASTER_DATABASE'!$H$2:$H$500, "*lùa*") + COUNTIFS('01_MASTER_DATABASE'!$D$2:$D$500, A24, '01_MASTER_DATABASE'!$H$2:$H$500, "*trượt*") - COUNTIFS('01_MASTER_DATABASE'!$D$2:$D$500, A24, '01_MASTER_DATABASE'!$H$2:$H$500, "*xếp trượt*") - COUNTIFS('01_MASTER_DATABASE'!$D$2:$D$500, A24, '01_MASTER_DATABASE'!$H$2:$H$500, "*trượt quay*")</f>
        <v/>
      </c>
      <c r="D24" s="112">
        <f>COUNTIFS('01_MASTER_DATABASE'!$D$2:$D$500, A24, '01_MASTER_DATABASE'!$H$2:$H$500, "*hất*")</f>
        <v/>
      </c>
      <c r="E24" s="112">
        <f>COUNTIFS('01_MASTER_DATABASE'!$D$2:$D$500, A24, '01_MASTER_DATABASE'!$H$2:$H$500, "*xếp trượt*")</f>
        <v/>
      </c>
      <c r="F24" s="112">
        <f>COUNTIFS('01_MASTER_DATABASE'!$D$2:$D$500, A24, '01_MASTER_DATABASE'!$H$2:$H$500, "*trượt quay*")</f>
        <v/>
      </c>
      <c r="G24" s="112">
        <f>COUNTIFS('01_MASTER_DATABASE'!$D$2:$D$500, A24, '01_MASTER_DATABASE'!$H$2:$H$500, "*pivot*") + COUNTIFS('01_MASTER_DATABASE'!$D$2:$D$500, A24, '01_MASTER_DATABASE'!$H$2:$H$500, "*trục xoay*")</f>
        <v/>
      </c>
    </row>
    <row r="25" ht="25" customHeight="1">
      <c r="A25" s="111" t="inlineStr">
        <is>
          <t>Nhiều hãng VN</t>
        </is>
      </c>
      <c r="B25" s="112">
        <f>COUNTIFS('01_MASTER_DATABASE'!$D$2:$D$500, A25, '01_MASTER_DATABASE'!$H$2:$H$500, "*quay*")</f>
        <v/>
      </c>
      <c r="C25" s="112">
        <f>COUNTIFS('01_MASTER_DATABASE'!$D$2:$D$500, A25, '01_MASTER_DATABASE'!$H$2:$H$500, "*lùa*") + COUNTIFS('01_MASTER_DATABASE'!$D$2:$D$500, A25, '01_MASTER_DATABASE'!$H$2:$H$500, "*trượt*") - COUNTIFS('01_MASTER_DATABASE'!$D$2:$D$500, A25, '01_MASTER_DATABASE'!$H$2:$H$500, "*xếp trượt*") - COUNTIFS('01_MASTER_DATABASE'!$D$2:$D$500, A25, '01_MASTER_DATABASE'!$H$2:$H$500, "*trượt quay*")</f>
        <v/>
      </c>
      <c r="D25" s="112">
        <f>COUNTIFS('01_MASTER_DATABASE'!$D$2:$D$500, A25, '01_MASTER_DATABASE'!$H$2:$H$500, "*hất*")</f>
        <v/>
      </c>
      <c r="E25" s="112">
        <f>COUNTIFS('01_MASTER_DATABASE'!$D$2:$D$500, A25, '01_MASTER_DATABASE'!$H$2:$H$500, "*xếp trượt*")</f>
        <v/>
      </c>
      <c r="F25" s="112">
        <f>COUNTIFS('01_MASTER_DATABASE'!$D$2:$D$500, A25, '01_MASTER_DATABASE'!$H$2:$H$500, "*trượt quay*")</f>
        <v/>
      </c>
      <c r="G25" s="112">
        <f>COUNTIFS('01_MASTER_DATABASE'!$D$2:$D$500, A25, '01_MASTER_DATABASE'!$H$2:$H$500, "*pivot*") + COUNTIFS('01_MASTER_DATABASE'!$D$2:$D$500, A25, '01_MASTER_DATABASE'!$H$2:$H$500, "*trục xoay*")</f>
        <v/>
      </c>
    </row>
    <row r="26" ht="25" customHeight="1">
      <c r="A26" s="111" t="inlineStr">
        <is>
          <t>Nhiều nhà máy</t>
        </is>
      </c>
      <c r="B26" s="112">
        <f>COUNTIFS('01_MASTER_DATABASE'!$D$2:$D$500, A26, '01_MASTER_DATABASE'!$H$2:$H$500, "*quay*")</f>
        <v/>
      </c>
      <c r="C26" s="112">
        <f>COUNTIFS('01_MASTER_DATABASE'!$D$2:$D$500, A26, '01_MASTER_DATABASE'!$H$2:$H$500, "*lùa*") + COUNTIFS('01_MASTER_DATABASE'!$D$2:$D$500, A26, '01_MASTER_DATABASE'!$H$2:$H$500, "*trượt*") - COUNTIFS('01_MASTER_DATABASE'!$D$2:$D$500, A26, '01_MASTER_DATABASE'!$H$2:$H$500, "*xếp trượt*") - COUNTIFS('01_MASTER_DATABASE'!$D$2:$D$500, A26, '01_MASTER_DATABASE'!$H$2:$H$500, "*trượt quay*")</f>
        <v/>
      </c>
      <c r="D26" s="112">
        <f>COUNTIFS('01_MASTER_DATABASE'!$D$2:$D$500, A26, '01_MASTER_DATABASE'!$H$2:$H$500, "*hất*")</f>
        <v/>
      </c>
      <c r="E26" s="112">
        <f>COUNTIFS('01_MASTER_DATABASE'!$D$2:$D$500, A26, '01_MASTER_DATABASE'!$H$2:$H$500, "*xếp trượt*")</f>
        <v/>
      </c>
      <c r="F26" s="112">
        <f>COUNTIFS('01_MASTER_DATABASE'!$D$2:$D$500, A26, '01_MASTER_DATABASE'!$H$2:$H$500, "*trượt quay*")</f>
        <v/>
      </c>
      <c r="G26" s="112">
        <f>COUNTIFS('01_MASTER_DATABASE'!$D$2:$D$500, A26, '01_MASTER_DATABASE'!$H$2:$H$500, "*pivot*") + COUNTIFS('01_MASTER_DATABASE'!$D$2:$D$500, A26, '01_MASTER_DATABASE'!$H$2:$H$500, "*trục xoay*")</f>
        <v/>
      </c>
    </row>
    <row r="27" ht="25" customHeight="1">
      <c r="A27" s="111" t="inlineStr">
        <is>
          <t>Owin</t>
        </is>
      </c>
      <c r="B27" s="112">
        <f>COUNTIFS('01_MASTER_DATABASE'!$D$2:$D$500, A27, '01_MASTER_DATABASE'!$H$2:$H$500, "*quay*")</f>
        <v/>
      </c>
      <c r="C27" s="112">
        <f>COUNTIFS('01_MASTER_DATABASE'!$D$2:$D$500, A27, '01_MASTER_DATABASE'!$H$2:$H$500, "*lùa*") + COUNTIFS('01_MASTER_DATABASE'!$D$2:$D$500, A27, '01_MASTER_DATABASE'!$H$2:$H$500, "*trượt*") - COUNTIFS('01_MASTER_DATABASE'!$D$2:$D$500, A27, '01_MASTER_DATABASE'!$H$2:$H$500, "*xếp trượt*") - COUNTIFS('01_MASTER_DATABASE'!$D$2:$D$500, A27, '01_MASTER_DATABASE'!$H$2:$H$500, "*trượt quay*")</f>
        <v/>
      </c>
      <c r="D27" s="112">
        <f>COUNTIFS('01_MASTER_DATABASE'!$D$2:$D$500, A27, '01_MASTER_DATABASE'!$H$2:$H$500, "*hất*")</f>
        <v/>
      </c>
      <c r="E27" s="112">
        <f>COUNTIFS('01_MASTER_DATABASE'!$D$2:$D$500, A27, '01_MASTER_DATABASE'!$H$2:$H$500, "*xếp trượt*")</f>
        <v/>
      </c>
      <c r="F27" s="112">
        <f>COUNTIFS('01_MASTER_DATABASE'!$D$2:$D$500, A27, '01_MASTER_DATABASE'!$H$2:$H$500, "*trượt quay*")</f>
        <v/>
      </c>
      <c r="G27" s="112">
        <f>COUNTIFS('01_MASTER_DATABASE'!$D$2:$D$500, A27, '01_MASTER_DATABASE'!$H$2:$H$500, "*pivot*") + COUNTIFS('01_MASTER_DATABASE'!$D$2:$D$500, A27, '01_MASTER_DATABASE'!$H$2:$H$500, "*trục xoay*")</f>
        <v/>
      </c>
    </row>
    <row r="28" ht="25" customHeight="1">
      <c r="A28" s="111" t="inlineStr">
        <is>
          <t>PAG</t>
        </is>
      </c>
      <c r="B28" s="112">
        <f>COUNTIFS('01_MASTER_DATABASE'!$D$2:$D$500, A28, '01_MASTER_DATABASE'!$H$2:$H$500, "*quay*")</f>
        <v/>
      </c>
      <c r="C28" s="112">
        <f>COUNTIFS('01_MASTER_DATABASE'!$D$2:$D$500, A28, '01_MASTER_DATABASE'!$H$2:$H$500, "*lùa*") + COUNTIFS('01_MASTER_DATABASE'!$D$2:$D$500, A28, '01_MASTER_DATABASE'!$H$2:$H$500, "*trượt*") - COUNTIFS('01_MASTER_DATABASE'!$D$2:$D$500, A28, '01_MASTER_DATABASE'!$H$2:$H$500, "*xếp trượt*") - COUNTIFS('01_MASTER_DATABASE'!$D$2:$D$500, A28, '01_MASTER_DATABASE'!$H$2:$H$500, "*trượt quay*")</f>
        <v/>
      </c>
      <c r="D28" s="112">
        <f>COUNTIFS('01_MASTER_DATABASE'!$D$2:$D$500, A28, '01_MASTER_DATABASE'!$H$2:$H$500, "*hất*")</f>
        <v/>
      </c>
      <c r="E28" s="112">
        <f>COUNTIFS('01_MASTER_DATABASE'!$D$2:$D$500, A28, '01_MASTER_DATABASE'!$H$2:$H$500, "*xếp trượt*")</f>
        <v/>
      </c>
      <c r="F28" s="112">
        <f>COUNTIFS('01_MASTER_DATABASE'!$D$2:$D$500, A28, '01_MASTER_DATABASE'!$H$2:$H$500, "*trượt quay*")</f>
        <v/>
      </c>
      <c r="G28" s="112">
        <f>COUNTIFS('01_MASTER_DATABASE'!$D$2:$D$500, A28, '01_MASTER_DATABASE'!$H$2:$H$500, "*pivot*") + COUNTIFS('01_MASTER_DATABASE'!$D$2:$D$500, A28, '01_MASTER_DATABASE'!$H$2:$H$500, "*trục xoay*")</f>
        <v/>
      </c>
    </row>
    <row r="29" ht="25" customHeight="1">
      <c r="A29" s="111" t="inlineStr">
        <is>
          <t>PMA</t>
        </is>
      </c>
      <c r="B29" s="112">
        <f>COUNTIFS('01_MASTER_DATABASE'!$D$2:$D$500, A29, '01_MASTER_DATABASE'!$H$2:$H$500, "*quay*")</f>
        <v/>
      </c>
      <c r="C29" s="112">
        <f>COUNTIFS('01_MASTER_DATABASE'!$D$2:$D$500, A29, '01_MASTER_DATABASE'!$H$2:$H$500, "*lùa*") + COUNTIFS('01_MASTER_DATABASE'!$D$2:$D$500, A29, '01_MASTER_DATABASE'!$H$2:$H$500, "*trượt*") - COUNTIFS('01_MASTER_DATABASE'!$D$2:$D$500, A29, '01_MASTER_DATABASE'!$H$2:$H$500, "*xếp trượt*") - COUNTIFS('01_MASTER_DATABASE'!$D$2:$D$500, A29, '01_MASTER_DATABASE'!$H$2:$H$500, "*trượt quay*")</f>
        <v/>
      </c>
      <c r="D29" s="112">
        <f>COUNTIFS('01_MASTER_DATABASE'!$D$2:$D$500, A29, '01_MASTER_DATABASE'!$H$2:$H$500, "*hất*")</f>
        <v/>
      </c>
      <c r="E29" s="112">
        <f>COUNTIFS('01_MASTER_DATABASE'!$D$2:$D$500, A29, '01_MASTER_DATABASE'!$H$2:$H$500, "*xếp trượt*")</f>
        <v/>
      </c>
      <c r="F29" s="112">
        <f>COUNTIFS('01_MASTER_DATABASE'!$D$2:$D$500, A29, '01_MASTER_DATABASE'!$H$2:$H$500, "*trượt quay*")</f>
        <v/>
      </c>
      <c r="G29" s="112">
        <f>COUNTIFS('01_MASTER_DATABASE'!$D$2:$D$500, A29, '01_MASTER_DATABASE'!$H$2:$H$500, "*pivot*") + COUNTIFS('01_MASTER_DATABASE'!$D$2:$D$500, A29, '01_MASTER_DATABASE'!$H$2:$H$500, "*trục xoay*")</f>
        <v/>
      </c>
    </row>
    <row r="30" ht="25" customHeight="1">
      <c r="A30" s="111" t="inlineStr">
        <is>
          <t>PMI</t>
        </is>
      </c>
      <c r="B30" s="112">
        <f>COUNTIFS('01_MASTER_DATABASE'!$D$2:$D$500, A30, '01_MASTER_DATABASE'!$H$2:$H$500, "*quay*")</f>
        <v/>
      </c>
      <c r="C30" s="112">
        <f>COUNTIFS('01_MASTER_DATABASE'!$D$2:$D$500, A30, '01_MASTER_DATABASE'!$H$2:$H$500, "*lùa*") + COUNTIFS('01_MASTER_DATABASE'!$D$2:$D$500, A30, '01_MASTER_DATABASE'!$H$2:$H$500, "*trượt*") - COUNTIFS('01_MASTER_DATABASE'!$D$2:$D$500, A30, '01_MASTER_DATABASE'!$H$2:$H$500, "*xếp trượt*") - COUNTIFS('01_MASTER_DATABASE'!$D$2:$D$500, A30, '01_MASTER_DATABASE'!$H$2:$H$500, "*trượt quay*")</f>
        <v/>
      </c>
      <c r="D30" s="112">
        <f>COUNTIFS('01_MASTER_DATABASE'!$D$2:$D$500, A30, '01_MASTER_DATABASE'!$H$2:$H$500, "*hất*")</f>
        <v/>
      </c>
      <c r="E30" s="112">
        <f>COUNTIFS('01_MASTER_DATABASE'!$D$2:$D$500, A30, '01_MASTER_DATABASE'!$H$2:$H$500, "*xếp trượt*")</f>
        <v/>
      </c>
      <c r="F30" s="112">
        <f>COUNTIFS('01_MASTER_DATABASE'!$D$2:$D$500, A30, '01_MASTER_DATABASE'!$H$2:$H$500, "*trượt quay*")</f>
        <v/>
      </c>
      <c r="G30" s="112">
        <f>COUNTIFS('01_MASTER_DATABASE'!$D$2:$D$500, A30, '01_MASTER_DATABASE'!$H$2:$H$500, "*pivot*") + COUNTIFS('01_MASTER_DATABASE'!$D$2:$D$500, A30, '01_MASTER_DATABASE'!$H$2:$H$500, "*trục xoay*")</f>
        <v/>
      </c>
    </row>
    <row r="31" ht="25" customHeight="1">
      <c r="A31" s="111" t="inlineStr">
        <is>
          <t>Reynaers</t>
        </is>
      </c>
      <c r="B31" s="112">
        <f>COUNTIFS('01_MASTER_DATABASE'!$D$2:$D$500, A31, '01_MASTER_DATABASE'!$H$2:$H$500, "*quay*")</f>
        <v/>
      </c>
      <c r="C31" s="112">
        <f>COUNTIFS('01_MASTER_DATABASE'!$D$2:$D$500, A31, '01_MASTER_DATABASE'!$H$2:$H$500, "*lùa*") + COUNTIFS('01_MASTER_DATABASE'!$D$2:$D$500, A31, '01_MASTER_DATABASE'!$H$2:$H$500, "*trượt*") - COUNTIFS('01_MASTER_DATABASE'!$D$2:$D$500, A31, '01_MASTER_DATABASE'!$H$2:$H$500, "*xếp trượt*") - COUNTIFS('01_MASTER_DATABASE'!$D$2:$D$500, A31, '01_MASTER_DATABASE'!$H$2:$H$500, "*trượt quay*")</f>
        <v/>
      </c>
      <c r="D31" s="112">
        <f>COUNTIFS('01_MASTER_DATABASE'!$D$2:$D$500, A31, '01_MASTER_DATABASE'!$H$2:$H$500, "*hất*")</f>
        <v/>
      </c>
      <c r="E31" s="112">
        <f>COUNTIFS('01_MASTER_DATABASE'!$D$2:$D$500, A31, '01_MASTER_DATABASE'!$H$2:$H$500, "*xếp trượt*")</f>
        <v/>
      </c>
      <c r="F31" s="112">
        <f>COUNTIFS('01_MASTER_DATABASE'!$D$2:$D$500, A31, '01_MASTER_DATABASE'!$H$2:$H$500, "*trượt quay*")</f>
        <v/>
      </c>
      <c r="G31" s="112">
        <f>COUNTIFS('01_MASTER_DATABASE'!$D$2:$D$500, A31, '01_MASTER_DATABASE'!$H$2:$H$500, "*pivot*") + COUNTIFS('01_MASTER_DATABASE'!$D$2:$D$500, A31, '01_MASTER_DATABASE'!$H$2:$H$500, "*trục xoay*")</f>
        <v/>
      </c>
    </row>
    <row r="32" ht="25" customHeight="1">
      <c r="A32" s="111" t="inlineStr">
        <is>
          <t>Schüco</t>
        </is>
      </c>
      <c r="B32" s="112">
        <f>COUNTIFS('01_MASTER_DATABASE'!$D$2:$D$500, A32, '01_MASTER_DATABASE'!$H$2:$H$500, "*quay*")</f>
        <v/>
      </c>
      <c r="C32" s="112">
        <f>COUNTIFS('01_MASTER_DATABASE'!$D$2:$D$500, A32, '01_MASTER_DATABASE'!$H$2:$H$500, "*lùa*") + COUNTIFS('01_MASTER_DATABASE'!$D$2:$D$500, A32, '01_MASTER_DATABASE'!$H$2:$H$500, "*trượt*") - COUNTIFS('01_MASTER_DATABASE'!$D$2:$D$500, A32, '01_MASTER_DATABASE'!$H$2:$H$500, "*xếp trượt*") - COUNTIFS('01_MASTER_DATABASE'!$D$2:$D$500, A32, '01_MASTER_DATABASE'!$H$2:$H$500, "*trượt quay*")</f>
        <v/>
      </c>
      <c r="D32" s="112">
        <f>COUNTIFS('01_MASTER_DATABASE'!$D$2:$D$500, A32, '01_MASTER_DATABASE'!$H$2:$H$500, "*hất*")</f>
        <v/>
      </c>
      <c r="E32" s="112">
        <f>COUNTIFS('01_MASTER_DATABASE'!$D$2:$D$500, A32, '01_MASTER_DATABASE'!$H$2:$H$500, "*xếp trượt*")</f>
        <v/>
      </c>
      <c r="F32" s="112">
        <f>COUNTIFS('01_MASTER_DATABASE'!$D$2:$D$500, A32, '01_MASTER_DATABASE'!$H$2:$H$500, "*trượt quay*")</f>
        <v/>
      </c>
      <c r="G32" s="112">
        <f>COUNTIFS('01_MASTER_DATABASE'!$D$2:$D$500, A32, '01_MASTER_DATABASE'!$H$2:$H$500, "*pivot*") + COUNTIFS('01_MASTER_DATABASE'!$D$2:$D$500, A32, '01_MASTER_DATABASE'!$H$2:$H$500, "*trục xoay*")</f>
        <v/>
      </c>
    </row>
    <row r="33" ht="25" customHeight="1">
      <c r="A33" s="111" t="inlineStr">
        <is>
          <t>Soco</t>
        </is>
      </c>
      <c r="B33" s="112">
        <f>COUNTIFS('01_MASTER_DATABASE'!$D$2:$D$500, A33, '01_MASTER_DATABASE'!$H$2:$H$500, "*quay*")</f>
        <v/>
      </c>
      <c r="C33" s="112">
        <f>COUNTIFS('01_MASTER_DATABASE'!$D$2:$D$500, A33, '01_MASTER_DATABASE'!$H$2:$H$500, "*lùa*") + COUNTIFS('01_MASTER_DATABASE'!$D$2:$D$500, A33, '01_MASTER_DATABASE'!$H$2:$H$500, "*trượt*") - COUNTIFS('01_MASTER_DATABASE'!$D$2:$D$500, A33, '01_MASTER_DATABASE'!$H$2:$H$500, "*xếp trượt*") - COUNTIFS('01_MASTER_DATABASE'!$D$2:$D$500, A33, '01_MASTER_DATABASE'!$H$2:$H$500, "*trượt quay*")</f>
        <v/>
      </c>
      <c r="D33" s="112">
        <f>COUNTIFS('01_MASTER_DATABASE'!$D$2:$D$500, A33, '01_MASTER_DATABASE'!$H$2:$H$500, "*hất*")</f>
        <v/>
      </c>
      <c r="E33" s="112">
        <f>COUNTIFS('01_MASTER_DATABASE'!$D$2:$D$500, A33, '01_MASTER_DATABASE'!$H$2:$H$500, "*xếp trượt*")</f>
        <v/>
      </c>
      <c r="F33" s="112">
        <f>COUNTIFS('01_MASTER_DATABASE'!$D$2:$D$500, A33, '01_MASTER_DATABASE'!$H$2:$H$500, "*trượt quay*")</f>
        <v/>
      </c>
      <c r="G33" s="112">
        <f>COUNTIFS('01_MASTER_DATABASE'!$D$2:$D$500, A33, '01_MASTER_DATABASE'!$H$2:$H$500, "*pivot*") + COUNTIFS('01_MASTER_DATABASE'!$D$2:$D$500, A33, '01_MASTER_DATABASE'!$H$2:$H$500, "*trục xoay*")</f>
        <v/>
      </c>
    </row>
    <row r="34" ht="25" customHeight="1">
      <c r="A34" s="111" t="inlineStr">
        <is>
          <t>Soco/Local</t>
        </is>
      </c>
      <c r="B34" s="112">
        <f>COUNTIFS('01_MASTER_DATABASE'!$D$2:$D$500, A34, '01_MASTER_DATABASE'!$H$2:$H$500, "*quay*")</f>
        <v/>
      </c>
      <c r="C34" s="112">
        <f>COUNTIFS('01_MASTER_DATABASE'!$D$2:$D$500, A34, '01_MASTER_DATABASE'!$H$2:$H$500, "*lùa*") + COUNTIFS('01_MASTER_DATABASE'!$D$2:$D$500, A34, '01_MASTER_DATABASE'!$H$2:$H$500, "*trượt*") - COUNTIFS('01_MASTER_DATABASE'!$D$2:$D$500, A34, '01_MASTER_DATABASE'!$H$2:$H$500, "*xếp trượt*") - COUNTIFS('01_MASTER_DATABASE'!$D$2:$D$500, A34, '01_MASTER_DATABASE'!$H$2:$H$500, "*trượt quay*")</f>
        <v/>
      </c>
      <c r="D34" s="112">
        <f>COUNTIFS('01_MASTER_DATABASE'!$D$2:$D$500, A34, '01_MASTER_DATABASE'!$H$2:$H$500, "*hất*")</f>
        <v/>
      </c>
      <c r="E34" s="112">
        <f>COUNTIFS('01_MASTER_DATABASE'!$D$2:$D$500, A34, '01_MASTER_DATABASE'!$H$2:$H$500, "*xếp trượt*")</f>
        <v/>
      </c>
      <c r="F34" s="112">
        <f>COUNTIFS('01_MASTER_DATABASE'!$D$2:$D$500, A34, '01_MASTER_DATABASE'!$H$2:$H$500, "*trượt quay*")</f>
        <v/>
      </c>
      <c r="G34" s="112">
        <f>COUNTIFS('01_MASTER_DATABASE'!$D$2:$D$500, A34, '01_MASTER_DATABASE'!$H$2:$H$500, "*pivot*") + COUNTIFS('01_MASTER_DATABASE'!$D$2:$D$500, A34, '01_MASTER_DATABASE'!$H$2:$H$500, "*trục xoay*")</f>
        <v/>
      </c>
    </row>
    <row r="35" ht="25" customHeight="1">
      <c r="A35" s="111" t="inlineStr">
        <is>
          <t>Soco/Maxpro/Civro</t>
        </is>
      </c>
      <c r="B35" s="112">
        <f>COUNTIFS('01_MASTER_DATABASE'!$D$2:$D$500, A35, '01_MASTER_DATABASE'!$H$2:$H$500, "*quay*")</f>
        <v/>
      </c>
      <c r="C35" s="112">
        <f>COUNTIFS('01_MASTER_DATABASE'!$D$2:$D$500, A35, '01_MASTER_DATABASE'!$H$2:$H$500, "*lùa*") + COUNTIFS('01_MASTER_DATABASE'!$D$2:$D$500, A35, '01_MASTER_DATABASE'!$H$2:$H$500, "*trượt*") - COUNTIFS('01_MASTER_DATABASE'!$D$2:$D$500, A35, '01_MASTER_DATABASE'!$H$2:$H$500, "*xếp trượt*") - COUNTIFS('01_MASTER_DATABASE'!$D$2:$D$500, A35, '01_MASTER_DATABASE'!$H$2:$H$500, "*trượt quay*")</f>
        <v/>
      </c>
      <c r="D35" s="112">
        <f>COUNTIFS('01_MASTER_DATABASE'!$D$2:$D$500, A35, '01_MASTER_DATABASE'!$H$2:$H$500, "*hất*")</f>
        <v/>
      </c>
      <c r="E35" s="112">
        <f>COUNTIFS('01_MASTER_DATABASE'!$D$2:$D$500, A35, '01_MASTER_DATABASE'!$H$2:$H$500, "*xếp trượt*")</f>
        <v/>
      </c>
      <c r="F35" s="112">
        <f>COUNTIFS('01_MASTER_DATABASE'!$D$2:$D$500, A35, '01_MASTER_DATABASE'!$H$2:$H$500, "*trượt quay*")</f>
        <v/>
      </c>
      <c r="G35" s="112">
        <f>COUNTIFS('01_MASTER_DATABASE'!$D$2:$D$500, A35, '01_MASTER_DATABASE'!$H$2:$H$500, "*pivot*") + COUNTIFS('01_MASTER_DATABASE'!$D$2:$D$500, A35, '01_MASTER_DATABASE'!$H$2:$H$500, "*trục xoay*")</f>
        <v/>
      </c>
    </row>
    <row r="36" ht="25" customHeight="1">
      <c r="A36" s="111" t="inlineStr">
        <is>
          <t>Topal</t>
        </is>
      </c>
      <c r="B36" s="112">
        <f>COUNTIFS('01_MASTER_DATABASE'!$D$2:$D$500, A36, '01_MASTER_DATABASE'!$H$2:$H$500, "*quay*")</f>
        <v/>
      </c>
      <c r="C36" s="112">
        <f>COUNTIFS('01_MASTER_DATABASE'!$D$2:$D$500, A36, '01_MASTER_DATABASE'!$H$2:$H$500, "*lùa*") + COUNTIFS('01_MASTER_DATABASE'!$D$2:$D$500, A36, '01_MASTER_DATABASE'!$H$2:$H$500, "*trượt*") - COUNTIFS('01_MASTER_DATABASE'!$D$2:$D$500, A36, '01_MASTER_DATABASE'!$H$2:$H$500, "*xếp trượt*") - COUNTIFS('01_MASTER_DATABASE'!$D$2:$D$500, A36, '01_MASTER_DATABASE'!$H$2:$H$500, "*trượt quay*")</f>
        <v/>
      </c>
      <c r="D36" s="112">
        <f>COUNTIFS('01_MASTER_DATABASE'!$D$2:$D$500, A36, '01_MASTER_DATABASE'!$H$2:$H$500, "*hất*")</f>
        <v/>
      </c>
      <c r="E36" s="112">
        <f>COUNTIFS('01_MASTER_DATABASE'!$D$2:$D$500, A36, '01_MASTER_DATABASE'!$H$2:$H$500, "*xếp trượt*")</f>
        <v/>
      </c>
      <c r="F36" s="112">
        <f>COUNTIFS('01_MASTER_DATABASE'!$D$2:$D$500, A36, '01_MASTER_DATABASE'!$H$2:$H$500, "*trượt quay*")</f>
        <v/>
      </c>
      <c r="G36" s="112">
        <f>COUNTIFS('01_MASTER_DATABASE'!$D$2:$D$500, A36, '01_MASTER_DATABASE'!$H$2:$H$500, "*pivot*") + COUNTIFS('01_MASTER_DATABASE'!$D$2:$D$500, A36, '01_MASTER_DATABASE'!$H$2:$H$500, "*trục xoay*")</f>
        <v/>
      </c>
    </row>
    <row r="37" ht="25" customHeight="1">
      <c r="A37" s="111" t="inlineStr">
        <is>
          <t>Viralwindow</t>
        </is>
      </c>
      <c r="B37" s="112">
        <f>COUNTIFS('01_MASTER_DATABASE'!$D$2:$D$500, A37, '01_MASTER_DATABASE'!$H$2:$H$500, "*quay*")</f>
        <v/>
      </c>
      <c r="C37" s="112">
        <f>COUNTIFS('01_MASTER_DATABASE'!$D$2:$D$500, A37, '01_MASTER_DATABASE'!$H$2:$H$500, "*lùa*") + COUNTIFS('01_MASTER_DATABASE'!$D$2:$D$500, A37, '01_MASTER_DATABASE'!$H$2:$H$500, "*trượt*") - COUNTIFS('01_MASTER_DATABASE'!$D$2:$D$500, A37, '01_MASTER_DATABASE'!$H$2:$H$500, "*xếp trượt*") - COUNTIFS('01_MASTER_DATABASE'!$D$2:$D$500, A37, '01_MASTER_DATABASE'!$H$2:$H$500, "*trượt quay*")</f>
        <v/>
      </c>
      <c r="D37" s="112">
        <f>COUNTIFS('01_MASTER_DATABASE'!$D$2:$D$500, A37, '01_MASTER_DATABASE'!$H$2:$H$500, "*hất*")</f>
        <v/>
      </c>
      <c r="E37" s="112">
        <f>COUNTIFS('01_MASTER_DATABASE'!$D$2:$D$500, A37, '01_MASTER_DATABASE'!$H$2:$H$500, "*xếp trượt*")</f>
        <v/>
      </c>
      <c r="F37" s="112">
        <f>COUNTIFS('01_MASTER_DATABASE'!$D$2:$D$500, A37, '01_MASTER_DATABASE'!$H$2:$H$500, "*trượt quay*")</f>
        <v/>
      </c>
      <c r="G37" s="112">
        <f>COUNTIFS('01_MASTER_DATABASE'!$D$2:$D$500, A37, '01_MASTER_DATABASE'!$H$2:$H$500, "*pivot*") + COUNTIFS('01_MASTER_DATABASE'!$D$2:$D$500, A37, '01_MASTER_DATABASE'!$H$2:$H$500, "*trục xoay*")</f>
        <v/>
      </c>
    </row>
    <row r="38" ht="25" customHeight="1">
      <c r="A38" s="111" t="inlineStr">
        <is>
          <t>Vitrocsa/Local</t>
        </is>
      </c>
      <c r="B38" s="112">
        <f>COUNTIFS('01_MASTER_DATABASE'!$D$2:$D$500, A38, '01_MASTER_DATABASE'!$H$2:$H$500, "*quay*")</f>
        <v/>
      </c>
      <c r="C38" s="112">
        <f>COUNTIFS('01_MASTER_DATABASE'!$D$2:$D$500, A38, '01_MASTER_DATABASE'!$H$2:$H$500, "*lùa*") + COUNTIFS('01_MASTER_DATABASE'!$D$2:$D$500, A38, '01_MASTER_DATABASE'!$H$2:$H$500, "*trượt*") - COUNTIFS('01_MASTER_DATABASE'!$D$2:$D$500, A38, '01_MASTER_DATABASE'!$H$2:$H$500, "*xếp trượt*") - COUNTIFS('01_MASTER_DATABASE'!$D$2:$D$500, A38, '01_MASTER_DATABASE'!$H$2:$H$500, "*trượt quay*")</f>
        <v/>
      </c>
      <c r="D38" s="112">
        <f>COUNTIFS('01_MASTER_DATABASE'!$D$2:$D$500, A38, '01_MASTER_DATABASE'!$H$2:$H$500, "*hất*")</f>
        <v/>
      </c>
      <c r="E38" s="112">
        <f>COUNTIFS('01_MASTER_DATABASE'!$D$2:$D$500, A38, '01_MASTER_DATABASE'!$H$2:$H$500, "*xếp trượt*")</f>
        <v/>
      </c>
      <c r="F38" s="112">
        <f>COUNTIFS('01_MASTER_DATABASE'!$D$2:$D$500, A38, '01_MASTER_DATABASE'!$H$2:$H$500, "*trượt quay*")</f>
        <v/>
      </c>
      <c r="G38" s="112">
        <f>COUNTIFS('01_MASTER_DATABASE'!$D$2:$D$500, A38, '01_MASTER_DATABASE'!$H$2:$H$500, "*pivot*") + COUNTIFS('01_MASTER_DATABASE'!$D$2:$D$500, A38, '01_MASTER_DATABASE'!$H$2:$H$500, "*trục xoay*")</f>
        <v/>
      </c>
    </row>
    <row r="39" ht="25" customHeight="1">
      <c r="A39" s="111" t="inlineStr">
        <is>
          <t>Việt Pháp</t>
        </is>
      </c>
      <c r="B39" s="112">
        <f>COUNTIFS('01_MASTER_DATABASE'!$D$2:$D$500, A39, '01_MASTER_DATABASE'!$H$2:$H$500, "*quay*")</f>
        <v/>
      </c>
      <c r="C39" s="112">
        <f>COUNTIFS('01_MASTER_DATABASE'!$D$2:$D$500, A39, '01_MASTER_DATABASE'!$H$2:$H$500, "*lùa*") + COUNTIFS('01_MASTER_DATABASE'!$D$2:$D$500, A39, '01_MASTER_DATABASE'!$H$2:$H$500, "*trượt*") - COUNTIFS('01_MASTER_DATABASE'!$D$2:$D$500, A39, '01_MASTER_DATABASE'!$H$2:$H$500, "*xếp trượt*") - COUNTIFS('01_MASTER_DATABASE'!$D$2:$D$500, A39, '01_MASTER_DATABASE'!$H$2:$H$500, "*trượt quay*")</f>
        <v/>
      </c>
      <c r="D39" s="112">
        <f>COUNTIFS('01_MASTER_DATABASE'!$D$2:$D$500, A39, '01_MASTER_DATABASE'!$H$2:$H$500, "*hất*")</f>
        <v/>
      </c>
      <c r="E39" s="112">
        <f>COUNTIFS('01_MASTER_DATABASE'!$D$2:$D$500, A39, '01_MASTER_DATABASE'!$H$2:$H$500, "*xếp trượt*")</f>
        <v/>
      </c>
      <c r="F39" s="112">
        <f>COUNTIFS('01_MASTER_DATABASE'!$D$2:$D$500, A39, '01_MASTER_DATABASE'!$H$2:$H$500, "*trượt quay*")</f>
        <v/>
      </c>
      <c r="G39" s="112">
        <f>COUNTIFS('01_MASTER_DATABASE'!$D$2:$D$500, A39, '01_MASTER_DATABASE'!$H$2:$H$500, "*pivot*") + COUNTIFS('01_MASTER_DATABASE'!$D$2:$D$500, A39, '01_MASTER_DATABASE'!$H$2:$H$500, "*trục xoay*")</f>
        <v/>
      </c>
    </row>
    <row r="40" ht="25" customHeight="1">
      <c r="A40" s="111" t="inlineStr">
        <is>
          <t>Việt Ý</t>
        </is>
      </c>
      <c r="B40" s="112">
        <f>COUNTIFS('01_MASTER_DATABASE'!$D$2:$D$500, A40, '01_MASTER_DATABASE'!$H$2:$H$500, "*quay*")</f>
        <v/>
      </c>
      <c r="C40" s="112">
        <f>COUNTIFS('01_MASTER_DATABASE'!$D$2:$D$500, A40, '01_MASTER_DATABASE'!$H$2:$H$500, "*lùa*") + COUNTIFS('01_MASTER_DATABASE'!$D$2:$D$500, A40, '01_MASTER_DATABASE'!$H$2:$H$500, "*trượt*") - COUNTIFS('01_MASTER_DATABASE'!$D$2:$D$500, A40, '01_MASTER_DATABASE'!$H$2:$H$500, "*xếp trượt*") - COUNTIFS('01_MASTER_DATABASE'!$D$2:$D$500, A40, '01_MASTER_DATABASE'!$H$2:$H$500, "*trượt quay*")</f>
        <v/>
      </c>
      <c r="D40" s="112">
        <f>COUNTIFS('01_MASTER_DATABASE'!$D$2:$D$500, A40, '01_MASTER_DATABASE'!$H$2:$H$500, "*hất*")</f>
        <v/>
      </c>
      <c r="E40" s="112">
        <f>COUNTIFS('01_MASTER_DATABASE'!$D$2:$D$500, A40, '01_MASTER_DATABASE'!$H$2:$H$500, "*xếp trượt*")</f>
        <v/>
      </c>
      <c r="F40" s="112">
        <f>COUNTIFS('01_MASTER_DATABASE'!$D$2:$D$500, A40, '01_MASTER_DATABASE'!$H$2:$H$500, "*trượt quay*")</f>
        <v/>
      </c>
      <c r="G40" s="112">
        <f>COUNTIFS('01_MASTER_DATABASE'!$D$2:$D$500, A40, '01_MASTER_DATABASE'!$H$2:$H$500, "*pivot*") + COUNTIFS('01_MASTER_DATABASE'!$D$2:$D$500, A40, '01_MASTER_DATABASE'!$H$2:$H$500, "*trục xoay*")</f>
        <v/>
      </c>
    </row>
    <row r="41" ht="25" customHeight="1">
      <c r="A41" s="111" t="inlineStr">
        <is>
          <t>Xingfa</t>
        </is>
      </c>
      <c r="B41" s="112">
        <f>COUNTIFS('01_MASTER_DATABASE'!$D$2:$D$500, A41, '01_MASTER_DATABASE'!$H$2:$H$500, "*quay*")</f>
        <v/>
      </c>
      <c r="C41" s="112">
        <f>COUNTIFS('01_MASTER_DATABASE'!$D$2:$D$500, A41, '01_MASTER_DATABASE'!$H$2:$H$500, "*lùa*") + COUNTIFS('01_MASTER_DATABASE'!$D$2:$D$500, A41, '01_MASTER_DATABASE'!$H$2:$H$500, "*trượt*") - COUNTIFS('01_MASTER_DATABASE'!$D$2:$D$500, A41, '01_MASTER_DATABASE'!$H$2:$H$500, "*xếp trượt*") - COUNTIFS('01_MASTER_DATABASE'!$D$2:$D$500, A41, '01_MASTER_DATABASE'!$H$2:$H$500, "*trượt quay*")</f>
        <v/>
      </c>
      <c r="D41" s="112">
        <f>COUNTIFS('01_MASTER_DATABASE'!$D$2:$D$500, A41, '01_MASTER_DATABASE'!$H$2:$H$500, "*hất*")</f>
        <v/>
      </c>
      <c r="E41" s="112">
        <f>COUNTIFS('01_MASTER_DATABASE'!$D$2:$D$500, A41, '01_MASTER_DATABASE'!$H$2:$H$500, "*xếp trượt*")</f>
        <v/>
      </c>
      <c r="F41" s="112">
        <f>COUNTIFS('01_MASTER_DATABASE'!$D$2:$D$500, A41, '01_MASTER_DATABASE'!$H$2:$H$500, "*trượt quay*")</f>
        <v/>
      </c>
      <c r="G41" s="112">
        <f>COUNTIFS('01_MASTER_DATABASE'!$D$2:$D$500, A41, '01_MASTER_DATABASE'!$H$2:$H$500, "*pivot*") + COUNTIFS('01_MASTER_DATABASE'!$D$2:$D$500, A41, '01_MASTER_DATABASE'!$H$2:$H$500, "*trục xoay*")</f>
        <v/>
      </c>
    </row>
    <row r="42" ht="25" customHeight="1">
      <c r="A42" s="111" t="inlineStr">
        <is>
          <t>YKK AP</t>
        </is>
      </c>
      <c r="B42" s="112">
        <f>COUNTIFS('01_MASTER_DATABASE'!$D$2:$D$500, A42, '01_MASTER_DATABASE'!$H$2:$H$500, "*quay*")</f>
        <v/>
      </c>
      <c r="C42" s="112">
        <f>COUNTIFS('01_MASTER_DATABASE'!$D$2:$D$500, A42, '01_MASTER_DATABASE'!$H$2:$H$500, "*lùa*") + COUNTIFS('01_MASTER_DATABASE'!$D$2:$D$500, A42, '01_MASTER_DATABASE'!$H$2:$H$500, "*trượt*") - COUNTIFS('01_MASTER_DATABASE'!$D$2:$D$500, A42, '01_MASTER_DATABASE'!$H$2:$H$500, "*xếp trượt*") - COUNTIFS('01_MASTER_DATABASE'!$D$2:$D$500, A42, '01_MASTER_DATABASE'!$H$2:$H$500, "*trượt quay*")</f>
        <v/>
      </c>
      <c r="D42" s="112">
        <f>COUNTIFS('01_MASTER_DATABASE'!$D$2:$D$500, A42, '01_MASTER_DATABASE'!$H$2:$H$500, "*hất*")</f>
        <v/>
      </c>
      <c r="E42" s="112">
        <f>COUNTIFS('01_MASTER_DATABASE'!$D$2:$D$500, A42, '01_MASTER_DATABASE'!$H$2:$H$500, "*xếp trượt*")</f>
        <v/>
      </c>
      <c r="F42" s="112">
        <f>COUNTIFS('01_MASTER_DATABASE'!$D$2:$D$500, A42, '01_MASTER_DATABASE'!$H$2:$H$500, "*trượt quay*")</f>
        <v/>
      </c>
      <c r="G42" s="112">
        <f>COUNTIFS('01_MASTER_DATABASE'!$D$2:$D$500, A42, '01_MASTER_DATABASE'!$H$2:$H$500, "*pivot*") + COUNTIFS('01_MASTER_DATABASE'!$D$2:$D$500, A42, '01_MASTER_DATABASE'!$H$2:$H$500, "*trục xoay*")</f>
        <v/>
      </c>
    </row>
    <row r="43" ht="25" customHeight="1">
      <c r="A43" s="111" t="inlineStr">
        <is>
          <t>Yangli</t>
        </is>
      </c>
      <c r="B43" s="112">
        <f>COUNTIFS('01_MASTER_DATABASE'!$D$2:$D$500, A43, '01_MASTER_DATABASE'!$H$2:$H$500, "*quay*")</f>
        <v/>
      </c>
      <c r="C43" s="112">
        <f>COUNTIFS('01_MASTER_DATABASE'!$D$2:$D$500, A43, '01_MASTER_DATABASE'!$H$2:$H$500, "*lùa*") + COUNTIFS('01_MASTER_DATABASE'!$D$2:$D$500, A43, '01_MASTER_DATABASE'!$H$2:$H$500, "*trượt*") - COUNTIFS('01_MASTER_DATABASE'!$D$2:$D$500, A43, '01_MASTER_DATABASE'!$H$2:$H$500, "*xếp trượt*") - COUNTIFS('01_MASTER_DATABASE'!$D$2:$D$500, A43, '01_MASTER_DATABASE'!$H$2:$H$500, "*trượt quay*")</f>
        <v/>
      </c>
      <c r="D43" s="112">
        <f>COUNTIFS('01_MASTER_DATABASE'!$D$2:$D$500, A43, '01_MASTER_DATABASE'!$H$2:$H$500, "*hất*")</f>
        <v/>
      </c>
      <c r="E43" s="112">
        <f>COUNTIFS('01_MASTER_DATABASE'!$D$2:$D$500, A43, '01_MASTER_DATABASE'!$H$2:$H$500, "*xếp trượt*")</f>
        <v/>
      </c>
      <c r="F43" s="112">
        <f>COUNTIFS('01_MASTER_DATABASE'!$D$2:$D$500, A43, '01_MASTER_DATABASE'!$H$2:$H$500, "*trượt quay*")</f>
        <v/>
      </c>
      <c r="G43" s="112">
        <f>COUNTIFS('01_MASTER_DATABASE'!$D$2:$D$500, A43, '01_MASTER_DATABASE'!$H$2:$H$500, "*pivot*") + COUNTIFS('01_MASTER_DATABASE'!$D$2:$D$500, A43, '01_MASTER_DATABASE'!$H$2:$H$500, "*trục xoay*")</f>
        <v/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24" customWidth="1" min="5" max="5"/>
    <col width="15" customWidth="1" min="6" max="6"/>
  </cols>
  <sheetData>
    <row r="1" ht="20" customHeight="1">
      <c r="A1" s="109" t="inlineStr">
        <is>
          <t>DANH SÁCH HỆ CỬA SẮP XẾP THEO ĐỘ DÀY PROFILE (TỪ DÀY ĐẾN MỎNG)</t>
        </is>
      </c>
    </row>
    <row r="2" ht="20" customHeight="1"/>
    <row r="4" ht="30" customHeight="1">
      <c r="A4" s="110" t="inlineStr">
        <is>
          <t>ID</t>
        </is>
      </c>
      <c r="B4" s="110" t="inlineStr">
        <is>
          <t>Hãng</t>
        </is>
      </c>
      <c r="C4" s="110" t="inlineStr">
        <is>
          <t>Mã Hệ</t>
        </is>
      </c>
      <c r="D4" s="110" t="inlineStr">
        <is>
          <t>Tên Hệ</t>
        </is>
      </c>
      <c r="E4" s="110" t="inlineStr">
        <is>
          <t>Loại Cửa</t>
        </is>
      </c>
      <c r="F4" s="110" t="inlineStr">
        <is>
          <t>Độ Dày (mm)</t>
        </is>
      </c>
    </row>
    <row r="5" ht="25" customHeight="1">
      <c r="A5" s="113">
        <f>'01_MASTER_DATABASE'!A153</f>
        <v/>
      </c>
      <c r="B5" s="114">
        <f>'01_MASTER_DATABASE'!D153</f>
        <v/>
      </c>
      <c r="C5" s="113">
        <f>'01_MASTER_DATABASE'!C153</f>
        <v/>
      </c>
      <c r="D5" s="114">
        <f>'01_MASTER_DATABASE'!I153</f>
        <v/>
      </c>
      <c r="E5" s="114">
        <f>'01_MASTER_DATABASE'!G153</f>
        <v/>
      </c>
      <c r="F5" s="113">
        <f>'01_MASTER_DATABASE'!L153</f>
        <v/>
      </c>
    </row>
    <row r="6" ht="25" customHeight="1">
      <c r="A6" s="113">
        <f>'01_MASTER_DATABASE'!A160</f>
        <v/>
      </c>
      <c r="B6" s="114">
        <f>'01_MASTER_DATABASE'!D160</f>
        <v/>
      </c>
      <c r="C6" s="113">
        <f>'01_MASTER_DATABASE'!C160</f>
        <v/>
      </c>
      <c r="D6" s="114">
        <f>'01_MASTER_DATABASE'!I160</f>
        <v/>
      </c>
      <c r="E6" s="114">
        <f>'01_MASTER_DATABASE'!G160</f>
        <v/>
      </c>
      <c r="F6" s="113">
        <f>'01_MASTER_DATABASE'!L160</f>
        <v/>
      </c>
    </row>
    <row r="7" ht="25" customHeight="1">
      <c r="A7" s="113">
        <f>'01_MASTER_DATABASE'!A168</f>
        <v/>
      </c>
      <c r="B7" s="114">
        <f>'01_MASTER_DATABASE'!D168</f>
        <v/>
      </c>
      <c r="C7" s="113">
        <f>'01_MASTER_DATABASE'!C168</f>
        <v/>
      </c>
      <c r="D7" s="114">
        <f>'01_MASTER_DATABASE'!I168</f>
        <v/>
      </c>
      <c r="E7" s="114">
        <f>'01_MASTER_DATABASE'!G168</f>
        <v/>
      </c>
      <c r="F7" s="113">
        <f>'01_MASTER_DATABASE'!L168</f>
        <v/>
      </c>
    </row>
    <row r="8" ht="25" customHeight="1">
      <c r="A8" s="113">
        <f>'01_MASTER_DATABASE'!A12</f>
        <v/>
      </c>
      <c r="B8" s="114">
        <f>'01_MASTER_DATABASE'!D12</f>
        <v/>
      </c>
      <c r="C8" s="113">
        <f>'01_MASTER_DATABASE'!C12</f>
        <v/>
      </c>
      <c r="D8" s="114">
        <f>'01_MASTER_DATABASE'!I12</f>
        <v/>
      </c>
      <c r="E8" s="114">
        <f>'01_MASTER_DATABASE'!G12</f>
        <v/>
      </c>
      <c r="F8" s="113">
        <f>'01_MASTER_DATABASE'!L12</f>
        <v/>
      </c>
    </row>
    <row r="9" ht="25" customHeight="1">
      <c r="A9" s="113">
        <f>'01_MASTER_DATABASE'!A60</f>
        <v/>
      </c>
      <c r="B9" s="114">
        <f>'01_MASTER_DATABASE'!D60</f>
        <v/>
      </c>
      <c r="C9" s="113">
        <f>'01_MASTER_DATABASE'!C60</f>
        <v/>
      </c>
      <c r="D9" s="114">
        <f>'01_MASTER_DATABASE'!I60</f>
        <v/>
      </c>
      <c r="E9" s="114">
        <f>'01_MASTER_DATABASE'!G60</f>
        <v/>
      </c>
      <c r="F9" s="113">
        <f>'01_MASTER_DATABASE'!L60</f>
        <v/>
      </c>
    </row>
    <row r="10" ht="25" customHeight="1">
      <c r="A10" s="113">
        <f>'01_MASTER_DATABASE'!A67</f>
        <v/>
      </c>
      <c r="B10" s="114">
        <f>'01_MASTER_DATABASE'!D67</f>
        <v/>
      </c>
      <c r="C10" s="113">
        <f>'01_MASTER_DATABASE'!C67</f>
        <v/>
      </c>
      <c r="D10" s="114">
        <f>'01_MASTER_DATABASE'!I67</f>
        <v/>
      </c>
      <c r="E10" s="114">
        <f>'01_MASTER_DATABASE'!G67</f>
        <v/>
      </c>
      <c r="F10" s="113">
        <f>'01_MASTER_DATABASE'!L67</f>
        <v/>
      </c>
    </row>
    <row r="11" ht="25" customHeight="1">
      <c r="A11" s="113">
        <f>'01_MASTER_DATABASE'!A70</f>
        <v/>
      </c>
      <c r="B11" s="114">
        <f>'01_MASTER_DATABASE'!D70</f>
        <v/>
      </c>
      <c r="C11" s="113">
        <f>'01_MASTER_DATABASE'!C70</f>
        <v/>
      </c>
      <c r="D11" s="114">
        <f>'01_MASTER_DATABASE'!I70</f>
        <v/>
      </c>
      <c r="E11" s="114">
        <f>'01_MASTER_DATABASE'!G70</f>
        <v/>
      </c>
      <c r="F11" s="113">
        <f>'01_MASTER_DATABASE'!L70</f>
        <v/>
      </c>
    </row>
    <row r="12" ht="25" customHeight="1">
      <c r="A12" s="113">
        <f>'01_MASTER_DATABASE'!A82</f>
        <v/>
      </c>
      <c r="B12" s="114">
        <f>'01_MASTER_DATABASE'!D82</f>
        <v/>
      </c>
      <c r="C12" s="113">
        <f>'01_MASTER_DATABASE'!C82</f>
        <v/>
      </c>
      <c r="D12" s="114">
        <f>'01_MASTER_DATABASE'!I82</f>
        <v/>
      </c>
      <c r="E12" s="114">
        <f>'01_MASTER_DATABASE'!G82</f>
        <v/>
      </c>
      <c r="F12" s="113">
        <f>'01_MASTER_DATABASE'!L82</f>
        <v/>
      </c>
    </row>
    <row r="13" ht="25" customHeight="1">
      <c r="A13" s="113">
        <f>'01_MASTER_DATABASE'!A108</f>
        <v/>
      </c>
      <c r="B13" s="114">
        <f>'01_MASTER_DATABASE'!D108</f>
        <v/>
      </c>
      <c r="C13" s="113">
        <f>'01_MASTER_DATABASE'!C108</f>
        <v/>
      </c>
      <c r="D13" s="114">
        <f>'01_MASTER_DATABASE'!I108</f>
        <v/>
      </c>
      <c r="E13" s="114">
        <f>'01_MASTER_DATABASE'!G108</f>
        <v/>
      </c>
      <c r="F13" s="113">
        <f>'01_MASTER_DATABASE'!L108</f>
        <v/>
      </c>
    </row>
    <row r="14" ht="25" customHeight="1">
      <c r="A14" s="113">
        <f>'01_MASTER_DATABASE'!A109</f>
        <v/>
      </c>
      <c r="B14" s="114">
        <f>'01_MASTER_DATABASE'!D109</f>
        <v/>
      </c>
      <c r="C14" s="113">
        <f>'01_MASTER_DATABASE'!C109</f>
        <v/>
      </c>
      <c r="D14" s="114">
        <f>'01_MASTER_DATABASE'!I109</f>
        <v/>
      </c>
      <c r="E14" s="114">
        <f>'01_MASTER_DATABASE'!G109</f>
        <v/>
      </c>
      <c r="F14" s="113">
        <f>'01_MASTER_DATABASE'!L109</f>
        <v/>
      </c>
    </row>
    <row r="15" ht="25" customHeight="1">
      <c r="A15" s="113">
        <f>'01_MASTER_DATABASE'!A112</f>
        <v/>
      </c>
      <c r="B15" s="114">
        <f>'01_MASTER_DATABASE'!D112</f>
        <v/>
      </c>
      <c r="C15" s="113">
        <f>'01_MASTER_DATABASE'!C112</f>
        <v/>
      </c>
      <c r="D15" s="114">
        <f>'01_MASTER_DATABASE'!I112</f>
        <v/>
      </c>
      <c r="E15" s="114">
        <f>'01_MASTER_DATABASE'!G112</f>
        <v/>
      </c>
      <c r="F15" s="113">
        <f>'01_MASTER_DATABASE'!L112</f>
        <v/>
      </c>
    </row>
    <row r="16" ht="25" customHeight="1">
      <c r="A16" s="113">
        <f>'01_MASTER_DATABASE'!A118</f>
        <v/>
      </c>
      <c r="B16" s="114">
        <f>'01_MASTER_DATABASE'!D118</f>
        <v/>
      </c>
      <c r="C16" s="113">
        <f>'01_MASTER_DATABASE'!C118</f>
        <v/>
      </c>
      <c r="D16" s="114">
        <f>'01_MASTER_DATABASE'!I118</f>
        <v/>
      </c>
      <c r="E16" s="114">
        <f>'01_MASTER_DATABASE'!G118</f>
        <v/>
      </c>
      <c r="F16" s="113">
        <f>'01_MASTER_DATABASE'!L118</f>
        <v/>
      </c>
    </row>
    <row r="17" ht="25" customHeight="1">
      <c r="A17" s="113">
        <f>'01_MASTER_DATABASE'!A161</f>
        <v/>
      </c>
      <c r="B17" s="114">
        <f>'01_MASTER_DATABASE'!D161</f>
        <v/>
      </c>
      <c r="C17" s="113">
        <f>'01_MASTER_DATABASE'!C161</f>
        <v/>
      </c>
      <c r="D17" s="114">
        <f>'01_MASTER_DATABASE'!I161</f>
        <v/>
      </c>
      <c r="E17" s="114">
        <f>'01_MASTER_DATABASE'!G161</f>
        <v/>
      </c>
      <c r="F17" s="113">
        <f>'01_MASTER_DATABASE'!L161</f>
        <v/>
      </c>
    </row>
    <row r="18" ht="25" customHeight="1">
      <c r="A18" s="113">
        <f>'01_MASTER_DATABASE'!A164</f>
        <v/>
      </c>
      <c r="B18" s="114">
        <f>'01_MASTER_DATABASE'!D164</f>
        <v/>
      </c>
      <c r="C18" s="113">
        <f>'01_MASTER_DATABASE'!C164</f>
        <v/>
      </c>
      <c r="D18" s="114">
        <f>'01_MASTER_DATABASE'!I164</f>
        <v/>
      </c>
      <c r="E18" s="114">
        <f>'01_MASTER_DATABASE'!G164</f>
        <v/>
      </c>
      <c r="F18" s="113">
        <f>'01_MASTER_DATABASE'!L164</f>
        <v/>
      </c>
    </row>
    <row r="19" ht="25" customHeight="1">
      <c r="A19" s="113">
        <f>'01_MASTER_DATABASE'!A133</f>
        <v/>
      </c>
      <c r="B19" s="114">
        <f>'01_MASTER_DATABASE'!D133</f>
        <v/>
      </c>
      <c r="C19" s="113">
        <f>'01_MASTER_DATABASE'!C133</f>
        <v/>
      </c>
      <c r="D19" s="114">
        <f>'01_MASTER_DATABASE'!I133</f>
        <v/>
      </c>
      <c r="E19" s="114">
        <f>'01_MASTER_DATABASE'!G133</f>
        <v/>
      </c>
      <c r="F19" s="113">
        <f>'01_MASTER_DATABASE'!L133</f>
        <v/>
      </c>
    </row>
    <row r="20" ht="25" customHeight="1">
      <c r="A20" s="113">
        <f>'01_MASTER_DATABASE'!A142</f>
        <v/>
      </c>
      <c r="B20" s="114">
        <f>'01_MASTER_DATABASE'!D142</f>
        <v/>
      </c>
      <c r="C20" s="113">
        <f>'01_MASTER_DATABASE'!C142</f>
        <v/>
      </c>
      <c r="D20" s="114">
        <f>'01_MASTER_DATABASE'!I142</f>
        <v/>
      </c>
      <c r="E20" s="114">
        <f>'01_MASTER_DATABASE'!G142</f>
        <v/>
      </c>
      <c r="F20" s="113">
        <f>'01_MASTER_DATABASE'!L142</f>
        <v/>
      </c>
    </row>
    <row r="21" ht="25" customHeight="1">
      <c r="A21" s="113">
        <f>'01_MASTER_DATABASE'!A145</f>
        <v/>
      </c>
      <c r="B21" s="114">
        <f>'01_MASTER_DATABASE'!D145</f>
        <v/>
      </c>
      <c r="C21" s="113">
        <f>'01_MASTER_DATABASE'!C145</f>
        <v/>
      </c>
      <c r="D21" s="114">
        <f>'01_MASTER_DATABASE'!I145</f>
        <v/>
      </c>
      <c r="E21" s="114">
        <f>'01_MASTER_DATABASE'!G145</f>
        <v/>
      </c>
      <c r="F21" s="113">
        <f>'01_MASTER_DATABASE'!L145</f>
        <v/>
      </c>
    </row>
    <row r="22" ht="25" customHeight="1">
      <c r="A22" s="113">
        <f>'01_MASTER_DATABASE'!A11</f>
        <v/>
      </c>
      <c r="B22" s="114">
        <f>'01_MASTER_DATABASE'!D11</f>
        <v/>
      </c>
      <c r="C22" s="113">
        <f>'01_MASTER_DATABASE'!C11</f>
        <v/>
      </c>
      <c r="D22" s="114">
        <f>'01_MASTER_DATABASE'!I11</f>
        <v/>
      </c>
      <c r="E22" s="114">
        <f>'01_MASTER_DATABASE'!G11</f>
        <v/>
      </c>
      <c r="F22" s="113">
        <f>'01_MASTER_DATABASE'!L11</f>
        <v/>
      </c>
    </row>
    <row r="23" ht="25" customHeight="1">
      <c r="A23" s="113">
        <f>'01_MASTER_DATABASE'!A16</f>
        <v/>
      </c>
      <c r="B23" s="114">
        <f>'01_MASTER_DATABASE'!D16</f>
        <v/>
      </c>
      <c r="C23" s="113">
        <f>'01_MASTER_DATABASE'!C16</f>
        <v/>
      </c>
      <c r="D23" s="114">
        <f>'01_MASTER_DATABASE'!I16</f>
        <v/>
      </c>
      <c r="E23" s="114">
        <f>'01_MASTER_DATABASE'!G16</f>
        <v/>
      </c>
      <c r="F23" s="113">
        <f>'01_MASTER_DATABASE'!L16</f>
        <v/>
      </c>
    </row>
    <row r="24" ht="25" customHeight="1">
      <c r="A24" s="113">
        <f>'01_MASTER_DATABASE'!A19</f>
        <v/>
      </c>
      <c r="B24" s="114">
        <f>'01_MASTER_DATABASE'!D19</f>
        <v/>
      </c>
      <c r="C24" s="113">
        <f>'01_MASTER_DATABASE'!C19</f>
        <v/>
      </c>
      <c r="D24" s="114">
        <f>'01_MASTER_DATABASE'!I19</f>
        <v/>
      </c>
      <c r="E24" s="114">
        <f>'01_MASTER_DATABASE'!G19</f>
        <v/>
      </c>
      <c r="F24" s="113">
        <f>'01_MASTER_DATABASE'!L19</f>
        <v/>
      </c>
    </row>
    <row r="25" ht="25" customHeight="1">
      <c r="A25" s="113">
        <f>'01_MASTER_DATABASE'!A20</f>
        <v/>
      </c>
      <c r="B25" s="114">
        <f>'01_MASTER_DATABASE'!D20</f>
        <v/>
      </c>
      <c r="C25" s="113">
        <f>'01_MASTER_DATABASE'!C20</f>
        <v/>
      </c>
      <c r="D25" s="114">
        <f>'01_MASTER_DATABASE'!I20</f>
        <v/>
      </c>
      <c r="E25" s="114">
        <f>'01_MASTER_DATABASE'!G20</f>
        <v/>
      </c>
      <c r="F25" s="113">
        <f>'01_MASTER_DATABASE'!L20</f>
        <v/>
      </c>
    </row>
    <row r="26" ht="25" customHeight="1">
      <c r="A26" s="113">
        <f>'01_MASTER_DATABASE'!A25</f>
        <v/>
      </c>
      <c r="B26" s="114">
        <f>'01_MASTER_DATABASE'!D25</f>
        <v/>
      </c>
      <c r="C26" s="113">
        <f>'01_MASTER_DATABASE'!C25</f>
        <v/>
      </c>
      <c r="D26" s="114">
        <f>'01_MASTER_DATABASE'!I25</f>
        <v/>
      </c>
      <c r="E26" s="114">
        <f>'01_MASTER_DATABASE'!G25</f>
        <v/>
      </c>
      <c r="F26" s="113">
        <f>'01_MASTER_DATABASE'!L25</f>
        <v/>
      </c>
    </row>
    <row r="27" ht="25" customHeight="1">
      <c r="A27" s="113">
        <f>'01_MASTER_DATABASE'!A27</f>
        <v/>
      </c>
      <c r="B27" s="114">
        <f>'01_MASTER_DATABASE'!D27</f>
        <v/>
      </c>
      <c r="C27" s="113">
        <f>'01_MASTER_DATABASE'!C27</f>
        <v/>
      </c>
      <c r="D27" s="114">
        <f>'01_MASTER_DATABASE'!I27</f>
        <v/>
      </c>
      <c r="E27" s="114">
        <f>'01_MASTER_DATABASE'!G27</f>
        <v/>
      </c>
      <c r="F27" s="113">
        <f>'01_MASTER_DATABASE'!L27</f>
        <v/>
      </c>
    </row>
    <row r="28" ht="25" customHeight="1">
      <c r="A28" s="113">
        <f>'01_MASTER_DATABASE'!A34</f>
        <v/>
      </c>
      <c r="B28" s="114">
        <f>'01_MASTER_DATABASE'!D34</f>
        <v/>
      </c>
      <c r="C28" s="113">
        <f>'01_MASTER_DATABASE'!C34</f>
        <v/>
      </c>
      <c r="D28" s="114">
        <f>'01_MASTER_DATABASE'!I34</f>
        <v/>
      </c>
      <c r="E28" s="114">
        <f>'01_MASTER_DATABASE'!G34</f>
        <v/>
      </c>
      <c r="F28" s="113">
        <f>'01_MASTER_DATABASE'!L34</f>
        <v/>
      </c>
    </row>
    <row r="29" ht="25" customHeight="1">
      <c r="A29" s="113">
        <f>'01_MASTER_DATABASE'!A35</f>
        <v/>
      </c>
      <c r="B29" s="114">
        <f>'01_MASTER_DATABASE'!D35</f>
        <v/>
      </c>
      <c r="C29" s="113">
        <f>'01_MASTER_DATABASE'!C35</f>
        <v/>
      </c>
      <c r="D29" s="114">
        <f>'01_MASTER_DATABASE'!I35</f>
        <v/>
      </c>
      <c r="E29" s="114">
        <f>'01_MASTER_DATABASE'!G35</f>
        <v/>
      </c>
      <c r="F29" s="113">
        <f>'01_MASTER_DATABASE'!L35</f>
        <v/>
      </c>
    </row>
    <row r="30" ht="25" customHeight="1">
      <c r="A30" s="113">
        <f>'01_MASTER_DATABASE'!A36</f>
        <v/>
      </c>
      <c r="B30" s="114">
        <f>'01_MASTER_DATABASE'!D36</f>
        <v/>
      </c>
      <c r="C30" s="113">
        <f>'01_MASTER_DATABASE'!C36</f>
        <v/>
      </c>
      <c r="D30" s="114">
        <f>'01_MASTER_DATABASE'!I36</f>
        <v/>
      </c>
      <c r="E30" s="114">
        <f>'01_MASTER_DATABASE'!G36</f>
        <v/>
      </c>
      <c r="F30" s="113">
        <f>'01_MASTER_DATABASE'!L36</f>
        <v/>
      </c>
    </row>
    <row r="31" ht="25" customHeight="1">
      <c r="A31" s="113">
        <f>'01_MASTER_DATABASE'!A37</f>
        <v/>
      </c>
      <c r="B31" s="114">
        <f>'01_MASTER_DATABASE'!D37</f>
        <v/>
      </c>
      <c r="C31" s="113">
        <f>'01_MASTER_DATABASE'!C37</f>
        <v/>
      </c>
      <c r="D31" s="114">
        <f>'01_MASTER_DATABASE'!I37</f>
        <v/>
      </c>
      <c r="E31" s="114">
        <f>'01_MASTER_DATABASE'!G37</f>
        <v/>
      </c>
      <c r="F31" s="113">
        <f>'01_MASTER_DATABASE'!L37</f>
        <v/>
      </c>
    </row>
    <row r="32" ht="25" customHeight="1">
      <c r="A32" s="113">
        <f>'01_MASTER_DATABASE'!A41</f>
        <v/>
      </c>
      <c r="B32" s="114">
        <f>'01_MASTER_DATABASE'!D41</f>
        <v/>
      </c>
      <c r="C32" s="113">
        <f>'01_MASTER_DATABASE'!C41</f>
        <v/>
      </c>
      <c r="D32" s="114">
        <f>'01_MASTER_DATABASE'!I41</f>
        <v/>
      </c>
      <c r="E32" s="114">
        <f>'01_MASTER_DATABASE'!G41</f>
        <v/>
      </c>
      <c r="F32" s="113">
        <f>'01_MASTER_DATABASE'!L41</f>
        <v/>
      </c>
    </row>
    <row r="33" ht="25" customHeight="1">
      <c r="A33" s="113">
        <f>'01_MASTER_DATABASE'!A44</f>
        <v/>
      </c>
      <c r="B33" s="114">
        <f>'01_MASTER_DATABASE'!D44</f>
        <v/>
      </c>
      <c r="C33" s="113">
        <f>'01_MASTER_DATABASE'!C44</f>
        <v/>
      </c>
      <c r="D33" s="114">
        <f>'01_MASTER_DATABASE'!I44</f>
        <v/>
      </c>
      <c r="E33" s="114">
        <f>'01_MASTER_DATABASE'!G44</f>
        <v/>
      </c>
      <c r="F33" s="113">
        <f>'01_MASTER_DATABASE'!L44</f>
        <v/>
      </c>
    </row>
    <row r="34" ht="25" customHeight="1">
      <c r="A34" s="113">
        <f>'01_MASTER_DATABASE'!A45</f>
        <v/>
      </c>
      <c r="B34" s="114">
        <f>'01_MASTER_DATABASE'!D45</f>
        <v/>
      </c>
      <c r="C34" s="113">
        <f>'01_MASTER_DATABASE'!C45</f>
        <v/>
      </c>
      <c r="D34" s="114">
        <f>'01_MASTER_DATABASE'!I45</f>
        <v/>
      </c>
      <c r="E34" s="114">
        <f>'01_MASTER_DATABASE'!G45</f>
        <v/>
      </c>
      <c r="F34" s="113">
        <f>'01_MASTER_DATABASE'!L45</f>
        <v/>
      </c>
    </row>
    <row r="35" ht="25" customHeight="1">
      <c r="A35" s="113">
        <f>'01_MASTER_DATABASE'!A46</f>
        <v/>
      </c>
      <c r="B35" s="114">
        <f>'01_MASTER_DATABASE'!D46</f>
        <v/>
      </c>
      <c r="C35" s="113">
        <f>'01_MASTER_DATABASE'!C46</f>
        <v/>
      </c>
      <c r="D35" s="114">
        <f>'01_MASTER_DATABASE'!I46</f>
        <v/>
      </c>
      <c r="E35" s="114">
        <f>'01_MASTER_DATABASE'!G46</f>
        <v/>
      </c>
      <c r="F35" s="113">
        <f>'01_MASTER_DATABASE'!L46</f>
        <v/>
      </c>
    </row>
    <row r="36" ht="25" customHeight="1">
      <c r="A36" s="113">
        <f>'01_MASTER_DATABASE'!A47</f>
        <v/>
      </c>
      <c r="B36" s="114">
        <f>'01_MASTER_DATABASE'!D47</f>
        <v/>
      </c>
      <c r="C36" s="113">
        <f>'01_MASTER_DATABASE'!C47</f>
        <v/>
      </c>
      <c r="D36" s="114">
        <f>'01_MASTER_DATABASE'!I47</f>
        <v/>
      </c>
      <c r="E36" s="114">
        <f>'01_MASTER_DATABASE'!G47</f>
        <v/>
      </c>
      <c r="F36" s="113">
        <f>'01_MASTER_DATABASE'!L47</f>
        <v/>
      </c>
    </row>
    <row r="37" ht="25" customHeight="1">
      <c r="A37" s="113">
        <f>'01_MASTER_DATABASE'!A48</f>
        <v/>
      </c>
      <c r="B37" s="114">
        <f>'01_MASTER_DATABASE'!D48</f>
        <v/>
      </c>
      <c r="C37" s="113">
        <f>'01_MASTER_DATABASE'!C48</f>
        <v/>
      </c>
      <c r="D37" s="114">
        <f>'01_MASTER_DATABASE'!I48</f>
        <v/>
      </c>
      <c r="E37" s="114">
        <f>'01_MASTER_DATABASE'!G48</f>
        <v/>
      </c>
      <c r="F37" s="113">
        <f>'01_MASTER_DATABASE'!L48</f>
        <v/>
      </c>
    </row>
    <row r="38" ht="25" customHeight="1">
      <c r="A38" s="113">
        <f>'01_MASTER_DATABASE'!A49</f>
        <v/>
      </c>
      <c r="B38" s="114">
        <f>'01_MASTER_DATABASE'!D49</f>
        <v/>
      </c>
      <c r="C38" s="113">
        <f>'01_MASTER_DATABASE'!C49</f>
        <v/>
      </c>
      <c r="D38" s="114">
        <f>'01_MASTER_DATABASE'!I49</f>
        <v/>
      </c>
      <c r="E38" s="114">
        <f>'01_MASTER_DATABASE'!G49</f>
        <v/>
      </c>
      <c r="F38" s="113">
        <f>'01_MASTER_DATABASE'!L49</f>
        <v/>
      </c>
    </row>
    <row r="39" ht="25" customHeight="1">
      <c r="A39" s="113">
        <f>'01_MASTER_DATABASE'!A51</f>
        <v/>
      </c>
      <c r="B39" s="114">
        <f>'01_MASTER_DATABASE'!D51</f>
        <v/>
      </c>
      <c r="C39" s="113">
        <f>'01_MASTER_DATABASE'!C51</f>
        <v/>
      </c>
      <c r="D39" s="114">
        <f>'01_MASTER_DATABASE'!I51</f>
        <v/>
      </c>
      <c r="E39" s="114">
        <f>'01_MASTER_DATABASE'!G51</f>
        <v/>
      </c>
      <c r="F39" s="113">
        <f>'01_MASTER_DATABASE'!L51</f>
        <v/>
      </c>
    </row>
    <row r="40" ht="25" customHeight="1">
      <c r="A40" s="113">
        <f>'01_MASTER_DATABASE'!A55</f>
        <v/>
      </c>
      <c r="B40" s="114">
        <f>'01_MASTER_DATABASE'!D55</f>
        <v/>
      </c>
      <c r="C40" s="113">
        <f>'01_MASTER_DATABASE'!C55</f>
        <v/>
      </c>
      <c r="D40" s="114">
        <f>'01_MASTER_DATABASE'!I55</f>
        <v/>
      </c>
      <c r="E40" s="114">
        <f>'01_MASTER_DATABASE'!G55</f>
        <v/>
      </c>
      <c r="F40" s="113">
        <f>'01_MASTER_DATABASE'!L55</f>
        <v/>
      </c>
    </row>
    <row r="41" ht="25" customHeight="1">
      <c r="A41" s="113">
        <f>'01_MASTER_DATABASE'!A57</f>
        <v/>
      </c>
      <c r="B41" s="114">
        <f>'01_MASTER_DATABASE'!D57</f>
        <v/>
      </c>
      <c r="C41" s="113">
        <f>'01_MASTER_DATABASE'!C57</f>
        <v/>
      </c>
      <c r="D41" s="114">
        <f>'01_MASTER_DATABASE'!I57</f>
        <v/>
      </c>
      <c r="E41" s="114">
        <f>'01_MASTER_DATABASE'!G57</f>
        <v/>
      </c>
      <c r="F41" s="113">
        <f>'01_MASTER_DATABASE'!L57</f>
        <v/>
      </c>
    </row>
    <row r="42" ht="25" customHeight="1">
      <c r="A42" s="113">
        <f>'01_MASTER_DATABASE'!A66</f>
        <v/>
      </c>
      <c r="B42" s="114">
        <f>'01_MASTER_DATABASE'!D66</f>
        <v/>
      </c>
      <c r="C42" s="113">
        <f>'01_MASTER_DATABASE'!C66</f>
        <v/>
      </c>
      <c r="D42" s="114">
        <f>'01_MASTER_DATABASE'!I66</f>
        <v/>
      </c>
      <c r="E42" s="114">
        <f>'01_MASTER_DATABASE'!G66</f>
        <v/>
      </c>
      <c r="F42" s="113">
        <f>'01_MASTER_DATABASE'!L66</f>
        <v/>
      </c>
    </row>
    <row r="43" ht="25" customHeight="1">
      <c r="A43" s="113">
        <f>'01_MASTER_DATABASE'!A75</f>
        <v/>
      </c>
      <c r="B43" s="114">
        <f>'01_MASTER_DATABASE'!D75</f>
        <v/>
      </c>
      <c r="C43" s="113">
        <f>'01_MASTER_DATABASE'!C75</f>
        <v/>
      </c>
      <c r="D43" s="114">
        <f>'01_MASTER_DATABASE'!I75</f>
        <v/>
      </c>
      <c r="E43" s="114">
        <f>'01_MASTER_DATABASE'!G75</f>
        <v/>
      </c>
      <c r="F43" s="113">
        <f>'01_MASTER_DATABASE'!L75</f>
        <v/>
      </c>
    </row>
    <row r="44" ht="25" customHeight="1">
      <c r="A44" s="113">
        <f>'01_MASTER_DATABASE'!A76</f>
        <v/>
      </c>
      <c r="B44" s="114">
        <f>'01_MASTER_DATABASE'!D76</f>
        <v/>
      </c>
      <c r="C44" s="113">
        <f>'01_MASTER_DATABASE'!C76</f>
        <v/>
      </c>
      <c r="D44" s="114">
        <f>'01_MASTER_DATABASE'!I76</f>
        <v/>
      </c>
      <c r="E44" s="114">
        <f>'01_MASTER_DATABASE'!G76</f>
        <v/>
      </c>
      <c r="F44" s="113">
        <f>'01_MASTER_DATABASE'!L76</f>
        <v/>
      </c>
    </row>
    <row r="45" ht="25" customHeight="1">
      <c r="A45" s="113">
        <f>'01_MASTER_DATABASE'!A77</f>
        <v/>
      </c>
      <c r="B45" s="114">
        <f>'01_MASTER_DATABASE'!D77</f>
        <v/>
      </c>
      <c r="C45" s="113">
        <f>'01_MASTER_DATABASE'!C77</f>
        <v/>
      </c>
      <c r="D45" s="114">
        <f>'01_MASTER_DATABASE'!I77</f>
        <v/>
      </c>
      <c r="E45" s="114">
        <f>'01_MASTER_DATABASE'!G77</f>
        <v/>
      </c>
      <c r="F45" s="113">
        <f>'01_MASTER_DATABASE'!L77</f>
        <v/>
      </c>
    </row>
    <row r="46" ht="25" customHeight="1">
      <c r="A46" s="113">
        <f>'01_MASTER_DATABASE'!A80</f>
        <v/>
      </c>
      <c r="B46" s="114">
        <f>'01_MASTER_DATABASE'!D80</f>
        <v/>
      </c>
      <c r="C46" s="113">
        <f>'01_MASTER_DATABASE'!C80</f>
        <v/>
      </c>
      <c r="D46" s="114">
        <f>'01_MASTER_DATABASE'!I80</f>
        <v/>
      </c>
      <c r="E46" s="114">
        <f>'01_MASTER_DATABASE'!G80</f>
        <v/>
      </c>
      <c r="F46" s="113">
        <f>'01_MASTER_DATABASE'!L80</f>
        <v/>
      </c>
    </row>
    <row r="47" ht="25" customHeight="1">
      <c r="A47" s="113">
        <f>'01_MASTER_DATABASE'!A81</f>
        <v/>
      </c>
      <c r="B47" s="114">
        <f>'01_MASTER_DATABASE'!D81</f>
        <v/>
      </c>
      <c r="C47" s="113">
        <f>'01_MASTER_DATABASE'!C81</f>
        <v/>
      </c>
      <c r="D47" s="114">
        <f>'01_MASTER_DATABASE'!I81</f>
        <v/>
      </c>
      <c r="E47" s="114">
        <f>'01_MASTER_DATABASE'!G81</f>
        <v/>
      </c>
      <c r="F47" s="113">
        <f>'01_MASTER_DATABASE'!L81</f>
        <v/>
      </c>
    </row>
    <row r="48" ht="25" customHeight="1">
      <c r="A48" s="113">
        <f>'01_MASTER_DATABASE'!A83</f>
        <v/>
      </c>
      <c r="B48" s="114">
        <f>'01_MASTER_DATABASE'!D83</f>
        <v/>
      </c>
      <c r="C48" s="113">
        <f>'01_MASTER_DATABASE'!C83</f>
        <v/>
      </c>
      <c r="D48" s="114">
        <f>'01_MASTER_DATABASE'!I83</f>
        <v/>
      </c>
      <c r="E48" s="114">
        <f>'01_MASTER_DATABASE'!G83</f>
        <v/>
      </c>
      <c r="F48" s="113">
        <f>'01_MASTER_DATABASE'!L83</f>
        <v/>
      </c>
    </row>
    <row r="49" ht="25" customHeight="1">
      <c r="A49" s="113">
        <f>'01_MASTER_DATABASE'!A105</f>
        <v/>
      </c>
      <c r="B49" s="114">
        <f>'01_MASTER_DATABASE'!D105</f>
        <v/>
      </c>
      <c r="C49" s="113">
        <f>'01_MASTER_DATABASE'!C105</f>
        <v/>
      </c>
      <c r="D49" s="114">
        <f>'01_MASTER_DATABASE'!I105</f>
        <v/>
      </c>
      <c r="E49" s="114">
        <f>'01_MASTER_DATABASE'!G105</f>
        <v/>
      </c>
      <c r="F49" s="113">
        <f>'01_MASTER_DATABASE'!L105</f>
        <v/>
      </c>
    </row>
    <row r="50" ht="25" customHeight="1">
      <c r="A50" s="113">
        <f>'01_MASTER_DATABASE'!A106</f>
        <v/>
      </c>
      <c r="B50" s="114">
        <f>'01_MASTER_DATABASE'!D106</f>
        <v/>
      </c>
      <c r="C50" s="113">
        <f>'01_MASTER_DATABASE'!C106</f>
        <v/>
      </c>
      <c r="D50" s="114">
        <f>'01_MASTER_DATABASE'!I106</f>
        <v/>
      </c>
      <c r="E50" s="114">
        <f>'01_MASTER_DATABASE'!G106</f>
        <v/>
      </c>
      <c r="F50" s="113">
        <f>'01_MASTER_DATABASE'!L106</f>
        <v/>
      </c>
    </row>
    <row r="51" ht="25" customHeight="1">
      <c r="A51" s="113">
        <f>'01_MASTER_DATABASE'!A107</f>
        <v/>
      </c>
      <c r="B51" s="114">
        <f>'01_MASTER_DATABASE'!D107</f>
        <v/>
      </c>
      <c r="C51" s="113">
        <f>'01_MASTER_DATABASE'!C107</f>
        <v/>
      </c>
      <c r="D51" s="114">
        <f>'01_MASTER_DATABASE'!I107</f>
        <v/>
      </c>
      <c r="E51" s="114">
        <f>'01_MASTER_DATABASE'!G107</f>
        <v/>
      </c>
      <c r="F51" s="113">
        <f>'01_MASTER_DATABASE'!L107</f>
        <v/>
      </c>
    </row>
    <row r="52" ht="25" customHeight="1">
      <c r="A52" s="113">
        <f>'01_MASTER_DATABASE'!A111</f>
        <v/>
      </c>
      <c r="B52" s="114">
        <f>'01_MASTER_DATABASE'!D111</f>
        <v/>
      </c>
      <c r="C52" s="113">
        <f>'01_MASTER_DATABASE'!C111</f>
        <v/>
      </c>
      <c r="D52" s="114">
        <f>'01_MASTER_DATABASE'!I111</f>
        <v/>
      </c>
      <c r="E52" s="114">
        <f>'01_MASTER_DATABASE'!G111</f>
        <v/>
      </c>
      <c r="F52" s="113">
        <f>'01_MASTER_DATABASE'!L111</f>
        <v/>
      </c>
    </row>
    <row r="53" ht="25" customHeight="1">
      <c r="A53" s="113">
        <f>'01_MASTER_DATABASE'!A113</f>
        <v/>
      </c>
      <c r="B53" s="114">
        <f>'01_MASTER_DATABASE'!D113</f>
        <v/>
      </c>
      <c r="C53" s="113">
        <f>'01_MASTER_DATABASE'!C113</f>
        <v/>
      </c>
      <c r="D53" s="114">
        <f>'01_MASTER_DATABASE'!I113</f>
        <v/>
      </c>
      <c r="E53" s="114">
        <f>'01_MASTER_DATABASE'!G113</f>
        <v/>
      </c>
      <c r="F53" s="113">
        <f>'01_MASTER_DATABASE'!L113</f>
        <v/>
      </c>
    </row>
    <row r="54" ht="25" customHeight="1">
      <c r="A54" s="113">
        <f>'01_MASTER_DATABASE'!A115</f>
        <v/>
      </c>
      <c r="B54" s="114">
        <f>'01_MASTER_DATABASE'!D115</f>
        <v/>
      </c>
      <c r="C54" s="113">
        <f>'01_MASTER_DATABASE'!C115</f>
        <v/>
      </c>
      <c r="D54" s="114">
        <f>'01_MASTER_DATABASE'!I115</f>
        <v/>
      </c>
      <c r="E54" s="114">
        <f>'01_MASTER_DATABASE'!G115</f>
        <v/>
      </c>
      <c r="F54" s="113">
        <f>'01_MASTER_DATABASE'!L115</f>
        <v/>
      </c>
    </row>
    <row r="55" ht="25" customHeight="1">
      <c r="A55" s="113">
        <f>'01_MASTER_DATABASE'!A119</f>
        <v/>
      </c>
      <c r="B55" s="114">
        <f>'01_MASTER_DATABASE'!D119</f>
        <v/>
      </c>
      <c r="C55" s="113">
        <f>'01_MASTER_DATABASE'!C119</f>
        <v/>
      </c>
      <c r="D55" s="114">
        <f>'01_MASTER_DATABASE'!I119</f>
        <v/>
      </c>
      <c r="E55" s="114">
        <f>'01_MASTER_DATABASE'!G119</f>
        <v/>
      </c>
      <c r="F55" s="113">
        <f>'01_MASTER_DATABASE'!L119</f>
        <v/>
      </c>
    </row>
    <row r="56" ht="25" customHeight="1">
      <c r="A56" s="113">
        <f>'01_MASTER_DATABASE'!A123</f>
        <v/>
      </c>
      <c r="B56" s="114">
        <f>'01_MASTER_DATABASE'!D123</f>
        <v/>
      </c>
      <c r="C56" s="113">
        <f>'01_MASTER_DATABASE'!C123</f>
        <v/>
      </c>
      <c r="D56" s="114">
        <f>'01_MASTER_DATABASE'!I123</f>
        <v/>
      </c>
      <c r="E56" s="114">
        <f>'01_MASTER_DATABASE'!G123</f>
        <v/>
      </c>
      <c r="F56" s="113">
        <f>'01_MASTER_DATABASE'!L123</f>
        <v/>
      </c>
    </row>
    <row r="57" ht="25" customHeight="1">
      <c r="A57" s="113">
        <f>'01_MASTER_DATABASE'!A127</f>
        <v/>
      </c>
      <c r="B57" s="114">
        <f>'01_MASTER_DATABASE'!D127</f>
        <v/>
      </c>
      <c r="C57" s="113">
        <f>'01_MASTER_DATABASE'!C127</f>
        <v/>
      </c>
      <c r="D57" s="114">
        <f>'01_MASTER_DATABASE'!I127</f>
        <v/>
      </c>
      <c r="E57" s="114">
        <f>'01_MASTER_DATABASE'!G127</f>
        <v/>
      </c>
      <c r="F57" s="113">
        <f>'01_MASTER_DATABASE'!L127</f>
        <v/>
      </c>
    </row>
    <row r="58" ht="25" customHeight="1">
      <c r="A58" s="113">
        <f>'01_MASTER_DATABASE'!A129</f>
        <v/>
      </c>
      <c r="B58" s="114">
        <f>'01_MASTER_DATABASE'!D129</f>
        <v/>
      </c>
      <c r="C58" s="113">
        <f>'01_MASTER_DATABASE'!C129</f>
        <v/>
      </c>
      <c r="D58" s="114">
        <f>'01_MASTER_DATABASE'!I129</f>
        <v/>
      </c>
      <c r="E58" s="114">
        <f>'01_MASTER_DATABASE'!G129</f>
        <v/>
      </c>
      <c r="F58" s="113">
        <f>'01_MASTER_DATABASE'!L129</f>
        <v/>
      </c>
    </row>
    <row r="59" ht="25" customHeight="1">
      <c r="A59" s="113">
        <f>'01_MASTER_DATABASE'!A132</f>
        <v/>
      </c>
      <c r="B59" s="114">
        <f>'01_MASTER_DATABASE'!D132</f>
        <v/>
      </c>
      <c r="C59" s="113">
        <f>'01_MASTER_DATABASE'!C132</f>
        <v/>
      </c>
      <c r="D59" s="114">
        <f>'01_MASTER_DATABASE'!I132</f>
        <v/>
      </c>
      <c r="E59" s="114">
        <f>'01_MASTER_DATABASE'!G132</f>
        <v/>
      </c>
      <c r="F59" s="113">
        <f>'01_MASTER_DATABASE'!L132</f>
        <v/>
      </c>
    </row>
    <row r="60" ht="25" customHeight="1">
      <c r="A60" s="113">
        <f>'01_MASTER_DATABASE'!A146</f>
        <v/>
      </c>
      <c r="B60" s="114">
        <f>'01_MASTER_DATABASE'!D146</f>
        <v/>
      </c>
      <c r="C60" s="113">
        <f>'01_MASTER_DATABASE'!C146</f>
        <v/>
      </c>
      <c r="D60" s="114">
        <f>'01_MASTER_DATABASE'!I146</f>
        <v/>
      </c>
      <c r="E60" s="114">
        <f>'01_MASTER_DATABASE'!G146</f>
        <v/>
      </c>
      <c r="F60" s="113">
        <f>'01_MASTER_DATABASE'!L146</f>
        <v/>
      </c>
    </row>
    <row r="61" ht="25" customHeight="1">
      <c r="A61" s="113">
        <f>'01_MASTER_DATABASE'!A155</f>
        <v/>
      </c>
      <c r="B61" s="114">
        <f>'01_MASTER_DATABASE'!D155</f>
        <v/>
      </c>
      <c r="C61" s="113">
        <f>'01_MASTER_DATABASE'!C155</f>
        <v/>
      </c>
      <c r="D61" s="114">
        <f>'01_MASTER_DATABASE'!I155</f>
        <v/>
      </c>
      <c r="E61" s="114">
        <f>'01_MASTER_DATABASE'!G155</f>
        <v/>
      </c>
      <c r="F61" s="113">
        <f>'01_MASTER_DATABASE'!L155</f>
        <v/>
      </c>
    </row>
    <row r="62" ht="25" customHeight="1">
      <c r="A62" s="113">
        <f>'01_MASTER_DATABASE'!A158</f>
        <v/>
      </c>
      <c r="B62" s="114">
        <f>'01_MASTER_DATABASE'!D158</f>
        <v/>
      </c>
      <c r="C62" s="113">
        <f>'01_MASTER_DATABASE'!C158</f>
        <v/>
      </c>
      <c r="D62" s="114">
        <f>'01_MASTER_DATABASE'!I158</f>
        <v/>
      </c>
      <c r="E62" s="114">
        <f>'01_MASTER_DATABASE'!G158</f>
        <v/>
      </c>
      <c r="F62" s="113">
        <f>'01_MASTER_DATABASE'!L158</f>
        <v/>
      </c>
    </row>
    <row r="63" ht="25" customHeight="1">
      <c r="A63" s="113">
        <f>'01_MASTER_DATABASE'!A159</f>
        <v/>
      </c>
      <c r="B63" s="114">
        <f>'01_MASTER_DATABASE'!D159</f>
        <v/>
      </c>
      <c r="C63" s="113">
        <f>'01_MASTER_DATABASE'!C159</f>
        <v/>
      </c>
      <c r="D63" s="114">
        <f>'01_MASTER_DATABASE'!I159</f>
        <v/>
      </c>
      <c r="E63" s="114">
        <f>'01_MASTER_DATABASE'!G159</f>
        <v/>
      </c>
      <c r="F63" s="113">
        <f>'01_MASTER_DATABASE'!L159</f>
        <v/>
      </c>
    </row>
    <row r="64" ht="25" customHeight="1">
      <c r="A64" s="113">
        <f>'01_MASTER_DATABASE'!A166</f>
        <v/>
      </c>
      <c r="B64" s="114">
        <f>'01_MASTER_DATABASE'!D166</f>
        <v/>
      </c>
      <c r="C64" s="113">
        <f>'01_MASTER_DATABASE'!C166</f>
        <v/>
      </c>
      <c r="D64" s="114">
        <f>'01_MASTER_DATABASE'!I166</f>
        <v/>
      </c>
      <c r="E64" s="114">
        <f>'01_MASTER_DATABASE'!G166</f>
        <v/>
      </c>
      <c r="F64" s="113">
        <f>'01_MASTER_DATABASE'!L166</f>
        <v/>
      </c>
    </row>
    <row r="65" ht="25" customHeight="1">
      <c r="A65" s="113">
        <f>'01_MASTER_DATABASE'!A169</f>
        <v/>
      </c>
      <c r="B65" s="114">
        <f>'01_MASTER_DATABASE'!D169</f>
        <v/>
      </c>
      <c r="C65" s="113">
        <f>'01_MASTER_DATABASE'!C169</f>
        <v/>
      </c>
      <c r="D65" s="114">
        <f>'01_MASTER_DATABASE'!I169</f>
        <v/>
      </c>
      <c r="E65" s="114">
        <f>'01_MASTER_DATABASE'!G169</f>
        <v/>
      </c>
      <c r="F65" s="113">
        <f>'01_MASTER_DATABASE'!L169</f>
        <v/>
      </c>
    </row>
    <row r="66" ht="25" customHeight="1">
      <c r="A66" s="113">
        <f>'01_MASTER_DATABASE'!A15</f>
        <v/>
      </c>
      <c r="B66" s="114">
        <f>'01_MASTER_DATABASE'!D15</f>
        <v/>
      </c>
      <c r="C66" s="113">
        <f>'01_MASTER_DATABASE'!C15</f>
        <v/>
      </c>
      <c r="D66" s="114">
        <f>'01_MASTER_DATABASE'!I15</f>
        <v/>
      </c>
      <c r="E66" s="114">
        <f>'01_MASTER_DATABASE'!G15</f>
        <v/>
      </c>
      <c r="F66" s="113">
        <f>'01_MASTER_DATABASE'!L15</f>
        <v/>
      </c>
    </row>
    <row r="67" ht="25" customHeight="1">
      <c r="A67" s="113">
        <f>'01_MASTER_DATABASE'!A32</f>
        <v/>
      </c>
      <c r="B67" s="114">
        <f>'01_MASTER_DATABASE'!D32</f>
        <v/>
      </c>
      <c r="C67" s="113">
        <f>'01_MASTER_DATABASE'!C32</f>
        <v/>
      </c>
      <c r="D67" s="114">
        <f>'01_MASTER_DATABASE'!I32</f>
        <v/>
      </c>
      <c r="E67" s="114">
        <f>'01_MASTER_DATABASE'!G32</f>
        <v/>
      </c>
      <c r="F67" s="113">
        <f>'01_MASTER_DATABASE'!L32</f>
        <v/>
      </c>
    </row>
    <row r="68" ht="25" customHeight="1">
      <c r="A68" s="113">
        <f>'01_MASTER_DATABASE'!A33</f>
        <v/>
      </c>
      <c r="B68" s="114">
        <f>'01_MASTER_DATABASE'!D33</f>
        <v/>
      </c>
      <c r="C68" s="113">
        <f>'01_MASTER_DATABASE'!C33</f>
        <v/>
      </c>
      <c r="D68" s="114">
        <f>'01_MASTER_DATABASE'!I33</f>
        <v/>
      </c>
      <c r="E68" s="114">
        <f>'01_MASTER_DATABASE'!G33</f>
        <v/>
      </c>
      <c r="F68" s="113">
        <f>'01_MASTER_DATABASE'!L33</f>
        <v/>
      </c>
    </row>
    <row r="69" ht="25" customHeight="1">
      <c r="A69" s="113">
        <f>'01_MASTER_DATABASE'!A38</f>
        <v/>
      </c>
      <c r="B69" s="114">
        <f>'01_MASTER_DATABASE'!D38</f>
        <v/>
      </c>
      <c r="C69" s="113">
        <f>'01_MASTER_DATABASE'!C38</f>
        <v/>
      </c>
      <c r="D69" s="114">
        <f>'01_MASTER_DATABASE'!I38</f>
        <v/>
      </c>
      <c r="E69" s="114">
        <f>'01_MASTER_DATABASE'!G38</f>
        <v/>
      </c>
      <c r="F69" s="113">
        <f>'01_MASTER_DATABASE'!L38</f>
        <v/>
      </c>
    </row>
    <row r="70" ht="25" customHeight="1">
      <c r="A70" s="113">
        <f>'01_MASTER_DATABASE'!A40</f>
        <v/>
      </c>
      <c r="B70" s="114">
        <f>'01_MASTER_DATABASE'!D40</f>
        <v/>
      </c>
      <c r="C70" s="113">
        <f>'01_MASTER_DATABASE'!C40</f>
        <v/>
      </c>
      <c r="D70" s="114">
        <f>'01_MASTER_DATABASE'!I40</f>
        <v/>
      </c>
      <c r="E70" s="114">
        <f>'01_MASTER_DATABASE'!G40</f>
        <v/>
      </c>
      <c r="F70" s="113">
        <f>'01_MASTER_DATABASE'!L40</f>
        <v/>
      </c>
    </row>
    <row r="71" ht="25" customHeight="1">
      <c r="A71" s="113">
        <f>'01_MASTER_DATABASE'!A43</f>
        <v/>
      </c>
      <c r="B71" s="114">
        <f>'01_MASTER_DATABASE'!D43</f>
        <v/>
      </c>
      <c r="C71" s="113">
        <f>'01_MASTER_DATABASE'!C43</f>
        <v/>
      </c>
      <c r="D71" s="114">
        <f>'01_MASTER_DATABASE'!I43</f>
        <v/>
      </c>
      <c r="E71" s="114">
        <f>'01_MASTER_DATABASE'!G43</f>
        <v/>
      </c>
      <c r="F71" s="113">
        <f>'01_MASTER_DATABASE'!L43</f>
        <v/>
      </c>
    </row>
    <row r="72" ht="25" customHeight="1">
      <c r="A72" s="113">
        <f>'01_MASTER_DATABASE'!A50</f>
        <v/>
      </c>
      <c r="B72" s="114">
        <f>'01_MASTER_DATABASE'!D50</f>
        <v/>
      </c>
      <c r="C72" s="113">
        <f>'01_MASTER_DATABASE'!C50</f>
        <v/>
      </c>
      <c r="D72" s="114">
        <f>'01_MASTER_DATABASE'!I50</f>
        <v/>
      </c>
      <c r="E72" s="114">
        <f>'01_MASTER_DATABASE'!G50</f>
        <v/>
      </c>
      <c r="F72" s="113">
        <f>'01_MASTER_DATABASE'!L50</f>
        <v/>
      </c>
    </row>
    <row r="73" ht="25" customHeight="1">
      <c r="A73" s="113">
        <f>'01_MASTER_DATABASE'!A56</f>
        <v/>
      </c>
      <c r="B73" s="114">
        <f>'01_MASTER_DATABASE'!D56</f>
        <v/>
      </c>
      <c r="C73" s="113">
        <f>'01_MASTER_DATABASE'!C56</f>
        <v/>
      </c>
      <c r="D73" s="114">
        <f>'01_MASTER_DATABASE'!I56</f>
        <v/>
      </c>
      <c r="E73" s="114">
        <f>'01_MASTER_DATABASE'!G56</f>
        <v/>
      </c>
      <c r="F73" s="113">
        <f>'01_MASTER_DATABASE'!L56</f>
        <v/>
      </c>
    </row>
    <row r="74" ht="25" customHeight="1">
      <c r="A74" s="113">
        <f>'01_MASTER_DATABASE'!A61</f>
        <v/>
      </c>
      <c r="B74" s="114">
        <f>'01_MASTER_DATABASE'!D61</f>
        <v/>
      </c>
      <c r="C74" s="113">
        <f>'01_MASTER_DATABASE'!C61</f>
        <v/>
      </c>
      <c r="D74" s="114">
        <f>'01_MASTER_DATABASE'!I61</f>
        <v/>
      </c>
      <c r="E74" s="114">
        <f>'01_MASTER_DATABASE'!G61</f>
        <v/>
      </c>
      <c r="F74" s="113">
        <f>'01_MASTER_DATABASE'!L61</f>
        <v/>
      </c>
    </row>
    <row r="75" ht="25" customHeight="1">
      <c r="A75" s="113">
        <f>'01_MASTER_DATABASE'!A65</f>
        <v/>
      </c>
      <c r="B75" s="114">
        <f>'01_MASTER_DATABASE'!D65</f>
        <v/>
      </c>
      <c r="C75" s="113">
        <f>'01_MASTER_DATABASE'!C65</f>
        <v/>
      </c>
      <c r="D75" s="114">
        <f>'01_MASTER_DATABASE'!I65</f>
        <v/>
      </c>
      <c r="E75" s="114">
        <f>'01_MASTER_DATABASE'!G65</f>
        <v/>
      </c>
      <c r="F75" s="113">
        <f>'01_MASTER_DATABASE'!L65</f>
        <v/>
      </c>
    </row>
    <row r="76" ht="25" customHeight="1">
      <c r="A76" s="113">
        <f>'01_MASTER_DATABASE'!A73</f>
        <v/>
      </c>
      <c r="B76" s="114">
        <f>'01_MASTER_DATABASE'!D73</f>
        <v/>
      </c>
      <c r="C76" s="113">
        <f>'01_MASTER_DATABASE'!C73</f>
        <v/>
      </c>
      <c r="D76" s="114">
        <f>'01_MASTER_DATABASE'!I73</f>
        <v/>
      </c>
      <c r="E76" s="114">
        <f>'01_MASTER_DATABASE'!G73</f>
        <v/>
      </c>
      <c r="F76" s="113">
        <f>'01_MASTER_DATABASE'!L73</f>
        <v/>
      </c>
    </row>
    <row r="77" ht="25" customHeight="1">
      <c r="A77" s="113">
        <f>'01_MASTER_DATABASE'!A74</f>
        <v/>
      </c>
      <c r="B77" s="114">
        <f>'01_MASTER_DATABASE'!D74</f>
        <v/>
      </c>
      <c r="C77" s="113">
        <f>'01_MASTER_DATABASE'!C74</f>
        <v/>
      </c>
      <c r="D77" s="114">
        <f>'01_MASTER_DATABASE'!I74</f>
        <v/>
      </c>
      <c r="E77" s="114">
        <f>'01_MASTER_DATABASE'!G74</f>
        <v/>
      </c>
      <c r="F77" s="113">
        <f>'01_MASTER_DATABASE'!L74</f>
        <v/>
      </c>
    </row>
    <row r="78" ht="25" customHeight="1">
      <c r="A78" s="113">
        <f>'01_MASTER_DATABASE'!A93</f>
        <v/>
      </c>
      <c r="B78" s="114">
        <f>'01_MASTER_DATABASE'!D93</f>
        <v/>
      </c>
      <c r="C78" s="113">
        <f>'01_MASTER_DATABASE'!C93</f>
        <v/>
      </c>
      <c r="D78" s="114">
        <f>'01_MASTER_DATABASE'!I93</f>
        <v/>
      </c>
      <c r="E78" s="114">
        <f>'01_MASTER_DATABASE'!G93</f>
        <v/>
      </c>
      <c r="F78" s="113">
        <f>'01_MASTER_DATABASE'!L93</f>
        <v/>
      </c>
    </row>
    <row r="79" ht="25" customHeight="1">
      <c r="A79" s="113">
        <f>'01_MASTER_DATABASE'!A104</f>
        <v/>
      </c>
      <c r="B79" s="114">
        <f>'01_MASTER_DATABASE'!D104</f>
        <v/>
      </c>
      <c r="C79" s="113">
        <f>'01_MASTER_DATABASE'!C104</f>
        <v/>
      </c>
      <c r="D79" s="114">
        <f>'01_MASTER_DATABASE'!I104</f>
        <v/>
      </c>
      <c r="E79" s="114">
        <f>'01_MASTER_DATABASE'!G104</f>
        <v/>
      </c>
      <c r="F79" s="113">
        <f>'01_MASTER_DATABASE'!L104</f>
        <v/>
      </c>
    </row>
    <row r="80" ht="25" customHeight="1">
      <c r="A80" s="113">
        <f>'01_MASTER_DATABASE'!A110</f>
        <v/>
      </c>
      <c r="B80" s="114">
        <f>'01_MASTER_DATABASE'!D110</f>
        <v/>
      </c>
      <c r="C80" s="113">
        <f>'01_MASTER_DATABASE'!C110</f>
        <v/>
      </c>
      <c r="D80" s="114">
        <f>'01_MASTER_DATABASE'!I110</f>
        <v/>
      </c>
      <c r="E80" s="114">
        <f>'01_MASTER_DATABASE'!G110</f>
        <v/>
      </c>
      <c r="F80" s="113">
        <f>'01_MASTER_DATABASE'!L110</f>
        <v/>
      </c>
    </row>
    <row r="81" ht="25" customHeight="1">
      <c r="A81" s="113">
        <f>'01_MASTER_DATABASE'!A135</f>
        <v/>
      </c>
      <c r="B81" s="114">
        <f>'01_MASTER_DATABASE'!D135</f>
        <v/>
      </c>
      <c r="C81" s="113">
        <f>'01_MASTER_DATABASE'!C135</f>
        <v/>
      </c>
      <c r="D81" s="114">
        <f>'01_MASTER_DATABASE'!I135</f>
        <v/>
      </c>
      <c r="E81" s="114">
        <f>'01_MASTER_DATABASE'!G135</f>
        <v/>
      </c>
      <c r="F81" s="113">
        <f>'01_MASTER_DATABASE'!L135</f>
        <v/>
      </c>
    </row>
    <row r="82" ht="25" customHeight="1">
      <c r="A82" s="113">
        <f>'01_MASTER_DATABASE'!A136</f>
        <v/>
      </c>
      <c r="B82" s="114">
        <f>'01_MASTER_DATABASE'!D136</f>
        <v/>
      </c>
      <c r="C82" s="113">
        <f>'01_MASTER_DATABASE'!C136</f>
        <v/>
      </c>
      <c r="D82" s="114">
        <f>'01_MASTER_DATABASE'!I136</f>
        <v/>
      </c>
      <c r="E82" s="114">
        <f>'01_MASTER_DATABASE'!G136</f>
        <v/>
      </c>
      <c r="F82" s="113">
        <f>'01_MASTER_DATABASE'!L136</f>
        <v/>
      </c>
    </row>
    <row r="83" ht="25" customHeight="1">
      <c r="A83" s="113">
        <f>'01_MASTER_DATABASE'!A156</f>
        <v/>
      </c>
      <c r="B83" s="114">
        <f>'01_MASTER_DATABASE'!D156</f>
        <v/>
      </c>
      <c r="C83" s="113">
        <f>'01_MASTER_DATABASE'!C156</f>
        <v/>
      </c>
      <c r="D83" s="114">
        <f>'01_MASTER_DATABASE'!I156</f>
        <v/>
      </c>
      <c r="E83" s="114">
        <f>'01_MASTER_DATABASE'!G156</f>
        <v/>
      </c>
      <c r="F83" s="113">
        <f>'01_MASTER_DATABASE'!L156</f>
        <v/>
      </c>
    </row>
    <row r="84" ht="25" customHeight="1">
      <c r="A84" s="113">
        <f>'01_MASTER_DATABASE'!A163</f>
        <v/>
      </c>
      <c r="B84" s="114">
        <f>'01_MASTER_DATABASE'!D163</f>
        <v/>
      </c>
      <c r="C84" s="113">
        <f>'01_MASTER_DATABASE'!C163</f>
        <v/>
      </c>
      <c r="D84" s="114">
        <f>'01_MASTER_DATABASE'!I163</f>
        <v/>
      </c>
      <c r="E84" s="114">
        <f>'01_MASTER_DATABASE'!G163</f>
        <v/>
      </c>
      <c r="F84" s="113">
        <f>'01_MASTER_DATABASE'!L163</f>
        <v/>
      </c>
    </row>
    <row r="85" ht="25" customHeight="1">
      <c r="A85" s="113">
        <f>'01_MASTER_DATABASE'!A167</f>
        <v/>
      </c>
      <c r="B85" s="114">
        <f>'01_MASTER_DATABASE'!D167</f>
        <v/>
      </c>
      <c r="C85" s="113">
        <f>'01_MASTER_DATABASE'!C167</f>
        <v/>
      </c>
      <c r="D85" s="114">
        <f>'01_MASTER_DATABASE'!I167</f>
        <v/>
      </c>
      <c r="E85" s="114">
        <f>'01_MASTER_DATABASE'!G167</f>
        <v/>
      </c>
      <c r="F85" s="113">
        <f>'01_MASTER_DATABASE'!L167</f>
        <v/>
      </c>
    </row>
    <row r="86" ht="25" customHeight="1">
      <c r="A86" s="113">
        <f>'01_MASTER_DATABASE'!A7</f>
        <v/>
      </c>
      <c r="B86" s="114">
        <f>'01_MASTER_DATABASE'!D7</f>
        <v/>
      </c>
      <c r="C86" s="113">
        <f>'01_MASTER_DATABASE'!C7</f>
        <v/>
      </c>
      <c r="D86" s="114">
        <f>'01_MASTER_DATABASE'!I7</f>
        <v/>
      </c>
      <c r="E86" s="114">
        <f>'01_MASTER_DATABASE'!G7</f>
        <v/>
      </c>
      <c r="F86" s="113">
        <f>'01_MASTER_DATABASE'!L7</f>
        <v/>
      </c>
    </row>
    <row r="87" ht="25" customHeight="1">
      <c r="A87" s="113">
        <f>'01_MASTER_DATABASE'!A14</f>
        <v/>
      </c>
      <c r="B87" s="114">
        <f>'01_MASTER_DATABASE'!D14</f>
        <v/>
      </c>
      <c r="C87" s="113">
        <f>'01_MASTER_DATABASE'!C14</f>
        <v/>
      </c>
      <c r="D87" s="114">
        <f>'01_MASTER_DATABASE'!I14</f>
        <v/>
      </c>
      <c r="E87" s="114">
        <f>'01_MASTER_DATABASE'!G14</f>
        <v/>
      </c>
      <c r="F87" s="113">
        <f>'01_MASTER_DATABASE'!L14</f>
        <v/>
      </c>
    </row>
    <row r="88" ht="25" customHeight="1">
      <c r="A88" s="113">
        <f>'01_MASTER_DATABASE'!A17</f>
        <v/>
      </c>
      <c r="B88" s="114">
        <f>'01_MASTER_DATABASE'!D17</f>
        <v/>
      </c>
      <c r="C88" s="113">
        <f>'01_MASTER_DATABASE'!C17</f>
        <v/>
      </c>
      <c r="D88" s="114">
        <f>'01_MASTER_DATABASE'!I17</f>
        <v/>
      </c>
      <c r="E88" s="114">
        <f>'01_MASTER_DATABASE'!G17</f>
        <v/>
      </c>
      <c r="F88" s="113">
        <f>'01_MASTER_DATABASE'!L17</f>
        <v/>
      </c>
    </row>
    <row r="89" ht="25" customHeight="1">
      <c r="A89" s="113">
        <f>'01_MASTER_DATABASE'!A26</f>
        <v/>
      </c>
      <c r="B89" s="114">
        <f>'01_MASTER_DATABASE'!D26</f>
        <v/>
      </c>
      <c r="C89" s="113">
        <f>'01_MASTER_DATABASE'!C26</f>
        <v/>
      </c>
      <c r="D89" s="114">
        <f>'01_MASTER_DATABASE'!I26</f>
        <v/>
      </c>
      <c r="E89" s="114">
        <f>'01_MASTER_DATABASE'!G26</f>
        <v/>
      </c>
      <c r="F89" s="113">
        <f>'01_MASTER_DATABASE'!L26</f>
        <v/>
      </c>
    </row>
    <row r="90" ht="25" customHeight="1">
      <c r="A90" s="113">
        <f>'01_MASTER_DATABASE'!A28</f>
        <v/>
      </c>
      <c r="B90" s="114">
        <f>'01_MASTER_DATABASE'!D28</f>
        <v/>
      </c>
      <c r="C90" s="113">
        <f>'01_MASTER_DATABASE'!C28</f>
        <v/>
      </c>
      <c r="D90" s="114">
        <f>'01_MASTER_DATABASE'!I28</f>
        <v/>
      </c>
      <c r="E90" s="114">
        <f>'01_MASTER_DATABASE'!G28</f>
        <v/>
      </c>
      <c r="F90" s="113">
        <f>'01_MASTER_DATABASE'!L28</f>
        <v/>
      </c>
    </row>
    <row r="91" ht="25" customHeight="1">
      <c r="A91" s="113">
        <f>'01_MASTER_DATABASE'!A53</f>
        <v/>
      </c>
      <c r="B91" s="114">
        <f>'01_MASTER_DATABASE'!D53</f>
        <v/>
      </c>
      <c r="C91" s="113">
        <f>'01_MASTER_DATABASE'!C53</f>
        <v/>
      </c>
      <c r="D91" s="114">
        <f>'01_MASTER_DATABASE'!I53</f>
        <v/>
      </c>
      <c r="E91" s="114">
        <f>'01_MASTER_DATABASE'!G53</f>
        <v/>
      </c>
      <c r="F91" s="113">
        <f>'01_MASTER_DATABASE'!L53</f>
        <v/>
      </c>
    </row>
    <row r="92" ht="25" customHeight="1">
      <c r="A92" s="113">
        <f>'01_MASTER_DATABASE'!A54</f>
        <v/>
      </c>
      <c r="B92" s="114">
        <f>'01_MASTER_DATABASE'!D54</f>
        <v/>
      </c>
      <c r="C92" s="113">
        <f>'01_MASTER_DATABASE'!C54</f>
        <v/>
      </c>
      <c r="D92" s="114">
        <f>'01_MASTER_DATABASE'!I54</f>
        <v/>
      </c>
      <c r="E92" s="114">
        <f>'01_MASTER_DATABASE'!G54</f>
        <v/>
      </c>
      <c r="F92" s="113">
        <f>'01_MASTER_DATABASE'!L54</f>
        <v/>
      </c>
    </row>
    <row r="93" ht="25" customHeight="1">
      <c r="A93" s="113">
        <f>'01_MASTER_DATABASE'!A59</f>
        <v/>
      </c>
      <c r="B93" s="114">
        <f>'01_MASTER_DATABASE'!D59</f>
        <v/>
      </c>
      <c r="C93" s="113">
        <f>'01_MASTER_DATABASE'!C59</f>
        <v/>
      </c>
      <c r="D93" s="114">
        <f>'01_MASTER_DATABASE'!I59</f>
        <v/>
      </c>
      <c r="E93" s="114">
        <f>'01_MASTER_DATABASE'!G59</f>
        <v/>
      </c>
      <c r="F93" s="113">
        <f>'01_MASTER_DATABASE'!L59</f>
        <v/>
      </c>
    </row>
    <row r="94" ht="25" customHeight="1">
      <c r="A94" s="113">
        <f>'01_MASTER_DATABASE'!A62</f>
        <v/>
      </c>
      <c r="B94" s="114">
        <f>'01_MASTER_DATABASE'!D62</f>
        <v/>
      </c>
      <c r="C94" s="113">
        <f>'01_MASTER_DATABASE'!C62</f>
        <v/>
      </c>
      <c r="D94" s="114">
        <f>'01_MASTER_DATABASE'!I62</f>
        <v/>
      </c>
      <c r="E94" s="114">
        <f>'01_MASTER_DATABASE'!G62</f>
        <v/>
      </c>
      <c r="F94" s="113">
        <f>'01_MASTER_DATABASE'!L62</f>
        <v/>
      </c>
    </row>
    <row r="95" ht="25" customHeight="1">
      <c r="A95" s="113">
        <f>'01_MASTER_DATABASE'!A63</f>
        <v/>
      </c>
      <c r="B95" s="114">
        <f>'01_MASTER_DATABASE'!D63</f>
        <v/>
      </c>
      <c r="C95" s="113">
        <f>'01_MASTER_DATABASE'!C63</f>
        <v/>
      </c>
      <c r="D95" s="114">
        <f>'01_MASTER_DATABASE'!I63</f>
        <v/>
      </c>
      <c r="E95" s="114">
        <f>'01_MASTER_DATABASE'!G63</f>
        <v/>
      </c>
      <c r="F95" s="113">
        <f>'01_MASTER_DATABASE'!L63</f>
        <v/>
      </c>
    </row>
    <row r="96" ht="25" customHeight="1">
      <c r="A96" s="113">
        <f>'01_MASTER_DATABASE'!A64</f>
        <v/>
      </c>
      <c r="B96" s="114">
        <f>'01_MASTER_DATABASE'!D64</f>
        <v/>
      </c>
      <c r="C96" s="113">
        <f>'01_MASTER_DATABASE'!C64</f>
        <v/>
      </c>
      <c r="D96" s="114">
        <f>'01_MASTER_DATABASE'!I64</f>
        <v/>
      </c>
      <c r="E96" s="114">
        <f>'01_MASTER_DATABASE'!G64</f>
        <v/>
      </c>
      <c r="F96" s="113">
        <f>'01_MASTER_DATABASE'!L64</f>
        <v/>
      </c>
    </row>
    <row r="97" ht="25" customHeight="1">
      <c r="A97" s="113">
        <f>'01_MASTER_DATABASE'!A68</f>
        <v/>
      </c>
      <c r="B97" s="114">
        <f>'01_MASTER_DATABASE'!D68</f>
        <v/>
      </c>
      <c r="C97" s="113">
        <f>'01_MASTER_DATABASE'!C68</f>
        <v/>
      </c>
      <c r="D97" s="114">
        <f>'01_MASTER_DATABASE'!I68</f>
        <v/>
      </c>
      <c r="E97" s="114">
        <f>'01_MASTER_DATABASE'!G68</f>
        <v/>
      </c>
      <c r="F97" s="113">
        <f>'01_MASTER_DATABASE'!L68</f>
        <v/>
      </c>
    </row>
    <row r="98" ht="25" customHeight="1">
      <c r="A98" s="113">
        <f>'01_MASTER_DATABASE'!A69</f>
        <v/>
      </c>
      <c r="B98" s="114">
        <f>'01_MASTER_DATABASE'!D69</f>
        <v/>
      </c>
      <c r="C98" s="113">
        <f>'01_MASTER_DATABASE'!C69</f>
        <v/>
      </c>
      <c r="D98" s="114">
        <f>'01_MASTER_DATABASE'!I69</f>
        <v/>
      </c>
      <c r="E98" s="114">
        <f>'01_MASTER_DATABASE'!G69</f>
        <v/>
      </c>
      <c r="F98" s="113">
        <f>'01_MASTER_DATABASE'!L69</f>
        <v/>
      </c>
    </row>
    <row r="99" ht="25" customHeight="1">
      <c r="A99" s="113">
        <f>'01_MASTER_DATABASE'!A71</f>
        <v/>
      </c>
      <c r="B99" s="114">
        <f>'01_MASTER_DATABASE'!D71</f>
        <v/>
      </c>
      <c r="C99" s="113">
        <f>'01_MASTER_DATABASE'!C71</f>
        <v/>
      </c>
      <c r="D99" s="114">
        <f>'01_MASTER_DATABASE'!I71</f>
        <v/>
      </c>
      <c r="E99" s="114">
        <f>'01_MASTER_DATABASE'!G71</f>
        <v/>
      </c>
      <c r="F99" s="113">
        <f>'01_MASTER_DATABASE'!L71</f>
        <v/>
      </c>
    </row>
    <row r="100" ht="25" customHeight="1">
      <c r="A100" s="113">
        <f>'01_MASTER_DATABASE'!A72</f>
        <v/>
      </c>
      <c r="B100" s="114">
        <f>'01_MASTER_DATABASE'!D72</f>
        <v/>
      </c>
      <c r="C100" s="113">
        <f>'01_MASTER_DATABASE'!C72</f>
        <v/>
      </c>
      <c r="D100" s="114">
        <f>'01_MASTER_DATABASE'!I72</f>
        <v/>
      </c>
      <c r="E100" s="114">
        <f>'01_MASTER_DATABASE'!G72</f>
        <v/>
      </c>
      <c r="F100" s="113">
        <f>'01_MASTER_DATABASE'!L72</f>
        <v/>
      </c>
    </row>
    <row r="101" ht="25" customHeight="1">
      <c r="A101" s="113">
        <f>'01_MASTER_DATABASE'!A84</f>
        <v/>
      </c>
      <c r="B101" s="114">
        <f>'01_MASTER_DATABASE'!D84</f>
        <v/>
      </c>
      <c r="C101" s="113">
        <f>'01_MASTER_DATABASE'!C84</f>
        <v/>
      </c>
      <c r="D101" s="114">
        <f>'01_MASTER_DATABASE'!I84</f>
        <v/>
      </c>
      <c r="E101" s="114">
        <f>'01_MASTER_DATABASE'!G84</f>
        <v/>
      </c>
      <c r="F101" s="113">
        <f>'01_MASTER_DATABASE'!L84</f>
        <v/>
      </c>
    </row>
    <row r="102" ht="25" customHeight="1">
      <c r="A102" s="113">
        <f>'01_MASTER_DATABASE'!A86</f>
        <v/>
      </c>
      <c r="B102" s="114">
        <f>'01_MASTER_DATABASE'!D86</f>
        <v/>
      </c>
      <c r="C102" s="113">
        <f>'01_MASTER_DATABASE'!C86</f>
        <v/>
      </c>
      <c r="D102" s="114">
        <f>'01_MASTER_DATABASE'!I86</f>
        <v/>
      </c>
      <c r="E102" s="114">
        <f>'01_MASTER_DATABASE'!G86</f>
        <v/>
      </c>
      <c r="F102" s="113">
        <f>'01_MASTER_DATABASE'!L86</f>
        <v/>
      </c>
    </row>
    <row r="103" ht="25" customHeight="1">
      <c r="A103" s="113">
        <f>'01_MASTER_DATABASE'!A92</f>
        <v/>
      </c>
      <c r="B103" s="114">
        <f>'01_MASTER_DATABASE'!D92</f>
        <v/>
      </c>
      <c r="C103" s="113">
        <f>'01_MASTER_DATABASE'!C92</f>
        <v/>
      </c>
      <c r="D103" s="114">
        <f>'01_MASTER_DATABASE'!I92</f>
        <v/>
      </c>
      <c r="E103" s="114">
        <f>'01_MASTER_DATABASE'!G92</f>
        <v/>
      </c>
      <c r="F103" s="113">
        <f>'01_MASTER_DATABASE'!L92</f>
        <v/>
      </c>
    </row>
    <row r="104" ht="25" customHeight="1">
      <c r="A104" s="113">
        <f>'01_MASTER_DATABASE'!A94</f>
        <v/>
      </c>
      <c r="B104" s="114">
        <f>'01_MASTER_DATABASE'!D94</f>
        <v/>
      </c>
      <c r="C104" s="113">
        <f>'01_MASTER_DATABASE'!C94</f>
        <v/>
      </c>
      <c r="D104" s="114">
        <f>'01_MASTER_DATABASE'!I94</f>
        <v/>
      </c>
      <c r="E104" s="114">
        <f>'01_MASTER_DATABASE'!G94</f>
        <v/>
      </c>
      <c r="F104" s="113">
        <f>'01_MASTER_DATABASE'!L94</f>
        <v/>
      </c>
    </row>
    <row r="105" ht="25" customHeight="1">
      <c r="A105" s="113">
        <f>'01_MASTER_DATABASE'!A98</f>
        <v/>
      </c>
      <c r="B105" s="114">
        <f>'01_MASTER_DATABASE'!D98</f>
        <v/>
      </c>
      <c r="C105" s="113">
        <f>'01_MASTER_DATABASE'!C98</f>
        <v/>
      </c>
      <c r="D105" s="114">
        <f>'01_MASTER_DATABASE'!I98</f>
        <v/>
      </c>
      <c r="E105" s="114">
        <f>'01_MASTER_DATABASE'!G98</f>
        <v/>
      </c>
      <c r="F105" s="113">
        <f>'01_MASTER_DATABASE'!L98</f>
        <v/>
      </c>
    </row>
    <row r="106" ht="25" customHeight="1">
      <c r="A106" s="113">
        <f>'01_MASTER_DATABASE'!A101</f>
        <v/>
      </c>
      <c r="B106" s="114">
        <f>'01_MASTER_DATABASE'!D101</f>
        <v/>
      </c>
      <c r="C106" s="113">
        <f>'01_MASTER_DATABASE'!C101</f>
        <v/>
      </c>
      <c r="D106" s="114">
        <f>'01_MASTER_DATABASE'!I101</f>
        <v/>
      </c>
      <c r="E106" s="114">
        <f>'01_MASTER_DATABASE'!G101</f>
        <v/>
      </c>
      <c r="F106" s="113">
        <f>'01_MASTER_DATABASE'!L101</f>
        <v/>
      </c>
    </row>
    <row r="107" ht="25" customHeight="1">
      <c r="A107" s="113">
        <f>'01_MASTER_DATABASE'!A134</f>
        <v/>
      </c>
      <c r="B107" s="114">
        <f>'01_MASTER_DATABASE'!D134</f>
        <v/>
      </c>
      <c r="C107" s="113">
        <f>'01_MASTER_DATABASE'!C134</f>
        <v/>
      </c>
      <c r="D107" s="114">
        <f>'01_MASTER_DATABASE'!I134</f>
        <v/>
      </c>
      <c r="E107" s="114">
        <f>'01_MASTER_DATABASE'!G134</f>
        <v/>
      </c>
      <c r="F107" s="113">
        <f>'01_MASTER_DATABASE'!L134</f>
        <v/>
      </c>
    </row>
    <row r="108" ht="25" customHeight="1">
      <c r="A108" s="113">
        <f>'01_MASTER_DATABASE'!A144</f>
        <v/>
      </c>
      <c r="B108" s="114">
        <f>'01_MASTER_DATABASE'!D144</f>
        <v/>
      </c>
      <c r="C108" s="113">
        <f>'01_MASTER_DATABASE'!C144</f>
        <v/>
      </c>
      <c r="D108" s="114">
        <f>'01_MASTER_DATABASE'!I144</f>
        <v/>
      </c>
      <c r="E108" s="114">
        <f>'01_MASTER_DATABASE'!G144</f>
        <v/>
      </c>
      <c r="F108" s="113">
        <f>'01_MASTER_DATABASE'!L144</f>
        <v/>
      </c>
    </row>
    <row r="109" ht="25" customHeight="1">
      <c r="A109" s="113">
        <f>'01_MASTER_DATABASE'!A152</f>
        <v/>
      </c>
      <c r="B109" s="114">
        <f>'01_MASTER_DATABASE'!D152</f>
        <v/>
      </c>
      <c r="C109" s="113">
        <f>'01_MASTER_DATABASE'!C152</f>
        <v/>
      </c>
      <c r="D109" s="114">
        <f>'01_MASTER_DATABASE'!I152</f>
        <v/>
      </c>
      <c r="E109" s="114">
        <f>'01_MASTER_DATABASE'!G152</f>
        <v/>
      </c>
      <c r="F109" s="113">
        <f>'01_MASTER_DATABASE'!L152</f>
        <v/>
      </c>
    </row>
    <row r="110" ht="25" customHeight="1">
      <c r="A110" s="113">
        <f>'01_MASTER_DATABASE'!A157</f>
        <v/>
      </c>
      <c r="B110" s="114">
        <f>'01_MASTER_DATABASE'!D157</f>
        <v/>
      </c>
      <c r="C110" s="113">
        <f>'01_MASTER_DATABASE'!C157</f>
        <v/>
      </c>
      <c r="D110" s="114">
        <f>'01_MASTER_DATABASE'!I157</f>
        <v/>
      </c>
      <c r="E110" s="114">
        <f>'01_MASTER_DATABASE'!G157</f>
        <v/>
      </c>
      <c r="F110" s="113">
        <f>'01_MASTER_DATABASE'!L157</f>
        <v/>
      </c>
    </row>
    <row r="111" ht="25" customHeight="1">
      <c r="A111" s="113">
        <f>'01_MASTER_DATABASE'!A6</f>
        <v/>
      </c>
      <c r="B111" s="114">
        <f>'01_MASTER_DATABASE'!D6</f>
        <v/>
      </c>
      <c r="C111" s="113">
        <f>'01_MASTER_DATABASE'!C6</f>
        <v/>
      </c>
      <c r="D111" s="114">
        <f>'01_MASTER_DATABASE'!I6</f>
        <v/>
      </c>
      <c r="E111" s="114">
        <f>'01_MASTER_DATABASE'!G6</f>
        <v/>
      </c>
      <c r="F111" s="113">
        <f>'01_MASTER_DATABASE'!L6</f>
        <v/>
      </c>
    </row>
    <row r="112" ht="25" customHeight="1">
      <c r="A112" s="113">
        <f>'01_MASTER_DATABASE'!A21</f>
        <v/>
      </c>
      <c r="B112" s="114">
        <f>'01_MASTER_DATABASE'!D21</f>
        <v/>
      </c>
      <c r="C112" s="113">
        <f>'01_MASTER_DATABASE'!C21</f>
        <v/>
      </c>
      <c r="D112" s="114">
        <f>'01_MASTER_DATABASE'!I21</f>
        <v/>
      </c>
      <c r="E112" s="114">
        <f>'01_MASTER_DATABASE'!G21</f>
        <v/>
      </c>
      <c r="F112" s="113">
        <f>'01_MASTER_DATABASE'!L21</f>
        <v/>
      </c>
    </row>
    <row r="113" ht="25" customHeight="1">
      <c r="A113" s="113">
        <f>'01_MASTER_DATABASE'!A24</f>
        <v/>
      </c>
      <c r="B113" s="114">
        <f>'01_MASTER_DATABASE'!D24</f>
        <v/>
      </c>
      <c r="C113" s="113">
        <f>'01_MASTER_DATABASE'!C24</f>
        <v/>
      </c>
      <c r="D113" s="114">
        <f>'01_MASTER_DATABASE'!I24</f>
        <v/>
      </c>
      <c r="E113" s="114">
        <f>'01_MASTER_DATABASE'!G24</f>
        <v/>
      </c>
      <c r="F113" s="113">
        <f>'01_MASTER_DATABASE'!L24</f>
        <v/>
      </c>
    </row>
    <row r="114" ht="25" customHeight="1">
      <c r="A114" s="113">
        <f>'01_MASTER_DATABASE'!A39</f>
        <v/>
      </c>
      <c r="B114" s="114">
        <f>'01_MASTER_DATABASE'!D39</f>
        <v/>
      </c>
      <c r="C114" s="113">
        <f>'01_MASTER_DATABASE'!C39</f>
        <v/>
      </c>
      <c r="D114" s="114">
        <f>'01_MASTER_DATABASE'!I39</f>
        <v/>
      </c>
      <c r="E114" s="114">
        <f>'01_MASTER_DATABASE'!G39</f>
        <v/>
      </c>
      <c r="F114" s="113">
        <f>'01_MASTER_DATABASE'!L39</f>
        <v/>
      </c>
    </row>
    <row r="115" ht="25" customHeight="1">
      <c r="A115" s="113">
        <f>'01_MASTER_DATABASE'!A42</f>
        <v/>
      </c>
      <c r="B115" s="114">
        <f>'01_MASTER_DATABASE'!D42</f>
        <v/>
      </c>
      <c r="C115" s="113">
        <f>'01_MASTER_DATABASE'!C42</f>
        <v/>
      </c>
      <c r="D115" s="114">
        <f>'01_MASTER_DATABASE'!I42</f>
        <v/>
      </c>
      <c r="E115" s="114">
        <f>'01_MASTER_DATABASE'!G42</f>
        <v/>
      </c>
      <c r="F115" s="113">
        <f>'01_MASTER_DATABASE'!L42</f>
        <v/>
      </c>
    </row>
    <row r="116" ht="25" customHeight="1">
      <c r="A116" s="113">
        <f>'01_MASTER_DATABASE'!A100</f>
        <v/>
      </c>
      <c r="B116" s="114">
        <f>'01_MASTER_DATABASE'!D100</f>
        <v/>
      </c>
      <c r="C116" s="113">
        <f>'01_MASTER_DATABASE'!C100</f>
        <v/>
      </c>
      <c r="D116" s="114">
        <f>'01_MASTER_DATABASE'!I100</f>
        <v/>
      </c>
      <c r="E116" s="114">
        <f>'01_MASTER_DATABASE'!G100</f>
        <v/>
      </c>
      <c r="F116" s="113">
        <f>'01_MASTER_DATABASE'!L100</f>
        <v/>
      </c>
    </row>
    <row r="117" ht="25" customHeight="1">
      <c r="A117" s="113">
        <f>'01_MASTER_DATABASE'!A103</f>
        <v/>
      </c>
      <c r="B117" s="114">
        <f>'01_MASTER_DATABASE'!D103</f>
        <v/>
      </c>
      <c r="C117" s="113">
        <f>'01_MASTER_DATABASE'!C103</f>
        <v/>
      </c>
      <c r="D117" s="114">
        <f>'01_MASTER_DATABASE'!I103</f>
        <v/>
      </c>
      <c r="E117" s="114">
        <f>'01_MASTER_DATABASE'!G103</f>
        <v/>
      </c>
      <c r="F117" s="113">
        <f>'01_MASTER_DATABASE'!L103</f>
        <v/>
      </c>
    </row>
    <row r="118" ht="25" customHeight="1">
      <c r="A118" s="113">
        <f>'01_MASTER_DATABASE'!A117</f>
        <v/>
      </c>
      <c r="B118" s="114">
        <f>'01_MASTER_DATABASE'!D117</f>
        <v/>
      </c>
      <c r="C118" s="113">
        <f>'01_MASTER_DATABASE'!C117</f>
        <v/>
      </c>
      <c r="D118" s="114">
        <f>'01_MASTER_DATABASE'!I117</f>
        <v/>
      </c>
      <c r="E118" s="114">
        <f>'01_MASTER_DATABASE'!G117</f>
        <v/>
      </c>
      <c r="F118" s="113">
        <f>'01_MASTER_DATABASE'!L117</f>
        <v/>
      </c>
    </row>
    <row r="119" ht="25" customHeight="1">
      <c r="A119" s="113">
        <f>'01_MASTER_DATABASE'!A139</f>
        <v/>
      </c>
      <c r="B119" s="114">
        <f>'01_MASTER_DATABASE'!D139</f>
        <v/>
      </c>
      <c r="C119" s="113">
        <f>'01_MASTER_DATABASE'!C139</f>
        <v/>
      </c>
      <c r="D119" s="114">
        <f>'01_MASTER_DATABASE'!I139</f>
        <v/>
      </c>
      <c r="E119" s="114">
        <f>'01_MASTER_DATABASE'!G139</f>
        <v/>
      </c>
      <c r="F119" s="113">
        <f>'01_MASTER_DATABASE'!L139</f>
        <v/>
      </c>
    </row>
    <row r="120" ht="25" customHeight="1">
      <c r="A120" s="113">
        <f>'01_MASTER_DATABASE'!A9</f>
        <v/>
      </c>
      <c r="B120" s="114">
        <f>'01_MASTER_DATABASE'!D9</f>
        <v/>
      </c>
      <c r="C120" s="113">
        <f>'01_MASTER_DATABASE'!C9</f>
        <v/>
      </c>
      <c r="D120" s="114">
        <f>'01_MASTER_DATABASE'!I9</f>
        <v/>
      </c>
      <c r="E120" s="114">
        <f>'01_MASTER_DATABASE'!G9</f>
        <v/>
      </c>
      <c r="F120" s="113">
        <f>'01_MASTER_DATABASE'!L9</f>
        <v/>
      </c>
    </row>
    <row r="121" ht="25" customHeight="1">
      <c r="A121" s="113">
        <f>'01_MASTER_DATABASE'!A13</f>
        <v/>
      </c>
      <c r="B121" s="114">
        <f>'01_MASTER_DATABASE'!D13</f>
        <v/>
      </c>
      <c r="C121" s="113">
        <f>'01_MASTER_DATABASE'!C13</f>
        <v/>
      </c>
      <c r="D121" s="114">
        <f>'01_MASTER_DATABASE'!I13</f>
        <v/>
      </c>
      <c r="E121" s="114">
        <f>'01_MASTER_DATABASE'!G13</f>
        <v/>
      </c>
      <c r="F121" s="113">
        <f>'01_MASTER_DATABASE'!L13</f>
        <v/>
      </c>
    </row>
    <row r="122" ht="25" customHeight="1">
      <c r="A122" s="113">
        <f>'01_MASTER_DATABASE'!A18</f>
        <v/>
      </c>
      <c r="B122" s="114">
        <f>'01_MASTER_DATABASE'!D18</f>
        <v/>
      </c>
      <c r="C122" s="113">
        <f>'01_MASTER_DATABASE'!C18</f>
        <v/>
      </c>
      <c r="D122" s="114">
        <f>'01_MASTER_DATABASE'!I18</f>
        <v/>
      </c>
      <c r="E122" s="114">
        <f>'01_MASTER_DATABASE'!G18</f>
        <v/>
      </c>
      <c r="F122" s="113">
        <f>'01_MASTER_DATABASE'!L18</f>
        <v/>
      </c>
    </row>
    <row r="123" ht="25" customHeight="1">
      <c r="A123" s="113">
        <f>'01_MASTER_DATABASE'!A29</f>
        <v/>
      </c>
      <c r="B123" s="114">
        <f>'01_MASTER_DATABASE'!D29</f>
        <v/>
      </c>
      <c r="C123" s="113">
        <f>'01_MASTER_DATABASE'!C29</f>
        <v/>
      </c>
      <c r="D123" s="114">
        <f>'01_MASTER_DATABASE'!I29</f>
        <v/>
      </c>
      <c r="E123" s="114">
        <f>'01_MASTER_DATABASE'!G29</f>
        <v/>
      </c>
      <c r="F123" s="113">
        <f>'01_MASTER_DATABASE'!L29</f>
        <v/>
      </c>
    </row>
    <row r="124" ht="25" customHeight="1">
      <c r="A124" s="113">
        <f>'01_MASTER_DATABASE'!A31</f>
        <v/>
      </c>
      <c r="B124" s="114">
        <f>'01_MASTER_DATABASE'!D31</f>
        <v/>
      </c>
      <c r="C124" s="113">
        <f>'01_MASTER_DATABASE'!C31</f>
        <v/>
      </c>
      <c r="D124" s="114">
        <f>'01_MASTER_DATABASE'!I31</f>
        <v/>
      </c>
      <c r="E124" s="114">
        <f>'01_MASTER_DATABASE'!G31</f>
        <v/>
      </c>
      <c r="F124" s="113">
        <f>'01_MASTER_DATABASE'!L31</f>
        <v/>
      </c>
    </row>
    <row r="125" ht="25" customHeight="1">
      <c r="A125" s="113">
        <f>'01_MASTER_DATABASE'!A52</f>
        <v/>
      </c>
      <c r="B125" s="114">
        <f>'01_MASTER_DATABASE'!D52</f>
        <v/>
      </c>
      <c r="C125" s="113">
        <f>'01_MASTER_DATABASE'!C52</f>
        <v/>
      </c>
      <c r="D125" s="114">
        <f>'01_MASTER_DATABASE'!I52</f>
        <v/>
      </c>
      <c r="E125" s="114">
        <f>'01_MASTER_DATABASE'!G52</f>
        <v/>
      </c>
      <c r="F125" s="113">
        <f>'01_MASTER_DATABASE'!L52</f>
        <v/>
      </c>
    </row>
    <row r="126" ht="25" customHeight="1">
      <c r="A126" s="113">
        <f>'01_MASTER_DATABASE'!A58</f>
        <v/>
      </c>
      <c r="B126" s="114">
        <f>'01_MASTER_DATABASE'!D58</f>
        <v/>
      </c>
      <c r="C126" s="113">
        <f>'01_MASTER_DATABASE'!C58</f>
        <v/>
      </c>
      <c r="D126" s="114">
        <f>'01_MASTER_DATABASE'!I58</f>
        <v/>
      </c>
      <c r="E126" s="114">
        <f>'01_MASTER_DATABASE'!G58</f>
        <v/>
      </c>
      <c r="F126" s="113">
        <f>'01_MASTER_DATABASE'!L58</f>
        <v/>
      </c>
    </row>
    <row r="127" ht="25" customHeight="1">
      <c r="A127" s="113">
        <f>'01_MASTER_DATABASE'!A78</f>
        <v/>
      </c>
      <c r="B127" s="114">
        <f>'01_MASTER_DATABASE'!D78</f>
        <v/>
      </c>
      <c r="C127" s="113">
        <f>'01_MASTER_DATABASE'!C78</f>
        <v/>
      </c>
      <c r="D127" s="114">
        <f>'01_MASTER_DATABASE'!I78</f>
        <v/>
      </c>
      <c r="E127" s="114">
        <f>'01_MASTER_DATABASE'!G78</f>
        <v/>
      </c>
      <c r="F127" s="113">
        <f>'01_MASTER_DATABASE'!L78</f>
        <v/>
      </c>
    </row>
    <row r="128" ht="25" customHeight="1">
      <c r="A128" s="113">
        <f>'01_MASTER_DATABASE'!A79</f>
        <v/>
      </c>
      <c r="B128" s="114">
        <f>'01_MASTER_DATABASE'!D79</f>
        <v/>
      </c>
      <c r="C128" s="113">
        <f>'01_MASTER_DATABASE'!C79</f>
        <v/>
      </c>
      <c r="D128" s="114">
        <f>'01_MASTER_DATABASE'!I79</f>
        <v/>
      </c>
      <c r="E128" s="114">
        <f>'01_MASTER_DATABASE'!G79</f>
        <v/>
      </c>
      <c r="F128" s="113">
        <f>'01_MASTER_DATABASE'!L79</f>
        <v/>
      </c>
    </row>
    <row r="129" ht="25" customHeight="1">
      <c r="A129" s="113">
        <f>'01_MASTER_DATABASE'!A88</f>
        <v/>
      </c>
      <c r="B129" s="114">
        <f>'01_MASTER_DATABASE'!D88</f>
        <v/>
      </c>
      <c r="C129" s="113">
        <f>'01_MASTER_DATABASE'!C88</f>
        <v/>
      </c>
      <c r="D129" s="114">
        <f>'01_MASTER_DATABASE'!I88</f>
        <v/>
      </c>
      <c r="E129" s="114">
        <f>'01_MASTER_DATABASE'!G88</f>
        <v/>
      </c>
      <c r="F129" s="113">
        <f>'01_MASTER_DATABASE'!L88</f>
        <v/>
      </c>
    </row>
    <row r="130" ht="25" customHeight="1">
      <c r="A130" s="113">
        <f>'01_MASTER_DATABASE'!A91</f>
        <v/>
      </c>
      <c r="B130" s="114">
        <f>'01_MASTER_DATABASE'!D91</f>
        <v/>
      </c>
      <c r="C130" s="113">
        <f>'01_MASTER_DATABASE'!C91</f>
        <v/>
      </c>
      <c r="D130" s="114">
        <f>'01_MASTER_DATABASE'!I91</f>
        <v/>
      </c>
      <c r="E130" s="114">
        <f>'01_MASTER_DATABASE'!G91</f>
        <v/>
      </c>
      <c r="F130" s="113">
        <f>'01_MASTER_DATABASE'!L91</f>
        <v/>
      </c>
    </row>
    <row r="131" ht="25" customHeight="1">
      <c r="A131" s="113">
        <f>'01_MASTER_DATABASE'!A99</f>
        <v/>
      </c>
      <c r="B131" s="114">
        <f>'01_MASTER_DATABASE'!D99</f>
        <v/>
      </c>
      <c r="C131" s="113">
        <f>'01_MASTER_DATABASE'!C99</f>
        <v/>
      </c>
      <c r="D131" s="114">
        <f>'01_MASTER_DATABASE'!I99</f>
        <v/>
      </c>
      <c r="E131" s="114">
        <f>'01_MASTER_DATABASE'!G99</f>
        <v/>
      </c>
      <c r="F131" s="113">
        <f>'01_MASTER_DATABASE'!L99</f>
        <v/>
      </c>
    </row>
    <row r="132" ht="25" customHeight="1">
      <c r="A132" s="113">
        <f>'01_MASTER_DATABASE'!A114</f>
        <v/>
      </c>
      <c r="B132" s="114">
        <f>'01_MASTER_DATABASE'!D114</f>
        <v/>
      </c>
      <c r="C132" s="113">
        <f>'01_MASTER_DATABASE'!C114</f>
        <v/>
      </c>
      <c r="D132" s="114">
        <f>'01_MASTER_DATABASE'!I114</f>
        <v/>
      </c>
      <c r="E132" s="114">
        <f>'01_MASTER_DATABASE'!G114</f>
        <v/>
      </c>
      <c r="F132" s="113">
        <f>'01_MASTER_DATABASE'!L114</f>
        <v/>
      </c>
    </row>
    <row r="133" ht="25" customHeight="1">
      <c r="A133" s="113">
        <f>'01_MASTER_DATABASE'!A121</f>
        <v/>
      </c>
      <c r="B133" s="114">
        <f>'01_MASTER_DATABASE'!D121</f>
        <v/>
      </c>
      <c r="C133" s="113">
        <f>'01_MASTER_DATABASE'!C121</f>
        <v/>
      </c>
      <c r="D133" s="114">
        <f>'01_MASTER_DATABASE'!I121</f>
        <v/>
      </c>
      <c r="E133" s="114">
        <f>'01_MASTER_DATABASE'!G121</f>
        <v/>
      </c>
      <c r="F133" s="113">
        <f>'01_MASTER_DATABASE'!L121</f>
        <v/>
      </c>
    </row>
    <row r="134" ht="25" customHeight="1">
      <c r="A134" s="113">
        <f>'01_MASTER_DATABASE'!A122</f>
        <v/>
      </c>
      <c r="B134" s="114">
        <f>'01_MASTER_DATABASE'!D122</f>
        <v/>
      </c>
      <c r="C134" s="113">
        <f>'01_MASTER_DATABASE'!C122</f>
        <v/>
      </c>
      <c r="D134" s="114">
        <f>'01_MASTER_DATABASE'!I122</f>
        <v/>
      </c>
      <c r="E134" s="114">
        <f>'01_MASTER_DATABASE'!G122</f>
        <v/>
      </c>
      <c r="F134" s="113">
        <f>'01_MASTER_DATABASE'!L122</f>
        <v/>
      </c>
    </row>
    <row r="135" ht="25" customHeight="1">
      <c r="A135" s="113">
        <f>'01_MASTER_DATABASE'!A124</f>
        <v/>
      </c>
      <c r="B135" s="114">
        <f>'01_MASTER_DATABASE'!D124</f>
        <v/>
      </c>
      <c r="C135" s="113">
        <f>'01_MASTER_DATABASE'!C124</f>
        <v/>
      </c>
      <c r="D135" s="114">
        <f>'01_MASTER_DATABASE'!I124</f>
        <v/>
      </c>
      <c r="E135" s="114">
        <f>'01_MASTER_DATABASE'!G124</f>
        <v/>
      </c>
      <c r="F135" s="113">
        <f>'01_MASTER_DATABASE'!L124</f>
        <v/>
      </c>
    </row>
    <row r="136" ht="25" customHeight="1">
      <c r="A136" s="113">
        <f>'01_MASTER_DATABASE'!A125</f>
        <v/>
      </c>
      <c r="B136" s="114">
        <f>'01_MASTER_DATABASE'!D125</f>
        <v/>
      </c>
      <c r="C136" s="113">
        <f>'01_MASTER_DATABASE'!C125</f>
        <v/>
      </c>
      <c r="D136" s="114">
        <f>'01_MASTER_DATABASE'!I125</f>
        <v/>
      </c>
      <c r="E136" s="114">
        <f>'01_MASTER_DATABASE'!G125</f>
        <v/>
      </c>
      <c r="F136" s="113">
        <f>'01_MASTER_DATABASE'!L125</f>
        <v/>
      </c>
    </row>
    <row r="137" ht="25" customHeight="1">
      <c r="A137" s="113">
        <f>'01_MASTER_DATABASE'!A126</f>
        <v/>
      </c>
      <c r="B137" s="114">
        <f>'01_MASTER_DATABASE'!D126</f>
        <v/>
      </c>
      <c r="C137" s="113">
        <f>'01_MASTER_DATABASE'!C126</f>
        <v/>
      </c>
      <c r="D137" s="114">
        <f>'01_MASTER_DATABASE'!I126</f>
        <v/>
      </c>
      <c r="E137" s="114">
        <f>'01_MASTER_DATABASE'!G126</f>
        <v/>
      </c>
      <c r="F137" s="113">
        <f>'01_MASTER_DATABASE'!L126</f>
        <v/>
      </c>
    </row>
    <row r="138" ht="25" customHeight="1">
      <c r="A138" s="113">
        <f>'01_MASTER_DATABASE'!A128</f>
        <v/>
      </c>
      <c r="B138" s="114">
        <f>'01_MASTER_DATABASE'!D128</f>
        <v/>
      </c>
      <c r="C138" s="113">
        <f>'01_MASTER_DATABASE'!C128</f>
        <v/>
      </c>
      <c r="D138" s="114">
        <f>'01_MASTER_DATABASE'!I128</f>
        <v/>
      </c>
      <c r="E138" s="114">
        <f>'01_MASTER_DATABASE'!G128</f>
        <v/>
      </c>
      <c r="F138" s="113">
        <f>'01_MASTER_DATABASE'!L128</f>
        <v/>
      </c>
    </row>
    <row r="139" ht="25" customHeight="1">
      <c r="A139" s="113">
        <f>'01_MASTER_DATABASE'!A130</f>
        <v/>
      </c>
      <c r="B139" s="114">
        <f>'01_MASTER_DATABASE'!D130</f>
        <v/>
      </c>
      <c r="C139" s="113">
        <f>'01_MASTER_DATABASE'!C130</f>
        <v/>
      </c>
      <c r="D139" s="114">
        <f>'01_MASTER_DATABASE'!I130</f>
        <v/>
      </c>
      <c r="E139" s="114">
        <f>'01_MASTER_DATABASE'!G130</f>
        <v/>
      </c>
      <c r="F139" s="113">
        <f>'01_MASTER_DATABASE'!L130</f>
        <v/>
      </c>
    </row>
    <row r="140" ht="25" customHeight="1">
      <c r="A140" s="113">
        <f>'01_MASTER_DATABASE'!A131</f>
        <v/>
      </c>
      <c r="B140" s="114">
        <f>'01_MASTER_DATABASE'!D131</f>
        <v/>
      </c>
      <c r="C140" s="113">
        <f>'01_MASTER_DATABASE'!C131</f>
        <v/>
      </c>
      <c r="D140" s="114">
        <f>'01_MASTER_DATABASE'!I131</f>
        <v/>
      </c>
      <c r="E140" s="114">
        <f>'01_MASTER_DATABASE'!G131</f>
        <v/>
      </c>
      <c r="F140" s="113">
        <f>'01_MASTER_DATABASE'!L131</f>
        <v/>
      </c>
    </row>
    <row r="141" ht="25" customHeight="1">
      <c r="A141" s="113">
        <f>'01_MASTER_DATABASE'!A143</f>
        <v/>
      </c>
      <c r="B141" s="114">
        <f>'01_MASTER_DATABASE'!D143</f>
        <v/>
      </c>
      <c r="C141" s="113">
        <f>'01_MASTER_DATABASE'!C143</f>
        <v/>
      </c>
      <c r="D141" s="114">
        <f>'01_MASTER_DATABASE'!I143</f>
        <v/>
      </c>
      <c r="E141" s="114">
        <f>'01_MASTER_DATABASE'!G143</f>
        <v/>
      </c>
      <c r="F141" s="113">
        <f>'01_MASTER_DATABASE'!L143</f>
        <v/>
      </c>
    </row>
    <row r="142" ht="25" customHeight="1">
      <c r="A142" s="113">
        <f>'01_MASTER_DATABASE'!A148</f>
        <v/>
      </c>
      <c r="B142" s="114">
        <f>'01_MASTER_DATABASE'!D148</f>
        <v/>
      </c>
      <c r="C142" s="113">
        <f>'01_MASTER_DATABASE'!C148</f>
        <v/>
      </c>
      <c r="D142" s="114">
        <f>'01_MASTER_DATABASE'!I148</f>
        <v/>
      </c>
      <c r="E142" s="114">
        <f>'01_MASTER_DATABASE'!G148</f>
        <v/>
      </c>
      <c r="F142" s="113">
        <f>'01_MASTER_DATABASE'!L148</f>
        <v/>
      </c>
    </row>
    <row r="143" ht="25" customHeight="1">
      <c r="A143" s="113">
        <f>'01_MASTER_DATABASE'!A151</f>
        <v/>
      </c>
      <c r="B143" s="114">
        <f>'01_MASTER_DATABASE'!D151</f>
        <v/>
      </c>
      <c r="C143" s="113">
        <f>'01_MASTER_DATABASE'!C151</f>
        <v/>
      </c>
      <c r="D143" s="114">
        <f>'01_MASTER_DATABASE'!I151</f>
        <v/>
      </c>
      <c r="E143" s="114">
        <f>'01_MASTER_DATABASE'!G151</f>
        <v/>
      </c>
      <c r="F143" s="113">
        <f>'01_MASTER_DATABASE'!L151</f>
        <v/>
      </c>
    </row>
    <row r="144" ht="25" customHeight="1">
      <c r="A144" s="113">
        <f>'01_MASTER_DATABASE'!A10</f>
        <v/>
      </c>
      <c r="B144" s="114">
        <f>'01_MASTER_DATABASE'!D10</f>
        <v/>
      </c>
      <c r="C144" s="113">
        <f>'01_MASTER_DATABASE'!C10</f>
        <v/>
      </c>
      <c r="D144" s="114">
        <f>'01_MASTER_DATABASE'!I10</f>
        <v/>
      </c>
      <c r="E144" s="114">
        <f>'01_MASTER_DATABASE'!G10</f>
        <v/>
      </c>
      <c r="F144" s="113">
        <f>'01_MASTER_DATABASE'!L10</f>
        <v/>
      </c>
    </row>
    <row r="145" ht="25" customHeight="1">
      <c r="A145" s="113">
        <f>'01_MASTER_DATABASE'!A30</f>
        <v/>
      </c>
      <c r="B145" s="114">
        <f>'01_MASTER_DATABASE'!D30</f>
        <v/>
      </c>
      <c r="C145" s="113">
        <f>'01_MASTER_DATABASE'!C30</f>
        <v/>
      </c>
      <c r="D145" s="114">
        <f>'01_MASTER_DATABASE'!I30</f>
        <v/>
      </c>
      <c r="E145" s="114">
        <f>'01_MASTER_DATABASE'!G30</f>
        <v/>
      </c>
      <c r="F145" s="113">
        <f>'01_MASTER_DATABASE'!L30</f>
        <v/>
      </c>
    </row>
    <row r="146" ht="25" customHeight="1">
      <c r="A146" s="113">
        <f>'01_MASTER_DATABASE'!A95</f>
        <v/>
      </c>
      <c r="B146" s="114">
        <f>'01_MASTER_DATABASE'!D95</f>
        <v/>
      </c>
      <c r="C146" s="113">
        <f>'01_MASTER_DATABASE'!C95</f>
        <v/>
      </c>
      <c r="D146" s="114">
        <f>'01_MASTER_DATABASE'!I95</f>
        <v/>
      </c>
      <c r="E146" s="114">
        <f>'01_MASTER_DATABASE'!G95</f>
        <v/>
      </c>
      <c r="F146" s="113">
        <f>'01_MASTER_DATABASE'!L95</f>
        <v/>
      </c>
    </row>
    <row r="147" ht="25" customHeight="1">
      <c r="A147" s="113">
        <f>'01_MASTER_DATABASE'!A96</f>
        <v/>
      </c>
      <c r="B147" s="114">
        <f>'01_MASTER_DATABASE'!D96</f>
        <v/>
      </c>
      <c r="C147" s="113">
        <f>'01_MASTER_DATABASE'!C96</f>
        <v/>
      </c>
      <c r="D147" s="114">
        <f>'01_MASTER_DATABASE'!I96</f>
        <v/>
      </c>
      <c r="E147" s="114">
        <f>'01_MASTER_DATABASE'!G96</f>
        <v/>
      </c>
      <c r="F147" s="113">
        <f>'01_MASTER_DATABASE'!L96</f>
        <v/>
      </c>
    </row>
    <row r="148" ht="25" customHeight="1">
      <c r="A148" s="113">
        <f>'01_MASTER_DATABASE'!A97</f>
        <v/>
      </c>
      <c r="B148" s="114">
        <f>'01_MASTER_DATABASE'!D97</f>
        <v/>
      </c>
      <c r="C148" s="113">
        <f>'01_MASTER_DATABASE'!C97</f>
        <v/>
      </c>
      <c r="D148" s="114">
        <f>'01_MASTER_DATABASE'!I97</f>
        <v/>
      </c>
      <c r="E148" s="114">
        <f>'01_MASTER_DATABASE'!G97</f>
        <v/>
      </c>
      <c r="F148" s="113">
        <f>'01_MASTER_DATABASE'!L97</f>
        <v/>
      </c>
    </row>
    <row r="149" ht="25" customHeight="1">
      <c r="A149" s="113">
        <f>'01_MASTER_DATABASE'!A2</f>
        <v/>
      </c>
      <c r="B149" s="114">
        <f>'01_MASTER_DATABASE'!D2</f>
        <v/>
      </c>
      <c r="C149" s="113">
        <f>'01_MASTER_DATABASE'!C2</f>
        <v/>
      </c>
      <c r="D149" s="114">
        <f>'01_MASTER_DATABASE'!I2</f>
        <v/>
      </c>
      <c r="E149" s="114">
        <f>'01_MASTER_DATABASE'!G2</f>
        <v/>
      </c>
      <c r="F149" s="113">
        <f>'01_MASTER_DATABASE'!L2</f>
        <v/>
      </c>
    </row>
    <row r="150" ht="25" customHeight="1">
      <c r="A150" s="113">
        <f>'01_MASTER_DATABASE'!A5</f>
        <v/>
      </c>
      <c r="B150" s="114">
        <f>'01_MASTER_DATABASE'!D5</f>
        <v/>
      </c>
      <c r="C150" s="113">
        <f>'01_MASTER_DATABASE'!C5</f>
        <v/>
      </c>
      <c r="D150" s="114">
        <f>'01_MASTER_DATABASE'!I5</f>
        <v/>
      </c>
      <c r="E150" s="114">
        <f>'01_MASTER_DATABASE'!G5</f>
        <v/>
      </c>
      <c r="F150" s="113">
        <f>'01_MASTER_DATABASE'!L5</f>
        <v/>
      </c>
    </row>
    <row r="151" ht="25" customHeight="1">
      <c r="A151" s="113">
        <f>'01_MASTER_DATABASE'!A8</f>
        <v/>
      </c>
      <c r="B151" s="114">
        <f>'01_MASTER_DATABASE'!D8</f>
        <v/>
      </c>
      <c r="C151" s="113">
        <f>'01_MASTER_DATABASE'!C8</f>
        <v/>
      </c>
      <c r="D151" s="114">
        <f>'01_MASTER_DATABASE'!I8</f>
        <v/>
      </c>
      <c r="E151" s="114">
        <f>'01_MASTER_DATABASE'!G8</f>
        <v/>
      </c>
      <c r="F151" s="113">
        <f>'01_MASTER_DATABASE'!L8</f>
        <v/>
      </c>
    </row>
    <row r="152" ht="25" customHeight="1">
      <c r="A152" s="113">
        <f>'01_MASTER_DATABASE'!A23</f>
        <v/>
      </c>
      <c r="B152" s="114">
        <f>'01_MASTER_DATABASE'!D23</f>
        <v/>
      </c>
      <c r="C152" s="113">
        <f>'01_MASTER_DATABASE'!C23</f>
        <v/>
      </c>
      <c r="D152" s="114">
        <f>'01_MASTER_DATABASE'!I23</f>
        <v/>
      </c>
      <c r="E152" s="114">
        <f>'01_MASTER_DATABASE'!G23</f>
        <v/>
      </c>
      <c r="F152" s="113">
        <f>'01_MASTER_DATABASE'!L23</f>
        <v/>
      </c>
    </row>
    <row r="153" ht="25" customHeight="1">
      <c r="A153" s="113">
        <f>'01_MASTER_DATABASE'!A85</f>
        <v/>
      </c>
      <c r="B153" s="114">
        <f>'01_MASTER_DATABASE'!D85</f>
        <v/>
      </c>
      <c r="C153" s="113">
        <f>'01_MASTER_DATABASE'!C85</f>
        <v/>
      </c>
      <c r="D153" s="114">
        <f>'01_MASTER_DATABASE'!I85</f>
        <v/>
      </c>
      <c r="E153" s="114">
        <f>'01_MASTER_DATABASE'!G85</f>
        <v/>
      </c>
      <c r="F153" s="113">
        <f>'01_MASTER_DATABASE'!L85</f>
        <v/>
      </c>
    </row>
    <row r="154" ht="25" customHeight="1">
      <c r="A154" s="113">
        <f>'01_MASTER_DATABASE'!A87</f>
        <v/>
      </c>
      <c r="B154" s="114">
        <f>'01_MASTER_DATABASE'!D87</f>
        <v/>
      </c>
      <c r="C154" s="113">
        <f>'01_MASTER_DATABASE'!C87</f>
        <v/>
      </c>
      <c r="D154" s="114">
        <f>'01_MASTER_DATABASE'!I87</f>
        <v/>
      </c>
      <c r="E154" s="114">
        <f>'01_MASTER_DATABASE'!G87</f>
        <v/>
      </c>
      <c r="F154" s="113">
        <f>'01_MASTER_DATABASE'!L87</f>
        <v/>
      </c>
    </row>
    <row r="155" ht="25" customHeight="1">
      <c r="A155" s="113">
        <f>'01_MASTER_DATABASE'!A90</f>
        <v/>
      </c>
      <c r="B155" s="114">
        <f>'01_MASTER_DATABASE'!D90</f>
        <v/>
      </c>
      <c r="C155" s="113">
        <f>'01_MASTER_DATABASE'!C90</f>
        <v/>
      </c>
      <c r="D155" s="114">
        <f>'01_MASTER_DATABASE'!I90</f>
        <v/>
      </c>
      <c r="E155" s="114">
        <f>'01_MASTER_DATABASE'!G90</f>
        <v/>
      </c>
      <c r="F155" s="113">
        <f>'01_MASTER_DATABASE'!L90</f>
        <v/>
      </c>
    </row>
    <row r="156" ht="25" customHeight="1">
      <c r="A156" s="113">
        <f>'01_MASTER_DATABASE'!A116</f>
        <v/>
      </c>
      <c r="B156" s="114">
        <f>'01_MASTER_DATABASE'!D116</f>
        <v/>
      </c>
      <c r="C156" s="113">
        <f>'01_MASTER_DATABASE'!C116</f>
        <v/>
      </c>
      <c r="D156" s="114">
        <f>'01_MASTER_DATABASE'!I116</f>
        <v/>
      </c>
      <c r="E156" s="114">
        <f>'01_MASTER_DATABASE'!G116</f>
        <v/>
      </c>
      <c r="F156" s="113">
        <f>'01_MASTER_DATABASE'!L116</f>
        <v/>
      </c>
    </row>
    <row r="157" ht="25" customHeight="1">
      <c r="A157" s="113">
        <f>'01_MASTER_DATABASE'!A120</f>
        <v/>
      </c>
      <c r="B157" s="114">
        <f>'01_MASTER_DATABASE'!D120</f>
        <v/>
      </c>
      <c r="C157" s="113">
        <f>'01_MASTER_DATABASE'!C120</f>
        <v/>
      </c>
      <c r="D157" s="114">
        <f>'01_MASTER_DATABASE'!I120</f>
        <v/>
      </c>
      <c r="E157" s="114">
        <f>'01_MASTER_DATABASE'!G120</f>
        <v/>
      </c>
      <c r="F157" s="113">
        <f>'01_MASTER_DATABASE'!L120</f>
        <v/>
      </c>
    </row>
    <row r="158" ht="25" customHeight="1">
      <c r="A158" s="113">
        <f>'01_MASTER_DATABASE'!A137</f>
        <v/>
      </c>
      <c r="B158" s="114">
        <f>'01_MASTER_DATABASE'!D137</f>
        <v/>
      </c>
      <c r="C158" s="113">
        <f>'01_MASTER_DATABASE'!C137</f>
        <v/>
      </c>
      <c r="D158" s="114">
        <f>'01_MASTER_DATABASE'!I137</f>
        <v/>
      </c>
      <c r="E158" s="114">
        <f>'01_MASTER_DATABASE'!G137</f>
        <v/>
      </c>
      <c r="F158" s="113">
        <f>'01_MASTER_DATABASE'!L137</f>
        <v/>
      </c>
    </row>
    <row r="159" ht="25" customHeight="1">
      <c r="A159" s="113">
        <f>'01_MASTER_DATABASE'!A138</f>
        <v/>
      </c>
      <c r="B159" s="114">
        <f>'01_MASTER_DATABASE'!D138</f>
        <v/>
      </c>
      <c r="C159" s="113">
        <f>'01_MASTER_DATABASE'!C138</f>
        <v/>
      </c>
      <c r="D159" s="114">
        <f>'01_MASTER_DATABASE'!I138</f>
        <v/>
      </c>
      <c r="E159" s="114">
        <f>'01_MASTER_DATABASE'!G138</f>
        <v/>
      </c>
      <c r="F159" s="113">
        <f>'01_MASTER_DATABASE'!L138</f>
        <v/>
      </c>
    </row>
    <row r="160" ht="25" customHeight="1">
      <c r="A160" s="113">
        <f>'01_MASTER_DATABASE'!A141</f>
        <v/>
      </c>
      <c r="B160" s="114">
        <f>'01_MASTER_DATABASE'!D141</f>
        <v/>
      </c>
      <c r="C160" s="113">
        <f>'01_MASTER_DATABASE'!C141</f>
        <v/>
      </c>
      <c r="D160" s="114">
        <f>'01_MASTER_DATABASE'!I141</f>
        <v/>
      </c>
      <c r="E160" s="114">
        <f>'01_MASTER_DATABASE'!G141</f>
        <v/>
      </c>
      <c r="F160" s="113">
        <f>'01_MASTER_DATABASE'!L141</f>
        <v/>
      </c>
    </row>
    <row r="161" ht="25" customHeight="1">
      <c r="A161" s="113">
        <f>'01_MASTER_DATABASE'!A147</f>
        <v/>
      </c>
      <c r="B161" s="114">
        <f>'01_MASTER_DATABASE'!D147</f>
        <v/>
      </c>
      <c r="C161" s="113">
        <f>'01_MASTER_DATABASE'!C147</f>
        <v/>
      </c>
      <c r="D161" s="114">
        <f>'01_MASTER_DATABASE'!I147</f>
        <v/>
      </c>
      <c r="E161" s="114">
        <f>'01_MASTER_DATABASE'!G147</f>
        <v/>
      </c>
      <c r="F161" s="113">
        <f>'01_MASTER_DATABASE'!L147</f>
        <v/>
      </c>
    </row>
    <row r="162" ht="25" customHeight="1">
      <c r="A162" s="113">
        <f>'01_MASTER_DATABASE'!A150</f>
        <v/>
      </c>
      <c r="B162" s="114">
        <f>'01_MASTER_DATABASE'!D150</f>
        <v/>
      </c>
      <c r="C162" s="113">
        <f>'01_MASTER_DATABASE'!C150</f>
        <v/>
      </c>
      <c r="D162" s="114">
        <f>'01_MASTER_DATABASE'!I150</f>
        <v/>
      </c>
      <c r="E162" s="114">
        <f>'01_MASTER_DATABASE'!G150</f>
        <v/>
      </c>
      <c r="F162" s="113">
        <f>'01_MASTER_DATABASE'!L150</f>
        <v/>
      </c>
    </row>
    <row r="163" ht="25" customHeight="1">
      <c r="A163" s="113">
        <f>'01_MASTER_DATABASE'!A154</f>
        <v/>
      </c>
      <c r="B163" s="114">
        <f>'01_MASTER_DATABASE'!D154</f>
        <v/>
      </c>
      <c r="C163" s="113">
        <f>'01_MASTER_DATABASE'!C154</f>
        <v/>
      </c>
      <c r="D163" s="114">
        <f>'01_MASTER_DATABASE'!I154</f>
        <v/>
      </c>
      <c r="E163" s="114">
        <f>'01_MASTER_DATABASE'!G154</f>
        <v/>
      </c>
      <c r="F163" s="113">
        <f>'01_MASTER_DATABASE'!L154</f>
        <v/>
      </c>
    </row>
    <row r="164" ht="25" customHeight="1">
      <c r="A164" s="113">
        <f>'01_MASTER_DATABASE'!A162</f>
        <v/>
      </c>
      <c r="B164" s="114">
        <f>'01_MASTER_DATABASE'!D162</f>
        <v/>
      </c>
      <c r="C164" s="113">
        <f>'01_MASTER_DATABASE'!C162</f>
        <v/>
      </c>
      <c r="D164" s="114">
        <f>'01_MASTER_DATABASE'!I162</f>
        <v/>
      </c>
      <c r="E164" s="114">
        <f>'01_MASTER_DATABASE'!G162</f>
        <v/>
      </c>
      <c r="F164" s="113">
        <f>'01_MASTER_DATABASE'!L162</f>
        <v/>
      </c>
    </row>
    <row r="165" ht="25" customHeight="1">
      <c r="A165" s="113">
        <f>'01_MASTER_DATABASE'!A3</f>
        <v/>
      </c>
      <c r="B165" s="114">
        <f>'01_MASTER_DATABASE'!D3</f>
        <v/>
      </c>
      <c r="C165" s="113">
        <f>'01_MASTER_DATABASE'!C3</f>
        <v/>
      </c>
      <c r="D165" s="114">
        <f>'01_MASTER_DATABASE'!I3</f>
        <v/>
      </c>
      <c r="E165" s="114">
        <f>'01_MASTER_DATABASE'!G3</f>
        <v/>
      </c>
      <c r="F165" s="113">
        <f>'01_MASTER_DATABASE'!L3</f>
        <v/>
      </c>
    </row>
    <row r="166" ht="25" customHeight="1">
      <c r="A166" s="113">
        <f>'01_MASTER_DATABASE'!A4</f>
        <v/>
      </c>
      <c r="B166" s="114">
        <f>'01_MASTER_DATABASE'!D4</f>
        <v/>
      </c>
      <c r="C166" s="113">
        <f>'01_MASTER_DATABASE'!C4</f>
        <v/>
      </c>
      <c r="D166" s="114">
        <f>'01_MASTER_DATABASE'!I4</f>
        <v/>
      </c>
      <c r="E166" s="114">
        <f>'01_MASTER_DATABASE'!G4</f>
        <v/>
      </c>
      <c r="F166" s="113">
        <f>'01_MASTER_DATABASE'!L4</f>
        <v/>
      </c>
    </row>
    <row r="167" ht="25" customHeight="1">
      <c r="A167" s="113">
        <f>'01_MASTER_DATABASE'!A89</f>
        <v/>
      </c>
      <c r="B167" s="114">
        <f>'01_MASTER_DATABASE'!D89</f>
        <v/>
      </c>
      <c r="C167" s="113">
        <f>'01_MASTER_DATABASE'!C89</f>
        <v/>
      </c>
      <c r="D167" s="114">
        <f>'01_MASTER_DATABASE'!I89</f>
        <v/>
      </c>
      <c r="E167" s="114">
        <f>'01_MASTER_DATABASE'!G89</f>
        <v/>
      </c>
      <c r="F167" s="113">
        <f>'01_MASTER_DATABASE'!L89</f>
        <v/>
      </c>
    </row>
    <row r="168" ht="25" customHeight="1">
      <c r="A168" s="113">
        <f>'01_MASTER_DATABASE'!A102</f>
        <v/>
      </c>
      <c r="B168" s="114">
        <f>'01_MASTER_DATABASE'!D102</f>
        <v/>
      </c>
      <c r="C168" s="113">
        <f>'01_MASTER_DATABASE'!C102</f>
        <v/>
      </c>
      <c r="D168" s="114">
        <f>'01_MASTER_DATABASE'!I102</f>
        <v/>
      </c>
      <c r="E168" s="114">
        <f>'01_MASTER_DATABASE'!G102</f>
        <v/>
      </c>
      <c r="F168" s="113">
        <f>'01_MASTER_DATABASE'!L102</f>
        <v/>
      </c>
    </row>
    <row r="169" ht="25" customHeight="1">
      <c r="A169" s="113">
        <f>'01_MASTER_DATABASE'!A22</f>
        <v/>
      </c>
      <c r="B169" s="114">
        <f>'01_MASTER_DATABASE'!D22</f>
        <v/>
      </c>
      <c r="C169" s="113">
        <f>'01_MASTER_DATABASE'!C22</f>
        <v/>
      </c>
      <c r="D169" s="114">
        <f>'01_MASTER_DATABASE'!I22</f>
        <v/>
      </c>
      <c r="E169" s="114">
        <f>'01_MASTER_DATABASE'!G22</f>
        <v/>
      </c>
      <c r="F169" s="113">
        <f>'01_MASTER_DATABASE'!L22</f>
        <v/>
      </c>
    </row>
    <row r="170" ht="25" customHeight="1">
      <c r="A170" s="113">
        <f>'01_MASTER_DATABASE'!A149</f>
        <v/>
      </c>
      <c r="B170" s="114">
        <f>'01_MASTER_DATABASE'!D149</f>
        <v/>
      </c>
      <c r="C170" s="113">
        <f>'01_MASTER_DATABASE'!C149</f>
        <v/>
      </c>
      <c r="D170" s="114">
        <f>'01_MASTER_DATABASE'!I149</f>
        <v/>
      </c>
      <c r="E170" s="114">
        <f>'01_MASTER_DATABASE'!G149</f>
        <v/>
      </c>
      <c r="F170" s="113">
        <f>'01_MASTER_DATABASE'!L149</f>
        <v/>
      </c>
    </row>
    <row r="171" ht="25" customHeight="1">
      <c r="A171" s="113">
        <f>'01_MASTER_DATABASE'!A140</f>
        <v/>
      </c>
      <c r="B171" s="114">
        <f>'01_MASTER_DATABASE'!D140</f>
        <v/>
      </c>
      <c r="C171" s="113">
        <f>'01_MASTER_DATABASE'!C140</f>
        <v/>
      </c>
      <c r="D171" s="114">
        <f>'01_MASTER_DATABASE'!I140</f>
        <v/>
      </c>
      <c r="E171" s="114">
        <f>'01_MASTER_DATABASE'!G140</f>
        <v/>
      </c>
      <c r="F171" s="113">
        <f>'01_MASTER_DATABASE'!L140</f>
        <v/>
      </c>
    </row>
    <row r="172" ht="25" customHeight="1">
      <c r="A172" s="113">
        <f>'01_MASTER_DATABASE'!A165</f>
        <v/>
      </c>
      <c r="B172" s="114">
        <f>'01_MASTER_DATABASE'!D165</f>
        <v/>
      </c>
      <c r="C172" s="113">
        <f>'01_MASTER_DATABASE'!C165</f>
        <v/>
      </c>
      <c r="D172" s="114">
        <f>'01_MASTER_DATABASE'!I165</f>
        <v/>
      </c>
      <c r="E172" s="114">
        <f>'01_MASTER_DATABASE'!G165</f>
        <v/>
      </c>
      <c r="F172" s="113">
        <f>'01_MASTER_DATABASE'!L165</f>
        <v/>
      </c>
    </row>
    <row r="173" ht="25" customHeight="1">
      <c r="A173" s="113">
        <f>'01_MASTER_DATABASE'!A170</f>
        <v/>
      </c>
      <c r="B173" s="114">
        <f>'01_MASTER_DATABASE'!D170</f>
        <v/>
      </c>
      <c r="C173" s="113">
        <f>'01_MASTER_DATABASE'!C170</f>
        <v/>
      </c>
      <c r="D173" s="114">
        <f>'01_MASTER_DATABASE'!I170</f>
        <v/>
      </c>
      <c r="E173" s="114">
        <f>'01_MASTER_DATABASE'!G170</f>
        <v/>
      </c>
      <c r="F173" s="113">
        <f>'01_MASTER_DATABASE'!L170</f>
        <v/>
      </c>
    </row>
    <row r="174" ht="25" customHeight="1">
      <c r="A174" s="113">
        <f>'01_MASTER_DATABASE'!A171</f>
        <v/>
      </c>
      <c r="B174" s="114">
        <f>'01_MASTER_DATABASE'!D171</f>
        <v/>
      </c>
      <c r="C174" s="113">
        <f>'01_MASTER_DATABASE'!C171</f>
        <v/>
      </c>
      <c r="D174" s="114">
        <f>'01_MASTER_DATABASE'!I171</f>
        <v/>
      </c>
      <c r="E174" s="114">
        <f>'01_MASTER_DATABASE'!G171</f>
        <v/>
      </c>
      <c r="F174" s="113">
        <f>'01_MASTER_DATABASE'!L171</f>
        <v/>
      </c>
    </row>
    <row r="175" ht="25" customHeight="1">
      <c r="A175" s="113">
        <f>'01_MASTER_DATABASE'!A172</f>
        <v/>
      </c>
      <c r="B175" s="114">
        <f>'01_MASTER_DATABASE'!D172</f>
        <v/>
      </c>
      <c r="C175" s="113">
        <f>'01_MASTER_DATABASE'!C172</f>
        <v/>
      </c>
      <c r="D175" s="114">
        <f>'01_MASTER_DATABASE'!I172</f>
        <v/>
      </c>
      <c r="E175" s="114">
        <f>'01_MASTER_DATABASE'!G172</f>
        <v/>
      </c>
      <c r="F175" s="113">
        <f>'01_MASTER_DATABASE'!L172</f>
        <v/>
      </c>
    </row>
    <row r="176" ht="25" customHeight="1">
      <c r="A176" s="113">
        <f>'01_MASTER_DATABASE'!A173</f>
        <v/>
      </c>
      <c r="B176" s="114">
        <f>'01_MASTER_DATABASE'!D173</f>
        <v/>
      </c>
      <c r="C176" s="113">
        <f>'01_MASTER_DATABASE'!C173</f>
        <v/>
      </c>
      <c r="D176" s="114">
        <f>'01_MASTER_DATABASE'!I173</f>
        <v/>
      </c>
      <c r="E176" s="114">
        <f>'01_MASTER_DATABASE'!G173</f>
        <v/>
      </c>
      <c r="F176" s="113">
        <f>'01_MASTER_DATABASE'!L173</f>
        <v/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12" customWidth="1" min="4" max="4"/>
    <col width="15" customWidth="1" min="5" max="5"/>
    <col width="22" customWidth="1" min="6" max="6"/>
    <col width="25" customWidth="1" min="7" max="7"/>
  </cols>
  <sheetData>
    <row r="1" ht="20" customHeight="1">
      <c r="A1" s="109" t="inlineStr">
        <is>
          <t>KHẢ NĂNG TƯƠNG THÍCH VÀ ĐỘ DÀY KÍNH TỐI ĐA CỦA KHUNG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Kính Tương Thích</t>
        </is>
      </c>
      <c r="D4" s="110" t="inlineStr">
        <is>
          <t>Kính Min</t>
        </is>
      </c>
      <c r="E4" s="110" t="inlineStr">
        <is>
          <t>Kính Max (mm)</t>
        </is>
      </c>
      <c r="F4" s="110" t="inlineStr">
        <is>
          <t>Tương Thích Kính Hộp</t>
        </is>
      </c>
      <c r="G4" s="110" t="inlineStr">
        <is>
          <t>Tương Thích Kính Hộp 3 Lớp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'01_MASTER_DATABASE'!M2</f>
        <v/>
      </c>
      <c r="D5" s="113">
        <f>IF(ISNUMBER(SEARCH("5",'01_MASTER_DATABASE'!M2)),5,8)</f>
        <v/>
      </c>
      <c r="E5" s="113">
        <f>IFERROR(VALUE(SUBSTITUTE('01_MASTER_DATABASE'!N2,"mm","")),0)</f>
        <v/>
      </c>
      <c r="F5" s="113">
        <f>IF(OR(ISNUMBER(SEARCH("hộp",'01_MASTER_DATABASE'!M2)), IFERROR(VALUE(SUBSTITUTE('01_MASTER_DATABASE'!N2,"mm","")),0)&gt;=20),"✓","✗")</f>
        <v/>
      </c>
      <c r="G5" s="113">
        <f>IF(OR(ISNUMBER(SEARCH("3 lớp",'01_MASTER_DATABASE'!M2)), IFERROR(VALUE(SUBSTITUTE('01_MASTER_DATABASE'!N2,"mm","")),0)&gt;=32),"✓","✗")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'01_MASTER_DATABASE'!M3</f>
        <v/>
      </c>
      <c r="D6" s="113">
        <f>IF(ISNUMBER(SEARCH("5",'01_MASTER_DATABASE'!M3)),5,8)</f>
        <v/>
      </c>
      <c r="E6" s="113">
        <f>IFERROR(VALUE(SUBSTITUTE('01_MASTER_DATABASE'!N3,"mm","")),0)</f>
        <v/>
      </c>
      <c r="F6" s="113">
        <f>IF(OR(ISNUMBER(SEARCH("hộp",'01_MASTER_DATABASE'!M3)), IFERROR(VALUE(SUBSTITUTE('01_MASTER_DATABASE'!N3,"mm","")),0)&gt;=20),"✓","✗")</f>
        <v/>
      </c>
      <c r="G6" s="113">
        <f>IF(OR(ISNUMBER(SEARCH("3 lớp",'01_MASTER_DATABASE'!M3)), IFERROR(VALUE(SUBSTITUTE('01_MASTER_DATABASE'!N3,"mm","")),0)&gt;=32),"✓","✗")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'01_MASTER_DATABASE'!M4</f>
        <v/>
      </c>
      <c r="D7" s="113">
        <f>IF(ISNUMBER(SEARCH("5",'01_MASTER_DATABASE'!M4)),5,8)</f>
        <v/>
      </c>
      <c r="E7" s="113">
        <f>IFERROR(VALUE(SUBSTITUTE('01_MASTER_DATABASE'!N4,"mm","")),0)</f>
        <v/>
      </c>
      <c r="F7" s="113">
        <f>IF(OR(ISNUMBER(SEARCH("hộp",'01_MASTER_DATABASE'!M4)), IFERROR(VALUE(SUBSTITUTE('01_MASTER_DATABASE'!N4,"mm","")),0)&gt;=20),"✓","✗")</f>
        <v/>
      </c>
      <c r="G7" s="113">
        <f>IF(OR(ISNUMBER(SEARCH("3 lớp",'01_MASTER_DATABASE'!M4)), IFERROR(VALUE(SUBSTITUTE('01_MASTER_DATABASE'!N4,"mm","")),0)&gt;=32),"✓","✗")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'01_MASTER_DATABASE'!M5</f>
        <v/>
      </c>
      <c r="D8" s="113">
        <f>IF(ISNUMBER(SEARCH("5",'01_MASTER_DATABASE'!M5)),5,8)</f>
        <v/>
      </c>
      <c r="E8" s="113">
        <f>IFERROR(VALUE(SUBSTITUTE('01_MASTER_DATABASE'!N5,"mm","")),0)</f>
        <v/>
      </c>
      <c r="F8" s="113">
        <f>IF(OR(ISNUMBER(SEARCH("hộp",'01_MASTER_DATABASE'!M5)), IFERROR(VALUE(SUBSTITUTE('01_MASTER_DATABASE'!N5,"mm","")),0)&gt;=20),"✓","✗")</f>
        <v/>
      </c>
      <c r="G8" s="113">
        <f>IF(OR(ISNUMBER(SEARCH("3 lớp",'01_MASTER_DATABASE'!M5)), IFERROR(VALUE(SUBSTITUTE('01_MASTER_DATABASE'!N5,"mm","")),0)&gt;=32),"✓","✗")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'01_MASTER_DATABASE'!M6</f>
        <v/>
      </c>
      <c r="D9" s="113">
        <f>IF(ISNUMBER(SEARCH("5",'01_MASTER_DATABASE'!M6)),5,8)</f>
        <v/>
      </c>
      <c r="E9" s="113">
        <f>IFERROR(VALUE(SUBSTITUTE('01_MASTER_DATABASE'!N6,"mm","")),0)</f>
        <v/>
      </c>
      <c r="F9" s="113">
        <f>IF(OR(ISNUMBER(SEARCH("hộp",'01_MASTER_DATABASE'!M6)), IFERROR(VALUE(SUBSTITUTE('01_MASTER_DATABASE'!N6,"mm","")),0)&gt;=20),"✓","✗")</f>
        <v/>
      </c>
      <c r="G9" s="113">
        <f>IF(OR(ISNUMBER(SEARCH("3 lớp",'01_MASTER_DATABASE'!M6)), IFERROR(VALUE(SUBSTITUTE('01_MASTER_DATABASE'!N6,"mm","")),0)&gt;=32),"✓","✗")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'01_MASTER_DATABASE'!M7</f>
        <v/>
      </c>
      <c r="D10" s="113">
        <f>IF(ISNUMBER(SEARCH("5",'01_MASTER_DATABASE'!M7)),5,8)</f>
        <v/>
      </c>
      <c r="E10" s="113">
        <f>IFERROR(VALUE(SUBSTITUTE('01_MASTER_DATABASE'!N7,"mm","")),0)</f>
        <v/>
      </c>
      <c r="F10" s="113">
        <f>IF(OR(ISNUMBER(SEARCH("hộp",'01_MASTER_DATABASE'!M7)), IFERROR(VALUE(SUBSTITUTE('01_MASTER_DATABASE'!N7,"mm","")),0)&gt;=20),"✓","✗")</f>
        <v/>
      </c>
      <c r="G10" s="113">
        <f>IF(OR(ISNUMBER(SEARCH("3 lớp",'01_MASTER_DATABASE'!M7)), IFERROR(VALUE(SUBSTITUTE('01_MASTER_DATABASE'!N7,"mm","")),0)&gt;=32),"✓","✗")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'01_MASTER_DATABASE'!M8</f>
        <v/>
      </c>
      <c r="D11" s="113">
        <f>IF(ISNUMBER(SEARCH("5",'01_MASTER_DATABASE'!M8)),5,8)</f>
        <v/>
      </c>
      <c r="E11" s="113">
        <f>IFERROR(VALUE(SUBSTITUTE('01_MASTER_DATABASE'!N8,"mm","")),0)</f>
        <v/>
      </c>
      <c r="F11" s="113">
        <f>IF(OR(ISNUMBER(SEARCH("hộp",'01_MASTER_DATABASE'!M8)), IFERROR(VALUE(SUBSTITUTE('01_MASTER_DATABASE'!N8,"mm","")),0)&gt;=20),"✓","✗")</f>
        <v/>
      </c>
      <c r="G11" s="113">
        <f>IF(OR(ISNUMBER(SEARCH("3 lớp",'01_MASTER_DATABASE'!M8)), IFERROR(VALUE(SUBSTITUTE('01_MASTER_DATABASE'!N8,"mm","")),0)&gt;=32),"✓","✗")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'01_MASTER_DATABASE'!M9</f>
        <v/>
      </c>
      <c r="D12" s="113">
        <f>IF(ISNUMBER(SEARCH("5",'01_MASTER_DATABASE'!M9)),5,8)</f>
        <v/>
      </c>
      <c r="E12" s="113">
        <f>IFERROR(VALUE(SUBSTITUTE('01_MASTER_DATABASE'!N9,"mm","")),0)</f>
        <v/>
      </c>
      <c r="F12" s="113">
        <f>IF(OR(ISNUMBER(SEARCH("hộp",'01_MASTER_DATABASE'!M9)), IFERROR(VALUE(SUBSTITUTE('01_MASTER_DATABASE'!N9,"mm","")),0)&gt;=20),"✓","✗")</f>
        <v/>
      </c>
      <c r="G12" s="113">
        <f>IF(OR(ISNUMBER(SEARCH("3 lớp",'01_MASTER_DATABASE'!M9)), IFERROR(VALUE(SUBSTITUTE('01_MASTER_DATABASE'!N9,"mm","")),0)&gt;=32),"✓","✗")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'01_MASTER_DATABASE'!M10</f>
        <v/>
      </c>
      <c r="D13" s="113">
        <f>IF(ISNUMBER(SEARCH("5",'01_MASTER_DATABASE'!M10)),5,8)</f>
        <v/>
      </c>
      <c r="E13" s="113">
        <f>IFERROR(VALUE(SUBSTITUTE('01_MASTER_DATABASE'!N10,"mm","")),0)</f>
        <v/>
      </c>
      <c r="F13" s="113">
        <f>IF(OR(ISNUMBER(SEARCH("hộp",'01_MASTER_DATABASE'!M10)), IFERROR(VALUE(SUBSTITUTE('01_MASTER_DATABASE'!N10,"mm","")),0)&gt;=20),"✓","✗")</f>
        <v/>
      </c>
      <c r="G13" s="113">
        <f>IF(OR(ISNUMBER(SEARCH("3 lớp",'01_MASTER_DATABASE'!M10)), IFERROR(VALUE(SUBSTITUTE('01_MASTER_DATABASE'!N10,"mm","")),0)&gt;=32),"✓","✗")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'01_MASTER_DATABASE'!M11</f>
        <v/>
      </c>
      <c r="D14" s="113">
        <f>IF(ISNUMBER(SEARCH("5",'01_MASTER_DATABASE'!M11)),5,8)</f>
        <v/>
      </c>
      <c r="E14" s="113">
        <f>IFERROR(VALUE(SUBSTITUTE('01_MASTER_DATABASE'!N11,"mm","")),0)</f>
        <v/>
      </c>
      <c r="F14" s="113">
        <f>IF(OR(ISNUMBER(SEARCH("hộp",'01_MASTER_DATABASE'!M11)), IFERROR(VALUE(SUBSTITUTE('01_MASTER_DATABASE'!N11,"mm","")),0)&gt;=20),"✓","✗")</f>
        <v/>
      </c>
      <c r="G14" s="113">
        <f>IF(OR(ISNUMBER(SEARCH("3 lớp",'01_MASTER_DATABASE'!M11)), IFERROR(VALUE(SUBSTITUTE('01_MASTER_DATABASE'!N11,"mm","")),0)&gt;=32),"✓","✗")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'01_MASTER_DATABASE'!M12</f>
        <v/>
      </c>
      <c r="D15" s="113">
        <f>IF(ISNUMBER(SEARCH("5",'01_MASTER_DATABASE'!M12)),5,8)</f>
        <v/>
      </c>
      <c r="E15" s="113">
        <f>IFERROR(VALUE(SUBSTITUTE('01_MASTER_DATABASE'!N12,"mm","")),0)</f>
        <v/>
      </c>
      <c r="F15" s="113">
        <f>IF(OR(ISNUMBER(SEARCH("hộp",'01_MASTER_DATABASE'!M12)), IFERROR(VALUE(SUBSTITUTE('01_MASTER_DATABASE'!N12,"mm","")),0)&gt;=20),"✓","✗")</f>
        <v/>
      </c>
      <c r="G15" s="113">
        <f>IF(OR(ISNUMBER(SEARCH("3 lớp",'01_MASTER_DATABASE'!M12)), IFERROR(VALUE(SUBSTITUTE('01_MASTER_DATABASE'!N12,"mm","")),0)&gt;=32),"✓","✗")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'01_MASTER_DATABASE'!M13</f>
        <v/>
      </c>
      <c r="D16" s="113">
        <f>IF(ISNUMBER(SEARCH("5",'01_MASTER_DATABASE'!M13)),5,8)</f>
        <v/>
      </c>
      <c r="E16" s="113">
        <f>IFERROR(VALUE(SUBSTITUTE('01_MASTER_DATABASE'!N13,"mm","")),0)</f>
        <v/>
      </c>
      <c r="F16" s="113">
        <f>IF(OR(ISNUMBER(SEARCH("hộp",'01_MASTER_DATABASE'!M13)), IFERROR(VALUE(SUBSTITUTE('01_MASTER_DATABASE'!N13,"mm","")),0)&gt;=20),"✓","✗")</f>
        <v/>
      </c>
      <c r="G16" s="113">
        <f>IF(OR(ISNUMBER(SEARCH("3 lớp",'01_MASTER_DATABASE'!M13)), IFERROR(VALUE(SUBSTITUTE('01_MASTER_DATABASE'!N13,"mm","")),0)&gt;=32),"✓","✗")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'01_MASTER_DATABASE'!M14</f>
        <v/>
      </c>
      <c r="D17" s="113">
        <f>IF(ISNUMBER(SEARCH("5",'01_MASTER_DATABASE'!M14)),5,8)</f>
        <v/>
      </c>
      <c r="E17" s="113">
        <f>IFERROR(VALUE(SUBSTITUTE('01_MASTER_DATABASE'!N14,"mm","")),0)</f>
        <v/>
      </c>
      <c r="F17" s="113">
        <f>IF(OR(ISNUMBER(SEARCH("hộp",'01_MASTER_DATABASE'!M14)), IFERROR(VALUE(SUBSTITUTE('01_MASTER_DATABASE'!N14,"mm","")),0)&gt;=20),"✓","✗")</f>
        <v/>
      </c>
      <c r="G17" s="113">
        <f>IF(OR(ISNUMBER(SEARCH("3 lớp",'01_MASTER_DATABASE'!M14)), IFERROR(VALUE(SUBSTITUTE('01_MASTER_DATABASE'!N14,"mm","")),0)&gt;=32),"✓","✗")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'01_MASTER_DATABASE'!M15</f>
        <v/>
      </c>
      <c r="D18" s="113">
        <f>IF(ISNUMBER(SEARCH("5",'01_MASTER_DATABASE'!M15)),5,8)</f>
        <v/>
      </c>
      <c r="E18" s="113">
        <f>IFERROR(VALUE(SUBSTITUTE('01_MASTER_DATABASE'!N15,"mm","")),0)</f>
        <v/>
      </c>
      <c r="F18" s="113">
        <f>IF(OR(ISNUMBER(SEARCH("hộp",'01_MASTER_DATABASE'!M15)), IFERROR(VALUE(SUBSTITUTE('01_MASTER_DATABASE'!N15,"mm","")),0)&gt;=20),"✓","✗")</f>
        <v/>
      </c>
      <c r="G18" s="113">
        <f>IF(OR(ISNUMBER(SEARCH("3 lớp",'01_MASTER_DATABASE'!M15)), IFERROR(VALUE(SUBSTITUTE('01_MASTER_DATABASE'!N15,"mm","")),0)&gt;=32),"✓","✗")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'01_MASTER_DATABASE'!M16</f>
        <v/>
      </c>
      <c r="D19" s="113">
        <f>IF(ISNUMBER(SEARCH("5",'01_MASTER_DATABASE'!M16)),5,8)</f>
        <v/>
      </c>
      <c r="E19" s="113">
        <f>IFERROR(VALUE(SUBSTITUTE('01_MASTER_DATABASE'!N16,"mm","")),0)</f>
        <v/>
      </c>
      <c r="F19" s="113">
        <f>IF(OR(ISNUMBER(SEARCH("hộp",'01_MASTER_DATABASE'!M16)), IFERROR(VALUE(SUBSTITUTE('01_MASTER_DATABASE'!N16,"mm","")),0)&gt;=20),"✓","✗")</f>
        <v/>
      </c>
      <c r="G19" s="113">
        <f>IF(OR(ISNUMBER(SEARCH("3 lớp",'01_MASTER_DATABASE'!M16)), IFERROR(VALUE(SUBSTITUTE('01_MASTER_DATABASE'!N16,"mm","")),0)&gt;=32),"✓","✗")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'01_MASTER_DATABASE'!M17</f>
        <v/>
      </c>
      <c r="D20" s="113">
        <f>IF(ISNUMBER(SEARCH("5",'01_MASTER_DATABASE'!M17)),5,8)</f>
        <v/>
      </c>
      <c r="E20" s="113">
        <f>IFERROR(VALUE(SUBSTITUTE('01_MASTER_DATABASE'!N17,"mm","")),0)</f>
        <v/>
      </c>
      <c r="F20" s="113">
        <f>IF(OR(ISNUMBER(SEARCH("hộp",'01_MASTER_DATABASE'!M17)), IFERROR(VALUE(SUBSTITUTE('01_MASTER_DATABASE'!N17,"mm","")),0)&gt;=20),"✓","✗")</f>
        <v/>
      </c>
      <c r="G20" s="113">
        <f>IF(OR(ISNUMBER(SEARCH("3 lớp",'01_MASTER_DATABASE'!M17)), IFERROR(VALUE(SUBSTITUTE('01_MASTER_DATABASE'!N17,"mm","")),0)&gt;=32),"✓","✗")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'01_MASTER_DATABASE'!M18</f>
        <v/>
      </c>
      <c r="D21" s="113">
        <f>IF(ISNUMBER(SEARCH("5",'01_MASTER_DATABASE'!M18)),5,8)</f>
        <v/>
      </c>
      <c r="E21" s="113">
        <f>IFERROR(VALUE(SUBSTITUTE('01_MASTER_DATABASE'!N18,"mm","")),0)</f>
        <v/>
      </c>
      <c r="F21" s="113">
        <f>IF(OR(ISNUMBER(SEARCH("hộp",'01_MASTER_DATABASE'!M18)), IFERROR(VALUE(SUBSTITUTE('01_MASTER_DATABASE'!N18,"mm","")),0)&gt;=20),"✓","✗")</f>
        <v/>
      </c>
      <c r="G21" s="113">
        <f>IF(OR(ISNUMBER(SEARCH("3 lớp",'01_MASTER_DATABASE'!M18)), IFERROR(VALUE(SUBSTITUTE('01_MASTER_DATABASE'!N18,"mm","")),0)&gt;=32),"✓","✗")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'01_MASTER_DATABASE'!M19</f>
        <v/>
      </c>
      <c r="D22" s="113">
        <f>IF(ISNUMBER(SEARCH("5",'01_MASTER_DATABASE'!M19)),5,8)</f>
        <v/>
      </c>
      <c r="E22" s="113">
        <f>IFERROR(VALUE(SUBSTITUTE('01_MASTER_DATABASE'!N19,"mm","")),0)</f>
        <v/>
      </c>
      <c r="F22" s="113">
        <f>IF(OR(ISNUMBER(SEARCH("hộp",'01_MASTER_DATABASE'!M19)), IFERROR(VALUE(SUBSTITUTE('01_MASTER_DATABASE'!N19,"mm","")),0)&gt;=20),"✓","✗")</f>
        <v/>
      </c>
      <c r="G22" s="113">
        <f>IF(OR(ISNUMBER(SEARCH("3 lớp",'01_MASTER_DATABASE'!M19)), IFERROR(VALUE(SUBSTITUTE('01_MASTER_DATABASE'!N19,"mm","")),0)&gt;=32),"✓","✗")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'01_MASTER_DATABASE'!M20</f>
        <v/>
      </c>
      <c r="D23" s="113">
        <f>IF(ISNUMBER(SEARCH("5",'01_MASTER_DATABASE'!M20)),5,8)</f>
        <v/>
      </c>
      <c r="E23" s="113">
        <f>IFERROR(VALUE(SUBSTITUTE('01_MASTER_DATABASE'!N20,"mm","")),0)</f>
        <v/>
      </c>
      <c r="F23" s="113">
        <f>IF(OR(ISNUMBER(SEARCH("hộp",'01_MASTER_DATABASE'!M20)), IFERROR(VALUE(SUBSTITUTE('01_MASTER_DATABASE'!N20,"mm","")),0)&gt;=20),"✓","✗")</f>
        <v/>
      </c>
      <c r="G23" s="113">
        <f>IF(OR(ISNUMBER(SEARCH("3 lớp",'01_MASTER_DATABASE'!M20)), IFERROR(VALUE(SUBSTITUTE('01_MASTER_DATABASE'!N20,"mm","")),0)&gt;=32),"✓","✗")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'01_MASTER_DATABASE'!M21</f>
        <v/>
      </c>
      <c r="D24" s="113">
        <f>IF(ISNUMBER(SEARCH("5",'01_MASTER_DATABASE'!M21)),5,8)</f>
        <v/>
      </c>
      <c r="E24" s="113">
        <f>IFERROR(VALUE(SUBSTITUTE('01_MASTER_DATABASE'!N21,"mm","")),0)</f>
        <v/>
      </c>
      <c r="F24" s="113">
        <f>IF(OR(ISNUMBER(SEARCH("hộp",'01_MASTER_DATABASE'!M21)), IFERROR(VALUE(SUBSTITUTE('01_MASTER_DATABASE'!N21,"mm","")),0)&gt;=20),"✓","✗")</f>
        <v/>
      </c>
      <c r="G24" s="113">
        <f>IF(OR(ISNUMBER(SEARCH("3 lớp",'01_MASTER_DATABASE'!M21)), IFERROR(VALUE(SUBSTITUTE('01_MASTER_DATABASE'!N21,"mm","")),0)&gt;=32),"✓","✗")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'01_MASTER_DATABASE'!M22</f>
        <v/>
      </c>
      <c r="D25" s="113">
        <f>IF(ISNUMBER(SEARCH("5",'01_MASTER_DATABASE'!M22)),5,8)</f>
        <v/>
      </c>
      <c r="E25" s="113">
        <f>IFERROR(VALUE(SUBSTITUTE('01_MASTER_DATABASE'!N22,"mm","")),0)</f>
        <v/>
      </c>
      <c r="F25" s="113">
        <f>IF(OR(ISNUMBER(SEARCH("hộp",'01_MASTER_DATABASE'!M22)), IFERROR(VALUE(SUBSTITUTE('01_MASTER_DATABASE'!N22,"mm","")),0)&gt;=20),"✓","✗")</f>
        <v/>
      </c>
      <c r="G25" s="113">
        <f>IF(OR(ISNUMBER(SEARCH("3 lớp",'01_MASTER_DATABASE'!M22)), IFERROR(VALUE(SUBSTITUTE('01_MASTER_DATABASE'!N22,"mm","")),0)&gt;=32),"✓","✗")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'01_MASTER_DATABASE'!M23</f>
        <v/>
      </c>
      <c r="D26" s="113">
        <f>IF(ISNUMBER(SEARCH("5",'01_MASTER_DATABASE'!M23)),5,8)</f>
        <v/>
      </c>
      <c r="E26" s="113">
        <f>IFERROR(VALUE(SUBSTITUTE('01_MASTER_DATABASE'!N23,"mm","")),0)</f>
        <v/>
      </c>
      <c r="F26" s="113">
        <f>IF(OR(ISNUMBER(SEARCH("hộp",'01_MASTER_DATABASE'!M23)), IFERROR(VALUE(SUBSTITUTE('01_MASTER_DATABASE'!N23,"mm","")),0)&gt;=20),"✓","✗")</f>
        <v/>
      </c>
      <c r="G26" s="113">
        <f>IF(OR(ISNUMBER(SEARCH("3 lớp",'01_MASTER_DATABASE'!M23)), IFERROR(VALUE(SUBSTITUTE('01_MASTER_DATABASE'!N23,"mm","")),0)&gt;=32),"✓","✗")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'01_MASTER_DATABASE'!M24</f>
        <v/>
      </c>
      <c r="D27" s="113">
        <f>IF(ISNUMBER(SEARCH("5",'01_MASTER_DATABASE'!M24)),5,8)</f>
        <v/>
      </c>
      <c r="E27" s="113">
        <f>IFERROR(VALUE(SUBSTITUTE('01_MASTER_DATABASE'!N24,"mm","")),0)</f>
        <v/>
      </c>
      <c r="F27" s="113">
        <f>IF(OR(ISNUMBER(SEARCH("hộp",'01_MASTER_DATABASE'!M24)), IFERROR(VALUE(SUBSTITUTE('01_MASTER_DATABASE'!N24,"mm","")),0)&gt;=20),"✓","✗")</f>
        <v/>
      </c>
      <c r="G27" s="113">
        <f>IF(OR(ISNUMBER(SEARCH("3 lớp",'01_MASTER_DATABASE'!M24)), IFERROR(VALUE(SUBSTITUTE('01_MASTER_DATABASE'!N24,"mm","")),0)&gt;=32),"✓","✗")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'01_MASTER_DATABASE'!M25</f>
        <v/>
      </c>
      <c r="D28" s="113">
        <f>IF(ISNUMBER(SEARCH("5",'01_MASTER_DATABASE'!M25)),5,8)</f>
        <v/>
      </c>
      <c r="E28" s="113">
        <f>IFERROR(VALUE(SUBSTITUTE('01_MASTER_DATABASE'!N25,"mm","")),0)</f>
        <v/>
      </c>
      <c r="F28" s="113">
        <f>IF(OR(ISNUMBER(SEARCH("hộp",'01_MASTER_DATABASE'!M25)), IFERROR(VALUE(SUBSTITUTE('01_MASTER_DATABASE'!N25,"mm","")),0)&gt;=20),"✓","✗")</f>
        <v/>
      </c>
      <c r="G28" s="113">
        <f>IF(OR(ISNUMBER(SEARCH("3 lớp",'01_MASTER_DATABASE'!M25)), IFERROR(VALUE(SUBSTITUTE('01_MASTER_DATABASE'!N25,"mm","")),0)&gt;=32),"✓","✗")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'01_MASTER_DATABASE'!M26</f>
        <v/>
      </c>
      <c r="D29" s="113">
        <f>IF(ISNUMBER(SEARCH("5",'01_MASTER_DATABASE'!M26)),5,8)</f>
        <v/>
      </c>
      <c r="E29" s="113">
        <f>IFERROR(VALUE(SUBSTITUTE('01_MASTER_DATABASE'!N26,"mm","")),0)</f>
        <v/>
      </c>
      <c r="F29" s="113">
        <f>IF(OR(ISNUMBER(SEARCH("hộp",'01_MASTER_DATABASE'!M26)), IFERROR(VALUE(SUBSTITUTE('01_MASTER_DATABASE'!N26,"mm","")),0)&gt;=20),"✓","✗")</f>
        <v/>
      </c>
      <c r="G29" s="113">
        <f>IF(OR(ISNUMBER(SEARCH("3 lớp",'01_MASTER_DATABASE'!M26)), IFERROR(VALUE(SUBSTITUTE('01_MASTER_DATABASE'!N26,"mm","")),0)&gt;=32),"✓","✗")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'01_MASTER_DATABASE'!M27</f>
        <v/>
      </c>
      <c r="D30" s="113">
        <f>IF(ISNUMBER(SEARCH("5",'01_MASTER_DATABASE'!M27)),5,8)</f>
        <v/>
      </c>
      <c r="E30" s="113">
        <f>IFERROR(VALUE(SUBSTITUTE('01_MASTER_DATABASE'!N27,"mm","")),0)</f>
        <v/>
      </c>
      <c r="F30" s="113">
        <f>IF(OR(ISNUMBER(SEARCH("hộp",'01_MASTER_DATABASE'!M27)), IFERROR(VALUE(SUBSTITUTE('01_MASTER_DATABASE'!N27,"mm","")),0)&gt;=20),"✓","✗")</f>
        <v/>
      </c>
      <c r="G30" s="113">
        <f>IF(OR(ISNUMBER(SEARCH("3 lớp",'01_MASTER_DATABASE'!M27)), IFERROR(VALUE(SUBSTITUTE('01_MASTER_DATABASE'!N27,"mm","")),0)&gt;=32),"✓","✗")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'01_MASTER_DATABASE'!M28</f>
        <v/>
      </c>
      <c r="D31" s="113">
        <f>IF(ISNUMBER(SEARCH("5",'01_MASTER_DATABASE'!M28)),5,8)</f>
        <v/>
      </c>
      <c r="E31" s="113">
        <f>IFERROR(VALUE(SUBSTITUTE('01_MASTER_DATABASE'!N28,"mm","")),0)</f>
        <v/>
      </c>
      <c r="F31" s="113">
        <f>IF(OR(ISNUMBER(SEARCH("hộp",'01_MASTER_DATABASE'!M28)), IFERROR(VALUE(SUBSTITUTE('01_MASTER_DATABASE'!N28,"mm","")),0)&gt;=20),"✓","✗")</f>
        <v/>
      </c>
      <c r="G31" s="113">
        <f>IF(OR(ISNUMBER(SEARCH("3 lớp",'01_MASTER_DATABASE'!M28)), IFERROR(VALUE(SUBSTITUTE('01_MASTER_DATABASE'!N28,"mm","")),0)&gt;=32),"✓","✗")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'01_MASTER_DATABASE'!M29</f>
        <v/>
      </c>
      <c r="D32" s="113">
        <f>IF(ISNUMBER(SEARCH("5",'01_MASTER_DATABASE'!M29)),5,8)</f>
        <v/>
      </c>
      <c r="E32" s="113">
        <f>IFERROR(VALUE(SUBSTITUTE('01_MASTER_DATABASE'!N29,"mm","")),0)</f>
        <v/>
      </c>
      <c r="F32" s="113">
        <f>IF(OR(ISNUMBER(SEARCH("hộp",'01_MASTER_DATABASE'!M29)), IFERROR(VALUE(SUBSTITUTE('01_MASTER_DATABASE'!N29,"mm","")),0)&gt;=20),"✓","✗")</f>
        <v/>
      </c>
      <c r="G32" s="113">
        <f>IF(OR(ISNUMBER(SEARCH("3 lớp",'01_MASTER_DATABASE'!M29)), IFERROR(VALUE(SUBSTITUTE('01_MASTER_DATABASE'!N29,"mm","")),0)&gt;=32),"✓","✗")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'01_MASTER_DATABASE'!M30</f>
        <v/>
      </c>
      <c r="D33" s="113">
        <f>IF(ISNUMBER(SEARCH("5",'01_MASTER_DATABASE'!M30)),5,8)</f>
        <v/>
      </c>
      <c r="E33" s="113">
        <f>IFERROR(VALUE(SUBSTITUTE('01_MASTER_DATABASE'!N30,"mm","")),0)</f>
        <v/>
      </c>
      <c r="F33" s="113">
        <f>IF(OR(ISNUMBER(SEARCH("hộp",'01_MASTER_DATABASE'!M30)), IFERROR(VALUE(SUBSTITUTE('01_MASTER_DATABASE'!N30,"mm","")),0)&gt;=20),"✓","✗")</f>
        <v/>
      </c>
      <c r="G33" s="113">
        <f>IF(OR(ISNUMBER(SEARCH("3 lớp",'01_MASTER_DATABASE'!M30)), IFERROR(VALUE(SUBSTITUTE('01_MASTER_DATABASE'!N30,"mm","")),0)&gt;=32),"✓","✗")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'01_MASTER_DATABASE'!M31</f>
        <v/>
      </c>
      <c r="D34" s="113">
        <f>IF(ISNUMBER(SEARCH("5",'01_MASTER_DATABASE'!M31)),5,8)</f>
        <v/>
      </c>
      <c r="E34" s="113">
        <f>IFERROR(VALUE(SUBSTITUTE('01_MASTER_DATABASE'!N31,"mm","")),0)</f>
        <v/>
      </c>
      <c r="F34" s="113">
        <f>IF(OR(ISNUMBER(SEARCH("hộp",'01_MASTER_DATABASE'!M31)), IFERROR(VALUE(SUBSTITUTE('01_MASTER_DATABASE'!N31,"mm","")),0)&gt;=20),"✓","✗")</f>
        <v/>
      </c>
      <c r="G34" s="113">
        <f>IF(OR(ISNUMBER(SEARCH("3 lớp",'01_MASTER_DATABASE'!M31)), IFERROR(VALUE(SUBSTITUTE('01_MASTER_DATABASE'!N31,"mm","")),0)&gt;=32),"✓","✗")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'01_MASTER_DATABASE'!M32</f>
        <v/>
      </c>
      <c r="D35" s="113">
        <f>IF(ISNUMBER(SEARCH("5",'01_MASTER_DATABASE'!M32)),5,8)</f>
        <v/>
      </c>
      <c r="E35" s="113">
        <f>IFERROR(VALUE(SUBSTITUTE('01_MASTER_DATABASE'!N32,"mm","")),0)</f>
        <v/>
      </c>
      <c r="F35" s="113">
        <f>IF(OR(ISNUMBER(SEARCH("hộp",'01_MASTER_DATABASE'!M32)), IFERROR(VALUE(SUBSTITUTE('01_MASTER_DATABASE'!N32,"mm","")),0)&gt;=20),"✓","✗")</f>
        <v/>
      </c>
      <c r="G35" s="113">
        <f>IF(OR(ISNUMBER(SEARCH("3 lớp",'01_MASTER_DATABASE'!M32)), IFERROR(VALUE(SUBSTITUTE('01_MASTER_DATABASE'!N32,"mm","")),0)&gt;=32),"✓","✗")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'01_MASTER_DATABASE'!M33</f>
        <v/>
      </c>
      <c r="D36" s="113">
        <f>IF(ISNUMBER(SEARCH("5",'01_MASTER_DATABASE'!M33)),5,8)</f>
        <v/>
      </c>
      <c r="E36" s="113">
        <f>IFERROR(VALUE(SUBSTITUTE('01_MASTER_DATABASE'!N33,"mm","")),0)</f>
        <v/>
      </c>
      <c r="F36" s="113">
        <f>IF(OR(ISNUMBER(SEARCH("hộp",'01_MASTER_DATABASE'!M33)), IFERROR(VALUE(SUBSTITUTE('01_MASTER_DATABASE'!N33,"mm","")),0)&gt;=20),"✓","✗")</f>
        <v/>
      </c>
      <c r="G36" s="113">
        <f>IF(OR(ISNUMBER(SEARCH("3 lớp",'01_MASTER_DATABASE'!M33)), IFERROR(VALUE(SUBSTITUTE('01_MASTER_DATABASE'!N33,"mm","")),0)&gt;=32),"✓","✗")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'01_MASTER_DATABASE'!M34</f>
        <v/>
      </c>
      <c r="D37" s="113">
        <f>IF(ISNUMBER(SEARCH("5",'01_MASTER_DATABASE'!M34)),5,8)</f>
        <v/>
      </c>
      <c r="E37" s="113">
        <f>IFERROR(VALUE(SUBSTITUTE('01_MASTER_DATABASE'!N34,"mm","")),0)</f>
        <v/>
      </c>
      <c r="F37" s="113">
        <f>IF(OR(ISNUMBER(SEARCH("hộp",'01_MASTER_DATABASE'!M34)), IFERROR(VALUE(SUBSTITUTE('01_MASTER_DATABASE'!N34,"mm","")),0)&gt;=20),"✓","✗")</f>
        <v/>
      </c>
      <c r="G37" s="113">
        <f>IF(OR(ISNUMBER(SEARCH("3 lớp",'01_MASTER_DATABASE'!M34)), IFERROR(VALUE(SUBSTITUTE('01_MASTER_DATABASE'!N34,"mm","")),0)&gt;=32),"✓","✗")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'01_MASTER_DATABASE'!M35</f>
        <v/>
      </c>
      <c r="D38" s="113">
        <f>IF(ISNUMBER(SEARCH("5",'01_MASTER_DATABASE'!M35)),5,8)</f>
        <v/>
      </c>
      <c r="E38" s="113">
        <f>IFERROR(VALUE(SUBSTITUTE('01_MASTER_DATABASE'!N35,"mm","")),0)</f>
        <v/>
      </c>
      <c r="F38" s="113">
        <f>IF(OR(ISNUMBER(SEARCH("hộp",'01_MASTER_DATABASE'!M35)), IFERROR(VALUE(SUBSTITUTE('01_MASTER_DATABASE'!N35,"mm","")),0)&gt;=20),"✓","✗")</f>
        <v/>
      </c>
      <c r="G38" s="113">
        <f>IF(OR(ISNUMBER(SEARCH("3 lớp",'01_MASTER_DATABASE'!M35)), IFERROR(VALUE(SUBSTITUTE('01_MASTER_DATABASE'!N35,"mm","")),0)&gt;=32),"✓","✗")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'01_MASTER_DATABASE'!M36</f>
        <v/>
      </c>
      <c r="D39" s="113">
        <f>IF(ISNUMBER(SEARCH("5",'01_MASTER_DATABASE'!M36)),5,8)</f>
        <v/>
      </c>
      <c r="E39" s="113">
        <f>IFERROR(VALUE(SUBSTITUTE('01_MASTER_DATABASE'!N36,"mm","")),0)</f>
        <v/>
      </c>
      <c r="F39" s="113">
        <f>IF(OR(ISNUMBER(SEARCH("hộp",'01_MASTER_DATABASE'!M36)), IFERROR(VALUE(SUBSTITUTE('01_MASTER_DATABASE'!N36,"mm","")),0)&gt;=20),"✓","✗")</f>
        <v/>
      </c>
      <c r="G39" s="113">
        <f>IF(OR(ISNUMBER(SEARCH("3 lớp",'01_MASTER_DATABASE'!M36)), IFERROR(VALUE(SUBSTITUTE('01_MASTER_DATABASE'!N36,"mm","")),0)&gt;=32),"✓","✗")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'01_MASTER_DATABASE'!M37</f>
        <v/>
      </c>
      <c r="D40" s="113">
        <f>IF(ISNUMBER(SEARCH("5",'01_MASTER_DATABASE'!M37)),5,8)</f>
        <v/>
      </c>
      <c r="E40" s="113">
        <f>IFERROR(VALUE(SUBSTITUTE('01_MASTER_DATABASE'!N37,"mm","")),0)</f>
        <v/>
      </c>
      <c r="F40" s="113">
        <f>IF(OR(ISNUMBER(SEARCH("hộp",'01_MASTER_DATABASE'!M37)), IFERROR(VALUE(SUBSTITUTE('01_MASTER_DATABASE'!N37,"mm","")),0)&gt;=20),"✓","✗")</f>
        <v/>
      </c>
      <c r="G40" s="113">
        <f>IF(OR(ISNUMBER(SEARCH("3 lớp",'01_MASTER_DATABASE'!M37)), IFERROR(VALUE(SUBSTITUTE('01_MASTER_DATABASE'!N37,"mm","")),0)&gt;=32),"✓","✗")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'01_MASTER_DATABASE'!M38</f>
        <v/>
      </c>
      <c r="D41" s="113">
        <f>IF(ISNUMBER(SEARCH("5",'01_MASTER_DATABASE'!M38)),5,8)</f>
        <v/>
      </c>
      <c r="E41" s="113">
        <f>IFERROR(VALUE(SUBSTITUTE('01_MASTER_DATABASE'!N38,"mm","")),0)</f>
        <v/>
      </c>
      <c r="F41" s="113">
        <f>IF(OR(ISNUMBER(SEARCH("hộp",'01_MASTER_DATABASE'!M38)), IFERROR(VALUE(SUBSTITUTE('01_MASTER_DATABASE'!N38,"mm","")),0)&gt;=20),"✓","✗")</f>
        <v/>
      </c>
      <c r="G41" s="113">
        <f>IF(OR(ISNUMBER(SEARCH("3 lớp",'01_MASTER_DATABASE'!M38)), IFERROR(VALUE(SUBSTITUTE('01_MASTER_DATABASE'!N38,"mm","")),0)&gt;=32),"✓","✗")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'01_MASTER_DATABASE'!M39</f>
        <v/>
      </c>
      <c r="D42" s="113">
        <f>IF(ISNUMBER(SEARCH("5",'01_MASTER_DATABASE'!M39)),5,8)</f>
        <v/>
      </c>
      <c r="E42" s="113">
        <f>IFERROR(VALUE(SUBSTITUTE('01_MASTER_DATABASE'!N39,"mm","")),0)</f>
        <v/>
      </c>
      <c r="F42" s="113">
        <f>IF(OR(ISNUMBER(SEARCH("hộp",'01_MASTER_DATABASE'!M39)), IFERROR(VALUE(SUBSTITUTE('01_MASTER_DATABASE'!N39,"mm","")),0)&gt;=20),"✓","✗")</f>
        <v/>
      </c>
      <c r="G42" s="113">
        <f>IF(OR(ISNUMBER(SEARCH("3 lớp",'01_MASTER_DATABASE'!M39)), IFERROR(VALUE(SUBSTITUTE('01_MASTER_DATABASE'!N39,"mm","")),0)&gt;=32),"✓","✗")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'01_MASTER_DATABASE'!M40</f>
        <v/>
      </c>
      <c r="D43" s="113">
        <f>IF(ISNUMBER(SEARCH("5",'01_MASTER_DATABASE'!M40)),5,8)</f>
        <v/>
      </c>
      <c r="E43" s="113">
        <f>IFERROR(VALUE(SUBSTITUTE('01_MASTER_DATABASE'!N40,"mm","")),0)</f>
        <v/>
      </c>
      <c r="F43" s="113">
        <f>IF(OR(ISNUMBER(SEARCH("hộp",'01_MASTER_DATABASE'!M40)), IFERROR(VALUE(SUBSTITUTE('01_MASTER_DATABASE'!N40,"mm","")),0)&gt;=20),"✓","✗")</f>
        <v/>
      </c>
      <c r="G43" s="113">
        <f>IF(OR(ISNUMBER(SEARCH("3 lớp",'01_MASTER_DATABASE'!M40)), IFERROR(VALUE(SUBSTITUTE('01_MASTER_DATABASE'!N40,"mm","")),0)&gt;=32),"✓","✗")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'01_MASTER_DATABASE'!M41</f>
        <v/>
      </c>
      <c r="D44" s="113">
        <f>IF(ISNUMBER(SEARCH("5",'01_MASTER_DATABASE'!M41)),5,8)</f>
        <v/>
      </c>
      <c r="E44" s="113">
        <f>IFERROR(VALUE(SUBSTITUTE('01_MASTER_DATABASE'!N41,"mm","")),0)</f>
        <v/>
      </c>
      <c r="F44" s="113">
        <f>IF(OR(ISNUMBER(SEARCH("hộp",'01_MASTER_DATABASE'!M41)), IFERROR(VALUE(SUBSTITUTE('01_MASTER_DATABASE'!N41,"mm","")),0)&gt;=20),"✓","✗")</f>
        <v/>
      </c>
      <c r="G44" s="113">
        <f>IF(OR(ISNUMBER(SEARCH("3 lớp",'01_MASTER_DATABASE'!M41)), IFERROR(VALUE(SUBSTITUTE('01_MASTER_DATABASE'!N41,"mm","")),0)&gt;=32),"✓","✗")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'01_MASTER_DATABASE'!M42</f>
        <v/>
      </c>
      <c r="D45" s="113">
        <f>IF(ISNUMBER(SEARCH("5",'01_MASTER_DATABASE'!M42)),5,8)</f>
        <v/>
      </c>
      <c r="E45" s="113">
        <f>IFERROR(VALUE(SUBSTITUTE('01_MASTER_DATABASE'!N42,"mm","")),0)</f>
        <v/>
      </c>
      <c r="F45" s="113">
        <f>IF(OR(ISNUMBER(SEARCH("hộp",'01_MASTER_DATABASE'!M42)), IFERROR(VALUE(SUBSTITUTE('01_MASTER_DATABASE'!N42,"mm","")),0)&gt;=20),"✓","✗")</f>
        <v/>
      </c>
      <c r="G45" s="113">
        <f>IF(OR(ISNUMBER(SEARCH("3 lớp",'01_MASTER_DATABASE'!M42)), IFERROR(VALUE(SUBSTITUTE('01_MASTER_DATABASE'!N42,"mm","")),0)&gt;=32),"✓","✗")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'01_MASTER_DATABASE'!M43</f>
        <v/>
      </c>
      <c r="D46" s="113">
        <f>IF(ISNUMBER(SEARCH("5",'01_MASTER_DATABASE'!M43)),5,8)</f>
        <v/>
      </c>
      <c r="E46" s="113">
        <f>IFERROR(VALUE(SUBSTITUTE('01_MASTER_DATABASE'!N43,"mm","")),0)</f>
        <v/>
      </c>
      <c r="F46" s="113">
        <f>IF(OR(ISNUMBER(SEARCH("hộp",'01_MASTER_DATABASE'!M43)), IFERROR(VALUE(SUBSTITUTE('01_MASTER_DATABASE'!N43,"mm","")),0)&gt;=20),"✓","✗")</f>
        <v/>
      </c>
      <c r="G46" s="113">
        <f>IF(OR(ISNUMBER(SEARCH("3 lớp",'01_MASTER_DATABASE'!M43)), IFERROR(VALUE(SUBSTITUTE('01_MASTER_DATABASE'!N43,"mm","")),0)&gt;=32),"✓","✗")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'01_MASTER_DATABASE'!M44</f>
        <v/>
      </c>
      <c r="D47" s="113">
        <f>IF(ISNUMBER(SEARCH("5",'01_MASTER_DATABASE'!M44)),5,8)</f>
        <v/>
      </c>
      <c r="E47" s="113">
        <f>IFERROR(VALUE(SUBSTITUTE('01_MASTER_DATABASE'!N44,"mm","")),0)</f>
        <v/>
      </c>
      <c r="F47" s="113">
        <f>IF(OR(ISNUMBER(SEARCH("hộp",'01_MASTER_DATABASE'!M44)), IFERROR(VALUE(SUBSTITUTE('01_MASTER_DATABASE'!N44,"mm","")),0)&gt;=20),"✓","✗")</f>
        <v/>
      </c>
      <c r="G47" s="113">
        <f>IF(OR(ISNUMBER(SEARCH("3 lớp",'01_MASTER_DATABASE'!M44)), IFERROR(VALUE(SUBSTITUTE('01_MASTER_DATABASE'!N44,"mm","")),0)&gt;=32),"✓","✗")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'01_MASTER_DATABASE'!M45</f>
        <v/>
      </c>
      <c r="D48" s="113">
        <f>IF(ISNUMBER(SEARCH("5",'01_MASTER_DATABASE'!M45)),5,8)</f>
        <v/>
      </c>
      <c r="E48" s="113">
        <f>IFERROR(VALUE(SUBSTITUTE('01_MASTER_DATABASE'!N45,"mm","")),0)</f>
        <v/>
      </c>
      <c r="F48" s="113">
        <f>IF(OR(ISNUMBER(SEARCH("hộp",'01_MASTER_DATABASE'!M45)), IFERROR(VALUE(SUBSTITUTE('01_MASTER_DATABASE'!N45,"mm","")),0)&gt;=20),"✓","✗")</f>
        <v/>
      </c>
      <c r="G48" s="113">
        <f>IF(OR(ISNUMBER(SEARCH("3 lớp",'01_MASTER_DATABASE'!M45)), IFERROR(VALUE(SUBSTITUTE('01_MASTER_DATABASE'!N45,"mm","")),0)&gt;=32),"✓","✗")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'01_MASTER_DATABASE'!M46</f>
        <v/>
      </c>
      <c r="D49" s="113">
        <f>IF(ISNUMBER(SEARCH("5",'01_MASTER_DATABASE'!M46)),5,8)</f>
        <v/>
      </c>
      <c r="E49" s="113">
        <f>IFERROR(VALUE(SUBSTITUTE('01_MASTER_DATABASE'!N46,"mm","")),0)</f>
        <v/>
      </c>
      <c r="F49" s="113">
        <f>IF(OR(ISNUMBER(SEARCH("hộp",'01_MASTER_DATABASE'!M46)), IFERROR(VALUE(SUBSTITUTE('01_MASTER_DATABASE'!N46,"mm","")),0)&gt;=20),"✓","✗")</f>
        <v/>
      </c>
      <c r="G49" s="113">
        <f>IF(OR(ISNUMBER(SEARCH("3 lớp",'01_MASTER_DATABASE'!M46)), IFERROR(VALUE(SUBSTITUTE('01_MASTER_DATABASE'!N46,"mm","")),0)&gt;=32),"✓","✗")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'01_MASTER_DATABASE'!M47</f>
        <v/>
      </c>
      <c r="D50" s="113">
        <f>IF(ISNUMBER(SEARCH("5",'01_MASTER_DATABASE'!M47)),5,8)</f>
        <v/>
      </c>
      <c r="E50" s="113">
        <f>IFERROR(VALUE(SUBSTITUTE('01_MASTER_DATABASE'!N47,"mm","")),0)</f>
        <v/>
      </c>
      <c r="F50" s="113">
        <f>IF(OR(ISNUMBER(SEARCH("hộp",'01_MASTER_DATABASE'!M47)), IFERROR(VALUE(SUBSTITUTE('01_MASTER_DATABASE'!N47,"mm","")),0)&gt;=20),"✓","✗")</f>
        <v/>
      </c>
      <c r="G50" s="113">
        <f>IF(OR(ISNUMBER(SEARCH("3 lớp",'01_MASTER_DATABASE'!M47)), IFERROR(VALUE(SUBSTITUTE('01_MASTER_DATABASE'!N47,"mm","")),0)&gt;=32),"✓","✗")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'01_MASTER_DATABASE'!M48</f>
        <v/>
      </c>
      <c r="D51" s="113">
        <f>IF(ISNUMBER(SEARCH("5",'01_MASTER_DATABASE'!M48)),5,8)</f>
        <v/>
      </c>
      <c r="E51" s="113">
        <f>IFERROR(VALUE(SUBSTITUTE('01_MASTER_DATABASE'!N48,"mm","")),0)</f>
        <v/>
      </c>
      <c r="F51" s="113">
        <f>IF(OR(ISNUMBER(SEARCH("hộp",'01_MASTER_DATABASE'!M48)), IFERROR(VALUE(SUBSTITUTE('01_MASTER_DATABASE'!N48,"mm","")),0)&gt;=20),"✓","✗")</f>
        <v/>
      </c>
      <c r="G51" s="113">
        <f>IF(OR(ISNUMBER(SEARCH("3 lớp",'01_MASTER_DATABASE'!M48)), IFERROR(VALUE(SUBSTITUTE('01_MASTER_DATABASE'!N48,"mm","")),0)&gt;=32),"✓","✗")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'01_MASTER_DATABASE'!M49</f>
        <v/>
      </c>
      <c r="D52" s="113">
        <f>IF(ISNUMBER(SEARCH("5",'01_MASTER_DATABASE'!M49)),5,8)</f>
        <v/>
      </c>
      <c r="E52" s="113">
        <f>IFERROR(VALUE(SUBSTITUTE('01_MASTER_DATABASE'!N49,"mm","")),0)</f>
        <v/>
      </c>
      <c r="F52" s="113">
        <f>IF(OR(ISNUMBER(SEARCH("hộp",'01_MASTER_DATABASE'!M49)), IFERROR(VALUE(SUBSTITUTE('01_MASTER_DATABASE'!N49,"mm","")),0)&gt;=20),"✓","✗")</f>
        <v/>
      </c>
      <c r="G52" s="113">
        <f>IF(OR(ISNUMBER(SEARCH("3 lớp",'01_MASTER_DATABASE'!M49)), IFERROR(VALUE(SUBSTITUTE('01_MASTER_DATABASE'!N49,"mm","")),0)&gt;=32),"✓","✗")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'01_MASTER_DATABASE'!M50</f>
        <v/>
      </c>
      <c r="D53" s="113">
        <f>IF(ISNUMBER(SEARCH("5",'01_MASTER_DATABASE'!M50)),5,8)</f>
        <v/>
      </c>
      <c r="E53" s="113">
        <f>IFERROR(VALUE(SUBSTITUTE('01_MASTER_DATABASE'!N50,"mm","")),0)</f>
        <v/>
      </c>
      <c r="F53" s="113">
        <f>IF(OR(ISNUMBER(SEARCH("hộp",'01_MASTER_DATABASE'!M50)), IFERROR(VALUE(SUBSTITUTE('01_MASTER_DATABASE'!N50,"mm","")),0)&gt;=20),"✓","✗")</f>
        <v/>
      </c>
      <c r="G53" s="113">
        <f>IF(OR(ISNUMBER(SEARCH("3 lớp",'01_MASTER_DATABASE'!M50)), IFERROR(VALUE(SUBSTITUTE('01_MASTER_DATABASE'!N50,"mm","")),0)&gt;=32),"✓","✗")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'01_MASTER_DATABASE'!M51</f>
        <v/>
      </c>
      <c r="D54" s="113">
        <f>IF(ISNUMBER(SEARCH("5",'01_MASTER_DATABASE'!M51)),5,8)</f>
        <v/>
      </c>
      <c r="E54" s="113">
        <f>IFERROR(VALUE(SUBSTITUTE('01_MASTER_DATABASE'!N51,"mm","")),0)</f>
        <v/>
      </c>
      <c r="F54" s="113">
        <f>IF(OR(ISNUMBER(SEARCH("hộp",'01_MASTER_DATABASE'!M51)), IFERROR(VALUE(SUBSTITUTE('01_MASTER_DATABASE'!N51,"mm","")),0)&gt;=20),"✓","✗")</f>
        <v/>
      </c>
      <c r="G54" s="113">
        <f>IF(OR(ISNUMBER(SEARCH("3 lớp",'01_MASTER_DATABASE'!M51)), IFERROR(VALUE(SUBSTITUTE('01_MASTER_DATABASE'!N51,"mm","")),0)&gt;=32),"✓","✗")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'01_MASTER_DATABASE'!M52</f>
        <v/>
      </c>
      <c r="D55" s="113">
        <f>IF(ISNUMBER(SEARCH("5",'01_MASTER_DATABASE'!M52)),5,8)</f>
        <v/>
      </c>
      <c r="E55" s="113">
        <f>IFERROR(VALUE(SUBSTITUTE('01_MASTER_DATABASE'!N52,"mm","")),0)</f>
        <v/>
      </c>
      <c r="F55" s="113">
        <f>IF(OR(ISNUMBER(SEARCH("hộp",'01_MASTER_DATABASE'!M52)), IFERROR(VALUE(SUBSTITUTE('01_MASTER_DATABASE'!N52,"mm","")),0)&gt;=20),"✓","✗")</f>
        <v/>
      </c>
      <c r="G55" s="113">
        <f>IF(OR(ISNUMBER(SEARCH("3 lớp",'01_MASTER_DATABASE'!M52)), IFERROR(VALUE(SUBSTITUTE('01_MASTER_DATABASE'!N52,"mm","")),0)&gt;=32),"✓","✗")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'01_MASTER_DATABASE'!M53</f>
        <v/>
      </c>
      <c r="D56" s="113">
        <f>IF(ISNUMBER(SEARCH("5",'01_MASTER_DATABASE'!M53)),5,8)</f>
        <v/>
      </c>
      <c r="E56" s="113">
        <f>IFERROR(VALUE(SUBSTITUTE('01_MASTER_DATABASE'!N53,"mm","")),0)</f>
        <v/>
      </c>
      <c r="F56" s="113">
        <f>IF(OR(ISNUMBER(SEARCH("hộp",'01_MASTER_DATABASE'!M53)), IFERROR(VALUE(SUBSTITUTE('01_MASTER_DATABASE'!N53,"mm","")),0)&gt;=20),"✓","✗")</f>
        <v/>
      </c>
      <c r="G56" s="113">
        <f>IF(OR(ISNUMBER(SEARCH("3 lớp",'01_MASTER_DATABASE'!M53)), IFERROR(VALUE(SUBSTITUTE('01_MASTER_DATABASE'!N53,"mm","")),0)&gt;=32),"✓","✗")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'01_MASTER_DATABASE'!M54</f>
        <v/>
      </c>
      <c r="D57" s="113">
        <f>IF(ISNUMBER(SEARCH("5",'01_MASTER_DATABASE'!M54)),5,8)</f>
        <v/>
      </c>
      <c r="E57" s="113">
        <f>IFERROR(VALUE(SUBSTITUTE('01_MASTER_DATABASE'!N54,"mm","")),0)</f>
        <v/>
      </c>
      <c r="F57" s="113">
        <f>IF(OR(ISNUMBER(SEARCH("hộp",'01_MASTER_DATABASE'!M54)), IFERROR(VALUE(SUBSTITUTE('01_MASTER_DATABASE'!N54,"mm","")),0)&gt;=20),"✓","✗")</f>
        <v/>
      </c>
      <c r="G57" s="113">
        <f>IF(OR(ISNUMBER(SEARCH("3 lớp",'01_MASTER_DATABASE'!M54)), IFERROR(VALUE(SUBSTITUTE('01_MASTER_DATABASE'!N54,"mm","")),0)&gt;=32),"✓","✗")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'01_MASTER_DATABASE'!M55</f>
        <v/>
      </c>
      <c r="D58" s="113">
        <f>IF(ISNUMBER(SEARCH("5",'01_MASTER_DATABASE'!M55)),5,8)</f>
        <v/>
      </c>
      <c r="E58" s="113">
        <f>IFERROR(VALUE(SUBSTITUTE('01_MASTER_DATABASE'!N55,"mm","")),0)</f>
        <v/>
      </c>
      <c r="F58" s="113">
        <f>IF(OR(ISNUMBER(SEARCH("hộp",'01_MASTER_DATABASE'!M55)), IFERROR(VALUE(SUBSTITUTE('01_MASTER_DATABASE'!N55,"mm","")),0)&gt;=20),"✓","✗")</f>
        <v/>
      </c>
      <c r="G58" s="113">
        <f>IF(OR(ISNUMBER(SEARCH("3 lớp",'01_MASTER_DATABASE'!M55)), IFERROR(VALUE(SUBSTITUTE('01_MASTER_DATABASE'!N55,"mm","")),0)&gt;=32),"✓","✗")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'01_MASTER_DATABASE'!M56</f>
        <v/>
      </c>
      <c r="D59" s="113">
        <f>IF(ISNUMBER(SEARCH("5",'01_MASTER_DATABASE'!M56)),5,8)</f>
        <v/>
      </c>
      <c r="E59" s="113">
        <f>IFERROR(VALUE(SUBSTITUTE('01_MASTER_DATABASE'!N56,"mm","")),0)</f>
        <v/>
      </c>
      <c r="F59" s="113">
        <f>IF(OR(ISNUMBER(SEARCH("hộp",'01_MASTER_DATABASE'!M56)), IFERROR(VALUE(SUBSTITUTE('01_MASTER_DATABASE'!N56,"mm","")),0)&gt;=20),"✓","✗")</f>
        <v/>
      </c>
      <c r="G59" s="113">
        <f>IF(OR(ISNUMBER(SEARCH("3 lớp",'01_MASTER_DATABASE'!M56)), IFERROR(VALUE(SUBSTITUTE('01_MASTER_DATABASE'!N56,"mm","")),0)&gt;=32),"✓","✗")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'01_MASTER_DATABASE'!M57</f>
        <v/>
      </c>
      <c r="D60" s="113">
        <f>IF(ISNUMBER(SEARCH("5",'01_MASTER_DATABASE'!M57)),5,8)</f>
        <v/>
      </c>
      <c r="E60" s="113">
        <f>IFERROR(VALUE(SUBSTITUTE('01_MASTER_DATABASE'!N57,"mm","")),0)</f>
        <v/>
      </c>
      <c r="F60" s="113">
        <f>IF(OR(ISNUMBER(SEARCH("hộp",'01_MASTER_DATABASE'!M57)), IFERROR(VALUE(SUBSTITUTE('01_MASTER_DATABASE'!N57,"mm","")),0)&gt;=20),"✓","✗")</f>
        <v/>
      </c>
      <c r="G60" s="113">
        <f>IF(OR(ISNUMBER(SEARCH("3 lớp",'01_MASTER_DATABASE'!M57)), IFERROR(VALUE(SUBSTITUTE('01_MASTER_DATABASE'!N57,"mm","")),0)&gt;=32),"✓","✗")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'01_MASTER_DATABASE'!M58</f>
        <v/>
      </c>
      <c r="D61" s="113">
        <f>IF(ISNUMBER(SEARCH("5",'01_MASTER_DATABASE'!M58)),5,8)</f>
        <v/>
      </c>
      <c r="E61" s="113">
        <f>IFERROR(VALUE(SUBSTITUTE('01_MASTER_DATABASE'!N58,"mm","")),0)</f>
        <v/>
      </c>
      <c r="F61" s="113">
        <f>IF(OR(ISNUMBER(SEARCH("hộp",'01_MASTER_DATABASE'!M58)), IFERROR(VALUE(SUBSTITUTE('01_MASTER_DATABASE'!N58,"mm","")),0)&gt;=20),"✓","✗")</f>
        <v/>
      </c>
      <c r="G61" s="113">
        <f>IF(OR(ISNUMBER(SEARCH("3 lớp",'01_MASTER_DATABASE'!M58)), IFERROR(VALUE(SUBSTITUTE('01_MASTER_DATABASE'!N58,"mm","")),0)&gt;=32),"✓","✗")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'01_MASTER_DATABASE'!M59</f>
        <v/>
      </c>
      <c r="D62" s="113">
        <f>IF(ISNUMBER(SEARCH("5",'01_MASTER_DATABASE'!M59)),5,8)</f>
        <v/>
      </c>
      <c r="E62" s="113">
        <f>IFERROR(VALUE(SUBSTITUTE('01_MASTER_DATABASE'!N59,"mm","")),0)</f>
        <v/>
      </c>
      <c r="F62" s="113">
        <f>IF(OR(ISNUMBER(SEARCH("hộp",'01_MASTER_DATABASE'!M59)), IFERROR(VALUE(SUBSTITUTE('01_MASTER_DATABASE'!N59,"mm","")),0)&gt;=20),"✓","✗")</f>
        <v/>
      </c>
      <c r="G62" s="113">
        <f>IF(OR(ISNUMBER(SEARCH("3 lớp",'01_MASTER_DATABASE'!M59)), IFERROR(VALUE(SUBSTITUTE('01_MASTER_DATABASE'!N59,"mm","")),0)&gt;=32),"✓","✗")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'01_MASTER_DATABASE'!M60</f>
        <v/>
      </c>
      <c r="D63" s="113">
        <f>IF(ISNUMBER(SEARCH("5",'01_MASTER_DATABASE'!M60)),5,8)</f>
        <v/>
      </c>
      <c r="E63" s="113">
        <f>IFERROR(VALUE(SUBSTITUTE('01_MASTER_DATABASE'!N60,"mm","")),0)</f>
        <v/>
      </c>
      <c r="F63" s="113">
        <f>IF(OR(ISNUMBER(SEARCH("hộp",'01_MASTER_DATABASE'!M60)), IFERROR(VALUE(SUBSTITUTE('01_MASTER_DATABASE'!N60,"mm","")),0)&gt;=20),"✓","✗")</f>
        <v/>
      </c>
      <c r="G63" s="113">
        <f>IF(OR(ISNUMBER(SEARCH("3 lớp",'01_MASTER_DATABASE'!M60)), IFERROR(VALUE(SUBSTITUTE('01_MASTER_DATABASE'!N60,"mm","")),0)&gt;=32),"✓","✗")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'01_MASTER_DATABASE'!M61</f>
        <v/>
      </c>
      <c r="D64" s="113">
        <f>IF(ISNUMBER(SEARCH("5",'01_MASTER_DATABASE'!M61)),5,8)</f>
        <v/>
      </c>
      <c r="E64" s="113">
        <f>IFERROR(VALUE(SUBSTITUTE('01_MASTER_DATABASE'!N61,"mm","")),0)</f>
        <v/>
      </c>
      <c r="F64" s="113">
        <f>IF(OR(ISNUMBER(SEARCH("hộp",'01_MASTER_DATABASE'!M61)), IFERROR(VALUE(SUBSTITUTE('01_MASTER_DATABASE'!N61,"mm","")),0)&gt;=20),"✓","✗")</f>
        <v/>
      </c>
      <c r="G64" s="113">
        <f>IF(OR(ISNUMBER(SEARCH("3 lớp",'01_MASTER_DATABASE'!M61)), IFERROR(VALUE(SUBSTITUTE('01_MASTER_DATABASE'!N61,"mm","")),0)&gt;=32),"✓","✗")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'01_MASTER_DATABASE'!M62</f>
        <v/>
      </c>
      <c r="D65" s="113">
        <f>IF(ISNUMBER(SEARCH("5",'01_MASTER_DATABASE'!M62)),5,8)</f>
        <v/>
      </c>
      <c r="E65" s="113">
        <f>IFERROR(VALUE(SUBSTITUTE('01_MASTER_DATABASE'!N62,"mm","")),0)</f>
        <v/>
      </c>
      <c r="F65" s="113">
        <f>IF(OR(ISNUMBER(SEARCH("hộp",'01_MASTER_DATABASE'!M62)), IFERROR(VALUE(SUBSTITUTE('01_MASTER_DATABASE'!N62,"mm","")),0)&gt;=20),"✓","✗")</f>
        <v/>
      </c>
      <c r="G65" s="113">
        <f>IF(OR(ISNUMBER(SEARCH("3 lớp",'01_MASTER_DATABASE'!M62)), IFERROR(VALUE(SUBSTITUTE('01_MASTER_DATABASE'!N62,"mm","")),0)&gt;=32),"✓","✗")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'01_MASTER_DATABASE'!M63</f>
        <v/>
      </c>
      <c r="D66" s="113">
        <f>IF(ISNUMBER(SEARCH("5",'01_MASTER_DATABASE'!M63)),5,8)</f>
        <v/>
      </c>
      <c r="E66" s="113">
        <f>IFERROR(VALUE(SUBSTITUTE('01_MASTER_DATABASE'!N63,"mm","")),0)</f>
        <v/>
      </c>
      <c r="F66" s="113">
        <f>IF(OR(ISNUMBER(SEARCH("hộp",'01_MASTER_DATABASE'!M63)), IFERROR(VALUE(SUBSTITUTE('01_MASTER_DATABASE'!N63,"mm","")),0)&gt;=20),"✓","✗")</f>
        <v/>
      </c>
      <c r="G66" s="113">
        <f>IF(OR(ISNUMBER(SEARCH("3 lớp",'01_MASTER_DATABASE'!M63)), IFERROR(VALUE(SUBSTITUTE('01_MASTER_DATABASE'!N63,"mm","")),0)&gt;=32),"✓","✗")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'01_MASTER_DATABASE'!M64</f>
        <v/>
      </c>
      <c r="D67" s="113">
        <f>IF(ISNUMBER(SEARCH("5",'01_MASTER_DATABASE'!M64)),5,8)</f>
        <v/>
      </c>
      <c r="E67" s="113">
        <f>IFERROR(VALUE(SUBSTITUTE('01_MASTER_DATABASE'!N64,"mm","")),0)</f>
        <v/>
      </c>
      <c r="F67" s="113">
        <f>IF(OR(ISNUMBER(SEARCH("hộp",'01_MASTER_DATABASE'!M64)), IFERROR(VALUE(SUBSTITUTE('01_MASTER_DATABASE'!N64,"mm","")),0)&gt;=20),"✓","✗")</f>
        <v/>
      </c>
      <c r="G67" s="113">
        <f>IF(OR(ISNUMBER(SEARCH("3 lớp",'01_MASTER_DATABASE'!M64)), IFERROR(VALUE(SUBSTITUTE('01_MASTER_DATABASE'!N64,"mm","")),0)&gt;=32),"✓","✗")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'01_MASTER_DATABASE'!M65</f>
        <v/>
      </c>
      <c r="D68" s="113">
        <f>IF(ISNUMBER(SEARCH("5",'01_MASTER_DATABASE'!M65)),5,8)</f>
        <v/>
      </c>
      <c r="E68" s="113">
        <f>IFERROR(VALUE(SUBSTITUTE('01_MASTER_DATABASE'!N65,"mm","")),0)</f>
        <v/>
      </c>
      <c r="F68" s="113">
        <f>IF(OR(ISNUMBER(SEARCH("hộp",'01_MASTER_DATABASE'!M65)), IFERROR(VALUE(SUBSTITUTE('01_MASTER_DATABASE'!N65,"mm","")),0)&gt;=20),"✓","✗")</f>
        <v/>
      </c>
      <c r="G68" s="113">
        <f>IF(OR(ISNUMBER(SEARCH("3 lớp",'01_MASTER_DATABASE'!M65)), IFERROR(VALUE(SUBSTITUTE('01_MASTER_DATABASE'!N65,"mm","")),0)&gt;=32),"✓","✗")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'01_MASTER_DATABASE'!M66</f>
        <v/>
      </c>
      <c r="D69" s="113">
        <f>IF(ISNUMBER(SEARCH("5",'01_MASTER_DATABASE'!M66)),5,8)</f>
        <v/>
      </c>
      <c r="E69" s="113">
        <f>IFERROR(VALUE(SUBSTITUTE('01_MASTER_DATABASE'!N66,"mm","")),0)</f>
        <v/>
      </c>
      <c r="F69" s="113">
        <f>IF(OR(ISNUMBER(SEARCH("hộp",'01_MASTER_DATABASE'!M66)), IFERROR(VALUE(SUBSTITUTE('01_MASTER_DATABASE'!N66,"mm","")),0)&gt;=20),"✓","✗")</f>
        <v/>
      </c>
      <c r="G69" s="113">
        <f>IF(OR(ISNUMBER(SEARCH("3 lớp",'01_MASTER_DATABASE'!M66)), IFERROR(VALUE(SUBSTITUTE('01_MASTER_DATABASE'!N66,"mm","")),0)&gt;=32),"✓","✗")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'01_MASTER_DATABASE'!M67</f>
        <v/>
      </c>
      <c r="D70" s="113">
        <f>IF(ISNUMBER(SEARCH("5",'01_MASTER_DATABASE'!M67)),5,8)</f>
        <v/>
      </c>
      <c r="E70" s="113">
        <f>IFERROR(VALUE(SUBSTITUTE('01_MASTER_DATABASE'!N67,"mm","")),0)</f>
        <v/>
      </c>
      <c r="F70" s="113">
        <f>IF(OR(ISNUMBER(SEARCH("hộp",'01_MASTER_DATABASE'!M67)), IFERROR(VALUE(SUBSTITUTE('01_MASTER_DATABASE'!N67,"mm","")),0)&gt;=20),"✓","✗")</f>
        <v/>
      </c>
      <c r="G70" s="113">
        <f>IF(OR(ISNUMBER(SEARCH("3 lớp",'01_MASTER_DATABASE'!M67)), IFERROR(VALUE(SUBSTITUTE('01_MASTER_DATABASE'!N67,"mm","")),0)&gt;=32),"✓","✗")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'01_MASTER_DATABASE'!M68</f>
        <v/>
      </c>
      <c r="D71" s="113">
        <f>IF(ISNUMBER(SEARCH("5",'01_MASTER_DATABASE'!M68)),5,8)</f>
        <v/>
      </c>
      <c r="E71" s="113">
        <f>IFERROR(VALUE(SUBSTITUTE('01_MASTER_DATABASE'!N68,"mm","")),0)</f>
        <v/>
      </c>
      <c r="F71" s="113">
        <f>IF(OR(ISNUMBER(SEARCH("hộp",'01_MASTER_DATABASE'!M68)), IFERROR(VALUE(SUBSTITUTE('01_MASTER_DATABASE'!N68,"mm","")),0)&gt;=20),"✓","✗")</f>
        <v/>
      </c>
      <c r="G71" s="113">
        <f>IF(OR(ISNUMBER(SEARCH("3 lớp",'01_MASTER_DATABASE'!M68)), IFERROR(VALUE(SUBSTITUTE('01_MASTER_DATABASE'!N68,"mm","")),0)&gt;=32),"✓","✗")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'01_MASTER_DATABASE'!M69</f>
        <v/>
      </c>
      <c r="D72" s="113">
        <f>IF(ISNUMBER(SEARCH("5",'01_MASTER_DATABASE'!M69)),5,8)</f>
        <v/>
      </c>
      <c r="E72" s="113">
        <f>IFERROR(VALUE(SUBSTITUTE('01_MASTER_DATABASE'!N69,"mm","")),0)</f>
        <v/>
      </c>
      <c r="F72" s="113">
        <f>IF(OR(ISNUMBER(SEARCH("hộp",'01_MASTER_DATABASE'!M69)), IFERROR(VALUE(SUBSTITUTE('01_MASTER_DATABASE'!N69,"mm","")),0)&gt;=20),"✓","✗")</f>
        <v/>
      </c>
      <c r="G72" s="113">
        <f>IF(OR(ISNUMBER(SEARCH("3 lớp",'01_MASTER_DATABASE'!M69)), IFERROR(VALUE(SUBSTITUTE('01_MASTER_DATABASE'!N69,"mm","")),0)&gt;=32),"✓","✗")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'01_MASTER_DATABASE'!M70</f>
        <v/>
      </c>
      <c r="D73" s="113">
        <f>IF(ISNUMBER(SEARCH("5",'01_MASTER_DATABASE'!M70)),5,8)</f>
        <v/>
      </c>
      <c r="E73" s="113">
        <f>IFERROR(VALUE(SUBSTITUTE('01_MASTER_DATABASE'!N70,"mm","")),0)</f>
        <v/>
      </c>
      <c r="F73" s="113">
        <f>IF(OR(ISNUMBER(SEARCH("hộp",'01_MASTER_DATABASE'!M70)), IFERROR(VALUE(SUBSTITUTE('01_MASTER_DATABASE'!N70,"mm","")),0)&gt;=20),"✓","✗")</f>
        <v/>
      </c>
      <c r="G73" s="113">
        <f>IF(OR(ISNUMBER(SEARCH("3 lớp",'01_MASTER_DATABASE'!M70)), IFERROR(VALUE(SUBSTITUTE('01_MASTER_DATABASE'!N70,"mm","")),0)&gt;=32),"✓","✗")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'01_MASTER_DATABASE'!M71</f>
        <v/>
      </c>
      <c r="D74" s="113">
        <f>IF(ISNUMBER(SEARCH("5",'01_MASTER_DATABASE'!M71)),5,8)</f>
        <v/>
      </c>
      <c r="E74" s="113">
        <f>IFERROR(VALUE(SUBSTITUTE('01_MASTER_DATABASE'!N71,"mm","")),0)</f>
        <v/>
      </c>
      <c r="F74" s="113">
        <f>IF(OR(ISNUMBER(SEARCH("hộp",'01_MASTER_DATABASE'!M71)), IFERROR(VALUE(SUBSTITUTE('01_MASTER_DATABASE'!N71,"mm","")),0)&gt;=20),"✓","✗")</f>
        <v/>
      </c>
      <c r="G74" s="113">
        <f>IF(OR(ISNUMBER(SEARCH("3 lớp",'01_MASTER_DATABASE'!M71)), IFERROR(VALUE(SUBSTITUTE('01_MASTER_DATABASE'!N71,"mm","")),0)&gt;=32),"✓","✗")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'01_MASTER_DATABASE'!M72</f>
        <v/>
      </c>
      <c r="D75" s="113">
        <f>IF(ISNUMBER(SEARCH("5",'01_MASTER_DATABASE'!M72)),5,8)</f>
        <v/>
      </c>
      <c r="E75" s="113">
        <f>IFERROR(VALUE(SUBSTITUTE('01_MASTER_DATABASE'!N72,"mm","")),0)</f>
        <v/>
      </c>
      <c r="F75" s="113">
        <f>IF(OR(ISNUMBER(SEARCH("hộp",'01_MASTER_DATABASE'!M72)), IFERROR(VALUE(SUBSTITUTE('01_MASTER_DATABASE'!N72,"mm","")),0)&gt;=20),"✓","✗")</f>
        <v/>
      </c>
      <c r="G75" s="113">
        <f>IF(OR(ISNUMBER(SEARCH("3 lớp",'01_MASTER_DATABASE'!M72)), IFERROR(VALUE(SUBSTITUTE('01_MASTER_DATABASE'!N72,"mm","")),0)&gt;=32),"✓","✗")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'01_MASTER_DATABASE'!M73</f>
        <v/>
      </c>
      <c r="D76" s="113">
        <f>IF(ISNUMBER(SEARCH("5",'01_MASTER_DATABASE'!M73)),5,8)</f>
        <v/>
      </c>
      <c r="E76" s="113">
        <f>IFERROR(VALUE(SUBSTITUTE('01_MASTER_DATABASE'!N73,"mm","")),0)</f>
        <v/>
      </c>
      <c r="F76" s="113">
        <f>IF(OR(ISNUMBER(SEARCH("hộp",'01_MASTER_DATABASE'!M73)), IFERROR(VALUE(SUBSTITUTE('01_MASTER_DATABASE'!N73,"mm","")),0)&gt;=20),"✓","✗")</f>
        <v/>
      </c>
      <c r="G76" s="113">
        <f>IF(OR(ISNUMBER(SEARCH("3 lớp",'01_MASTER_DATABASE'!M73)), IFERROR(VALUE(SUBSTITUTE('01_MASTER_DATABASE'!N73,"mm","")),0)&gt;=32),"✓","✗")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'01_MASTER_DATABASE'!M74</f>
        <v/>
      </c>
      <c r="D77" s="113">
        <f>IF(ISNUMBER(SEARCH("5",'01_MASTER_DATABASE'!M74)),5,8)</f>
        <v/>
      </c>
      <c r="E77" s="113">
        <f>IFERROR(VALUE(SUBSTITUTE('01_MASTER_DATABASE'!N74,"mm","")),0)</f>
        <v/>
      </c>
      <c r="F77" s="113">
        <f>IF(OR(ISNUMBER(SEARCH("hộp",'01_MASTER_DATABASE'!M74)), IFERROR(VALUE(SUBSTITUTE('01_MASTER_DATABASE'!N74,"mm","")),0)&gt;=20),"✓","✗")</f>
        <v/>
      </c>
      <c r="G77" s="113">
        <f>IF(OR(ISNUMBER(SEARCH("3 lớp",'01_MASTER_DATABASE'!M74)), IFERROR(VALUE(SUBSTITUTE('01_MASTER_DATABASE'!N74,"mm","")),0)&gt;=32),"✓","✗")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'01_MASTER_DATABASE'!M75</f>
        <v/>
      </c>
      <c r="D78" s="113">
        <f>IF(ISNUMBER(SEARCH("5",'01_MASTER_DATABASE'!M75)),5,8)</f>
        <v/>
      </c>
      <c r="E78" s="113">
        <f>IFERROR(VALUE(SUBSTITUTE('01_MASTER_DATABASE'!N75,"mm","")),0)</f>
        <v/>
      </c>
      <c r="F78" s="113">
        <f>IF(OR(ISNUMBER(SEARCH("hộp",'01_MASTER_DATABASE'!M75)), IFERROR(VALUE(SUBSTITUTE('01_MASTER_DATABASE'!N75,"mm","")),0)&gt;=20),"✓","✗")</f>
        <v/>
      </c>
      <c r="G78" s="113">
        <f>IF(OR(ISNUMBER(SEARCH("3 lớp",'01_MASTER_DATABASE'!M75)), IFERROR(VALUE(SUBSTITUTE('01_MASTER_DATABASE'!N75,"mm","")),0)&gt;=32),"✓","✗")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'01_MASTER_DATABASE'!M76</f>
        <v/>
      </c>
      <c r="D79" s="113">
        <f>IF(ISNUMBER(SEARCH("5",'01_MASTER_DATABASE'!M76)),5,8)</f>
        <v/>
      </c>
      <c r="E79" s="113">
        <f>IFERROR(VALUE(SUBSTITUTE('01_MASTER_DATABASE'!N76,"mm","")),0)</f>
        <v/>
      </c>
      <c r="F79" s="113">
        <f>IF(OR(ISNUMBER(SEARCH("hộp",'01_MASTER_DATABASE'!M76)), IFERROR(VALUE(SUBSTITUTE('01_MASTER_DATABASE'!N76,"mm","")),0)&gt;=20),"✓","✗")</f>
        <v/>
      </c>
      <c r="G79" s="113">
        <f>IF(OR(ISNUMBER(SEARCH("3 lớp",'01_MASTER_DATABASE'!M76)), IFERROR(VALUE(SUBSTITUTE('01_MASTER_DATABASE'!N76,"mm","")),0)&gt;=32),"✓","✗")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'01_MASTER_DATABASE'!M77</f>
        <v/>
      </c>
      <c r="D80" s="113">
        <f>IF(ISNUMBER(SEARCH("5",'01_MASTER_DATABASE'!M77)),5,8)</f>
        <v/>
      </c>
      <c r="E80" s="113">
        <f>IFERROR(VALUE(SUBSTITUTE('01_MASTER_DATABASE'!N77,"mm","")),0)</f>
        <v/>
      </c>
      <c r="F80" s="113">
        <f>IF(OR(ISNUMBER(SEARCH("hộp",'01_MASTER_DATABASE'!M77)), IFERROR(VALUE(SUBSTITUTE('01_MASTER_DATABASE'!N77,"mm","")),0)&gt;=20),"✓","✗")</f>
        <v/>
      </c>
      <c r="G80" s="113">
        <f>IF(OR(ISNUMBER(SEARCH("3 lớp",'01_MASTER_DATABASE'!M77)), IFERROR(VALUE(SUBSTITUTE('01_MASTER_DATABASE'!N77,"mm","")),0)&gt;=32),"✓","✗")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'01_MASTER_DATABASE'!M78</f>
        <v/>
      </c>
      <c r="D81" s="113">
        <f>IF(ISNUMBER(SEARCH("5",'01_MASTER_DATABASE'!M78)),5,8)</f>
        <v/>
      </c>
      <c r="E81" s="113">
        <f>IFERROR(VALUE(SUBSTITUTE('01_MASTER_DATABASE'!N78,"mm","")),0)</f>
        <v/>
      </c>
      <c r="F81" s="113">
        <f>IF(OR(ISNUMBER(SEARCH("hộp",'01_MASTER_DATABASE'!M78)), IFERROR(VALUE(SUBSTITUTE('01_MASTER_DATABASE'!N78,"mm","")),0)&gt;=20),"✓","✗")</f>
        <v/>
      </c>
      <c r="G81" s="113">
        <f>IF(OR(ISNUMBER(SEARCH("3 lớp",'01_MASTER_DATABASE'!M78)), IFERROR(VALUE(SUBSTITUTE('01_MASTER_DATABASE'!N78,"mm","")),0)&gt;=32),"✓","✗")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'01_MASTER_DATABASE'!M79</f>
        <v/>
      </c>
      <c r="D82" s="113">
        <f>IF(ISNUMBER(SEARCH("5",'01_MASTER_DATABASE'!M79)),5,8)</f>
        <v/>
      </c>
      <c r="E82" s="113">
        <f>IFERROR(VALUE(SUBSTITUTE('01_MASTER_DATABASE'!N79,"mm","")),0)</f>
        <v/>
      </c>
      <c r="F82" s="113">
        <f>IF(OR(ISNUMBER(SEARCH("hộp",'01_MASTER_DATABASE'!M79)), IFERROR(VALUE(SUBSTITUTE('01_MASTER_DATABASE'!N79,"mm","")),0)&gt;=20),"✓","✗")</f>
        <v/>
      </c>
      <c r="G82" s="113">
        <f>IF(OR(ISNUMBER(SEARCH("3 lớp",'01_MASTER_DATABASE'!M79)), IFERROR(VALUE(SUBSTITUTE('01_MASTER_DATABASE'!N79,"mm","")),0)&gt;=32),"✓","✗")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'01_MASTER_DATABASE'!M80</f>
        <v/>
      </c>
      <c r="D83" s="113">
        <f>IF(ISNUMBER(SEARCH("5",'01_MASTER_DATABASE'!M80)),5,8)</f>
        <v/>
      </c>
      <c r="E83" s="113">
        <f>IFERROR(VALUE(SUBSTITUTE('01_MASTER_DATABASE'!N80,"mm","")),0)</f>
        <v/>
      </c>
      <c r="F83" s="113">
        <f>IF(OR(ISNUMBER(SEARCH("hộp",'01_MASTER_DATABASE'!M80)), IFERROR(VALUE(SUBSTITUTE('01_MASTER_DATABASE'!N80,"mm","")),0)&gt;=20),"✓","✗")</f>
        <v/>
      </c>
      <c r="G83" s="113">
        <f>IF(OR(ISNUMBER(SEARCH("3 lớp",'01_MASTER_DATABASE'!M80)), IFERROR(VALUE(SUBSTITUTE('01_MASTER_DATABASE'!N80,"mm","")),0)&gt;=32),"✓","✗")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'01_MASTER_DATABASE'!M81</f>
        <v/>
      </c>
      <c r="D84" s="113">
        <f>IF(ISNUMBER(SEARCH("5",'01_MASTER_DATABASE'!M81)),5,8)</f>
        <v/>
      </c>
      <c r="E84" s="113">
        <f>IFERROR(VALUE(SUBSTITUTE('01_MASTER_DATABASE'!N81,"mm","")),0)</f>
        <v/>
      </c>
      <c r="F84" s="113">
        <f>IF(OR(ISNUMBER(SEARCH("hộp",'01_MASTER_DATABASE'!M81)), IFERROR(VALUE(SUBSTITUTE('01_MASTER_DATABASE'!N81,"mm","")),0)&gt;=20),"✓","✗")</f>
        <v/>
      </c>
      <c r="G84" s="113">
        <f>IF(OR(ISNUMBER(SEARCH("3 lớp",'01_MASTER_DATABASE'!M81)), IFERROR(VALUE(SUBSTITUTE('01_MASTER_DATABASE'!N81,"mm","")),0)&gt;=32),"✓","✗")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'01_MASTER_DATABASE'!M82</f>
        <v/>
      </c>
      <c r="D85" s="113">
        <f>IF(ISNUMBER(SEARCH("5",'01_MASTER_DATABASE'!M82)),5,8)</f>
        <v/>
      </c>
      <c r="E85" s="113">
        <f>IFERROR(VALUE(SUBSTITUTE('01_MASTER_DATABASE'!N82,"mm","")),0)</f>
        <v/>
      </c>
      <c r="F85" s="113">
        <f>IF(OR(ISNUMBER(SEARCH("hộp",'01_MASTER_DATABASE'!M82)), IFERROR(VALUE(SUBSTITUTE('01_MASTER_DATABASE'!N82,"mm","")),0)&gt;=20),"✓","✗")</f>
        <v/>
      </c>
      <c r="G85" s="113">
        <f>IF(OR(ISNUMBER(SEARCH("3 lớp",'01_MASTER_DATABASE'!M82)), IFERROR(VALUE(SUBSTITUTE('01_MASTER_DATABASE'!N82,"mm","")),0)&gt;=32),"✓","✗")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'01_MASTER_DATABASE'!M83</f>
        <v/>
      </c>
      <c r="D86" s="113">
        <f>IF(ISNUMBER(SEARCH("5",'01_MASTER_DATABASE'!M83)),5,8)</f>
        <v/>
      </c>
      <c r="E86" s="113">
        <f>IFERROR(VALUE(SUBSTITUTE('01_MASTER_DATABASE'!N83,"mm","")),0)</f>
        <v/>
      </c>
      <c r="F86" s="113">
        <f>IF(OR(ISNUMBER(SEARCH("hộp",'01_MASTER_DATABASE'!M83)), IFERROR(VALUE(SUBSTITUTE('01_MASTER_DATABASE'!N83,"mm","")),0)&gt;=20),"✓","✗")</f>
        <v/>
      </c>
      <c r="G86" s="113">
        <f>IF(OR(ISNUMBER(SEARCH("3 lớp",'01_MASTER_DATABASE'!M83)), IFERROR(VALUE(SUBSTITUTE('01_MASTER_DATABASE'!N83,"mm","")),0)&gt;=32),"✓","✗")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'01_MASTER_DATABASE'!M84</f>
        <v/>
      </c>
      <c r="D87" s="113">
        <f>IF(ISNUMBER(SEARCH("5",'01_MASTER_DATABASE'!M84)),5,8)</f>
        <v/>
      </c>
      <c r="E87" s="113">
        <f>IFERROR(VALUE(SUBSTITUTE('01_MASTER_DATABASE'!N84,"mm","")),0)</f>
        <v/>
      </c>
      <c r="F87" s="113">
        <f>IF(OR(ISNUMBER(SEARCH("hộp",'01_MASTER_DATABASE'!M84)), IFERROR(VALUE(SUBSTITUTE('01_MASTER_DATABASE'!N84,"mm","")),0)&gt;=20),"✓","✗")</f>
        <v/>
      </c>
      <c r="G87" s="113">
        <f>IF(OR(ISNUMBER(SEARCH("3 lớp",'01_MASTER_DATABASE'!M84)), IFERROR(VALUE(SUBSTITUTE('01_MASTER_DATABASE'!N84,"mm","")),0)&gt;=32),"✓","✗")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'01_MASTER_DATABASE'!M85</f>
        <v/>
      </c>
      <c r="D88" s="113">
        <f>IF(ISNUMBER(SEARCH("5",'01_MASTER_DATABASE'!M85)),5,8)</f>
        <v/>
      </c>
      <c r="E88" s="113">
        <f>IFERROR(VALUE(SUBSTITUTE('01_MASTER_DATABASE'!N85,"mm","")),0)</f>
        <v/>
      </c>
      <c r="F88" s="113">
        <f>IF(OR(ISNUMBER(SEARCH("hộp",'01_MASTER_DATABASE'!M85)), IFERROR(VALUE(SUBSTITUTE('01_MASTER_DATABASE'!N85,"mm","")),0)&gt;=20),"✓","✗")</f>
        <v/>
      </c>
      <c r="G88" s="113">
        <f>IF(OR(ISNUMBER(SEARCH("3 lớp",'01_MASTER_DATABASE'!M85)), IFERROR(VALUE(SUBSTITUTE('01_MASTER_DATABASE'!N85,"mm","")),0)&gt;=32),"✓","✗")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'01_MASTER_DATABASE'!M86</f>
        <v/>
      </c>
      <c r="D89" s="113">
        <f>IF(ISNUMBER(SEARCH("5",'01_MASTER_DATABASE'!M86)),5,8)</f>
        <v/>
      </c>
      <c r="E89" s="113">
        <f>IFERROR(VALUE(SUBSTITUTE('01_MASTER_DATABASE'!N86,"mm","")),0)</f>
        <v/>
      </c>
      <c r="F89" s="113">
        <f>IF(OR(ISNUMBER(SEARCH("hộp",'01_MASTER_DATABASE'!M86)), IFERROR(VALUE(SUBSTITUTE('01_MASTER_DATABASE'!N86,"mm","")),0)&gt;=20),"✓","✗")</f>
        <v/>
      </c>
      <c r="G89" s="113">
        <f>IF(OR(ISNUMBER(SEARCH("3 lớp",'01_MASTER_DATABASE'!M86)), IFERROR(VALUE(SUBSTITUTE('01_MASTER_DATABASE'!N86,"mm","")),0)&gt;=32),"✓","✗")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'01_MASTER_DATABASE'!M87</f>
        <v/>
      </c>
      <c r="D90" s="113">
        <f>IF(ISNUMBER(SEARCH("5",'01_MASTER_DATABASE'!M87)),5,8)</f>
        <v/>
      </c>
      <c r="E90" s="113">
        <f>IFERROR(VALUE(SUBSTITUTE('01_MASTER_DATABASE'!N87,"mm","")),0)</f>
        <v/>
      </c>
      <c r="F90" s="113">
        <f>IF(OR(ISNUMBER(SEARCH("hộp",'01_MASTER_DATABASE'!M87)), IFERROR(VALUE(SUBSTITUTE('01_MASTER_DATABASE'!N87,"mm","")),0)&gt;=20),"✓","✗")</f>
        <v/>
      </c>
      <c r="G90" s="113">
        <f>IF(OR(ISNUMBER(SEARCH("3 lớp",'01_MASTER_DATABASE'!M87)), IFERROR(VALUE(SUBSTITUTE('01_MASTER_DATABASE'!N87,"mm","")),0)&gt;=32),"✓","✗")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'01_MASTER_DATABASE'!M88</f>
        <v/>
      </c>
      <c r="D91" s="113">
        <f>IF(ISNUMBER(SEARCH("5",'01_MASTER_DATABASE'!M88)),5,8)</f>
        <v/>
      </c>
      <c r="E91" s="113">
        <f>IFERROR(VALUE(SUBSTITUTE('01_MASTER_DATABASE'!N88,"mm","")),0)</f>
        <v/>
      </c>
      <c r="F91" s="113">
        <f>IF(OR(ISNUMBER(SEARCH("hộp",'01_MASTER_DATABASE'!M88)), IFERROR(VALUE(SUBSTITUTE('01_MASTER_DATABASE'!N88,"mm","")),0)&gt;=20),"✓","✗")</f>
        <v/>
      </c>
      <c r="G91" s="113">
        <f>IF(OR(ISNUMBER(SEARCH("3 lớp",'01_MASTER_DATABASE'!M88)), IFERROR(VALUE(SUBSTITUTE('01_MASTER_DATABASE'!N88,"mm","")),0)&gt;=32),"✓","✗")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'01_MASTER_DATABASE'!M89</f>
        <v/>
      </c>
      <c r="D92" s="113">
        <f>IF(ISNUMBER(SEARCH("5",'01_MASTER_DATABASE'!M89)),5,8)</f>
        <v/>
      </c>
      <c r="E92" s="113">
        <f>IFERROR(VALUE(SUBSTITUTE('01_MASTER_DATABASE'!N89,"mm","")),0)</f>
        <v/>
      </c>
      <c r="F92" s="113">
        <f>IF(OR(ISNUMBER(SEARCH("hộp",'01_MASTER_DATABASE'!M89)), IFERROR(VALUE(SUBSTITUTE('01_MASTER_DATABASE'!N89,"mm","")),0)&gt;=20),"✓","✗")</f>
        <v/>
      </c>
      <c r="G92" s="113">
        <f>IF(OR(ISNUMBER(SEARCH("3 lớp",'01_MASTER_DATABASE'!M89)), IFERROR(VALUE(SUBSTITUTE('01_MASTER_DATABASE'!N89,"mm","")),0)&gt;=32),"✓","✗")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'01_MASTER_DATABASE'!M90</f>
        <v/>
      </c>
      <c r="D93" s="113">
        <f>IF(ISNUMBER(SEARCH("5",'01_MASTER_DATABASE'!M90)),5,8)</f>
        <v/>
      </c>
      <c r="E93" s="113">
        <f>IFERROR(VALUE(SUBSTITUTE('01_MASTER_DATABASE'!N90,"mm","")),0)</f>
        <v/>
      </c>
      <c r="F93" s="113">
        <f>IF(OR(ISNUMBER(SEARCH("hộp",'01_MASTER_DATABASE'!M90)), IFERROR(VALUE(SUBSTITUTE('01_MASTER_DATABASE'!N90,"mm","")),0)&gt;=20),"✓","✗")</f>
        <v/>
      </c>
      <c r="G93" s="113">
        <f>IF(OR(ISNUMBER(SEARCH("3 lớp",'01_MASTER_DATABASE'!M90)), IFERROR(VALUE(SUBSTITUTE('01_MASTER_DATABASE'!N90,"mm","")),0)&gt;=32),"✓","✗")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'01_MASTER_DATABASE'!M91</f>
        <v/>
      </c>
      <c r="D94" s="113">
        <f>IF(ISNUMBER(SEARCH("5",'01_MASTER_DATABASE'!M91)),5,8)</f>
        <v/>
      </c>
      <c r="E94" s="113">
        <f>IFERROR(VALUE(SUBSTITUTE('01_MASTER_DATABASE'!N91,"mm","")),0)</f>
        <v/>
      </c>
      <c r="F94" s="113">
        <f>IF(OR(ISNUMBER(SEARCH("hộp",'01_MASTER_DATABASE'!M91)), IFERROR(VALUE(SUBSTITUTE('01_MASTER_DATABASE'!N91,"mm","")),0)&gt;=20),"✓","✗")</f>
        <v/>
      </c>
      <c r="G94" s="113">
        <f>IF(OR(ISNUMBER(SEARCH("3 lớp",'01_MASTER_DATABASE'!M91)), IFERROR(VALUE(SUBSTITUTE('01_MASTER_DATABASE'!N91,"mm","")),0)&gt;=32),"✓","✗")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'01_MASTER_DATABASE'!M92</f>
        <v/>
      </c>
      <c r="D95" s="113">
        <f>IF(ISNUMBER(SEARCH("5",'01_MASTER_DATABASE'!M92)),5,8)</f>
        <v/>
      </c>
      <c r="E95" s="113">
        <f>IFERROR(VALUE(SUBSTITUTE('01_MASTER_DATABASE'!N92,"mm","")),0)</f>
        <v/>
      </c>
      <c r="F95" s="113">
        <f>IF(OR(ISNUMBER(SEARCH("hộp",'01_MASTER_DATABASE'!M92)), IFERROR(VALUE(SUBSTITUTE('01_MASTER_DATABASE'!N92,"mm","")),0)&gt;=20),"✓","✗")</f>
        <v/>
      </c>
      <c r="G95" s="113">
        <f>IF(OR(ISNUMBER(SEARCH("3 lớp",'01_MASTER_DATABASE'!M92)), IFERROR(VALUE(SUBSTITUTE('01_MASTER_DATABASE'!N92,"mm","")),0)&gt;=32),"✓","✗")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'01_MASTER_DATABASE'!M93</f>
        <v/>
      </c>
      <c r="D96" s="113">
        <f>IF(ISNUMBER(SEARCH("5",'01_MASTER_DATABASE'!M93)),5,8)</f>
        <v/>
      </c>
      <c r="E96" s="113">
        <f>IFERROR(VALUE(SUBSTITUTE('01_MASTER_DATABASE'!N93,"mm","")),0)</f>
        <v/>
      </c>
      <c r="F96" s="113">
        <f>IF(OR(ISNUMBER(SEARCH("hộp",'01_MASTER_DATABASE'!M93)), IFERROR(VALUE(SUBSTITUTE('01_MASTER_DATABASE'!N93,"mm","")),0)&gt;=20),"✓","✗")</f>
        <v/>
      </c>
      <c r="G96" s="113">
        <f>IF(OR(ISNUMBER(SEARCH("3 lớp",'01_MASTER_DATABASE'!M93)), IFERROR(VALUE(SUBSTITUTE('01_MASTER_DATABASE'!N93,"mm","")),0)&gt;=32),"✓","✗")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'01_MASTER_DATABASE'!M94</f>
        <v/>
      </c>
      <c r="D97" s="113">
        <f>IF(ISNUMBER(SEARCH("5",'01_MASTER_DATABASE'!M94)),5,8)</f>
        <v/>
      </c>
      <c r="E97" s="113">
        <f>IFERROR(VALUE(SUBSTITUTE('01_MASTER_DATABASE'!N94,"mm","")),0)</f>
        <v/>
      </c>
      <c r="F97" s="113">
        <f>IF(OR(ISNUMBER(SEARCH("hộp",'01_MASTER_DATABASE'!M94)), IFERROR(VALUE(SUBSTITUTE('01_MASTER_DATABASE'!N94,"mm","")),0)&gt;=20),"✓","✗")</f>
        <v/>
      </c>
      <c r="G97" s="113">
        <f>IF(OR(ISNUMBER(SEARCH("3 lớp",'01_MASTER_DATABASE'!M94)), IFERROR(VALUE(SUBSTITUTE('01_MASTER_DATABASE'!N94,"mm","")),0)&gt;=32),"✓","✗")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'01_MASTER_DATABASE'!M95</f>
        <v/>
      </c>
      <c r="D98" s="113">
        <f>IF(ISNUMBER(SEARCH("5",'01_MASTER_DATABASE'!M95)),5,8)</f>
        <v/>
      </c>
      <c r="E98" s="113">
        <f>IFERROR(VALUE(SUBSTITUTE('01_MASTER_DATABASE'!N95,"mm","")),0)</f>
        <v/>
      </c>
      <c r="F98" s="113">
        <f>IF(OR(ISNUMBER(SEARCH("hộp",'01_MASTER_DATABASE'!M95)), IFERROR(VALUE(SUBSTITUTE('01_MASTER_DATABASE'!N95,"mm","")),0)&gt;=20),"✓","✗")</f>
        <v/>
      </c>
      <c r="G98" s="113">
        <f>IF(OR(ISNUMBER(SEARCH("3 lớp",'01_MASTER_DATABASE'!M95)), IFERROR(VALUE(SUBSTITUTE('01_MASTER_DATABASE'!N95,"mm","")),0)&gt;=32),"✓","✗")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'01_MASTER_DATABASE'!M96</f>
        <v/>
      </c>
      <c r="D99" s="113">
        <f>IF(ISNUMBER(SEARCH("5",'01_MASTER_DATABASE'!M96)),5,8)</f>
        <v/>
      </c>
      <c r="E99" s="113">
        <f>IFERROR(VALUE(SUBSTITUTE('01_MASTER_DATABASE'!N96,"mm","")),0)</f>
        <v/>
      </c>
      <c r="F99" s="113">
        <f>IF(OR(ISNUMBER(SEARCH("hộp",'01_MASTER_DATABASE'!M96)), IFERROR(VALUE(SUBSTITUTE('01_MASTER_DATABASE'!N96,"mm","")),0)&gt;=20),"✓","✗")</f>
        <v/>
      </c>
      <c r="G99" s="113">
        <f>IF(OR(ISNUMBER(SEARCH("3 lớp",'01_MASTER_DATABASE'!M96)), IFERROR(VALUE(SUBSTITUTE('01_MASTER_DATABASE'!N96,"mm","")),0)&gt;=32),"✓","✗")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'01_MASTER_DATABASE'!M97</f>
        <v/>
      </c>
      <c r="D100" s="113">
        <f>IF(ISNUMBER(SEARCH("5",'01_MASTER_DATABASE'!M97)),5,8)</f>
        <v/>
      </c>
      <c r="E100" s="113">
        <f>IFERROR(VALUE(SUBSTITUTE('01_MASTER_DATABASE'!N97,"mm","")),0)</f>
        <v/>
      </c>
      <c r="F100" s="113">
        <f>IF(OR(ISNUMBER(SEARCH("hộp",'01_MASTER_DATABASE'!M97)), IFERROR(VALUE(SUBSTITUTE('01_MASTER_DATABASE'!N97,"mm","")),0)&gt;=20),"✓","✗")</f>
        <v/>
      </c>
      <c r="G100" s="113">
        <f>IF(OR(ISNUMBER(SEARCH("3 lớp",'01_MASTER_DATABASE'!M97)), IFERROR(VALUE(SUBSTITUTE('01_MASTER_DATABASE'!N97,"mm","")),0)&gt;=32),"✓","✗")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'01_MASTER_DATABASE'!M98</f>
        <v/>
      </c>
      <c r="D101" s="113">
        <f>IF(ISNUMBER(SEARCH("5",'01_MASTER_DATABASE'!M98)),5,8)</f>
        <v/>
      </c>
      <c r="E101" s="113">
        <f>IFERROR(VALUE(SUBSTITUTE('01_MASTER_DATABASE'!N98,"mm","")),0)</f>
        <v/>
      </c>
      <c r="F101" s="113">
        <f>IF(OR(ISNUMBER(SEARCH("hộp",'01_MASTER_DATABASE'!M98)), IFERROR(VALUE(SUBSTITUTE('01_MASTER_DATABASE'!N98,"mm","")),0)&gt;=20),"✓","✗")</f>
        <v/>
      </c>
      <c r="G101" s="113">
        <f>IF(OR(ISNUMBER(SEARCH("3 lớp",'01_MASTER_DATABASE'!M98)), IFERROR(VALUE(SUBSTITUTE('01_MASTER_DATABASE'!N98,"mm","")),0)&gt;=32),"✓","✗")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'01_MASTER_DATABASE'!M99</f>
        <v/>
      </c>
      <c r="D102" s="113">
        <f>IF(ISNUMBER(SEARCH("5",'01_MASTER_DATABASE'!M99)),5,8)</f>
        <v/>
      </c>
      <c r="E102" s="113">
        <f>IFERROR(VALUE(SUBSTITUTE('01_MASTER_DATABASE'!N99,"mm","")),0)</f>
        <v/>
      </c>
      <c r="F102" s="113">
        <f>IF(OR(ISNUMBER(SEARCH("hộp",'01_MASTER_DATABASE'!M99)), IFERROR(VALUE(SUBSTITUTE('01_MASTER_DATABASE'!N99,"mm","")),0)&gt;=20),"✓","✗")</f>
        <v/>
      </c>
      <c r="G102" s="113">
        <f>IF(OR(ISNUMBER(SEARCH("3 lớp",'01_MASTER_DATABASE'!M99)), IFERROR(VALUE(SUBSTITUTE('01_MASTER_DATABASE'!N99,"mm","")),0)&gt;=32),"✓","✗")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'01_MASTER_DATABASE'!M100</f>
        <v/>
      </c>
      <c r="D103" s="113">
        <f>IF(ISNUMBER(SEARCH("5",'01_MASTER_DATABASE'!M100)),5,8)</f>
        <v/>
      </c>
      <c r="E103" s="113">
        <f>IFERROR(VALUE(SUBSTITUTE('01_MASTER_DATABASE'!N100,"mm","")),0)</f>
        <v/>
      </c>
      <c r="F103" s="113">
        <f>IF(OR(ISNUMBER(SEARCH("hộp",'01_MASTER_DATABASE'!M100)), IFERROR(VALUE(SUBSTITUTE('01_MASTER_DATABASE'!N100,"mm","")),0)&gt;=20),"✓","✗")</f>
        <v/>
      </c>
      <c r="G103" s="113">
        <f>IF(OR(ISNUMBER(SEARCH("3 lớp",'01_MASTER_DATABASE'!M100)), IFERROR(VALUE(SUBSTITUTE('01_MASTER_DATABASE'!N100,"mm","")),0)&gt;=32),"✓","✗")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'01_MASTER_DATABASE'!M101</f>
        <v/>
      </c>
      <c r="D104" s="113">
        <f>IF(ISNUMBER(SEARCH("5",'01_MASTER_DATABASE'!M101)),5,8)</f>
        <v/>
      </c>
      <c r="E104" s="113">
        <f>IFERROR(VALUE(SUBSTITUTE('01_MASTER_DATABASE'!N101,"mm","")),0)</f>
        <v/>
      </c>
      <c r="F104" s="113">
        <f>IF(OR(ISNUMBER(SEARCH("hộp",'01_MASTER_DATABASE'!M101)), IFERROR(VALUE(SUBSTITUTE('01_MASTER_DATABASE'!N101,"mm","")),0)&gt;=20),"✓","✗")</f>
        <v/>
      </c>
      <c r="G104" s="113">
        <f>IF(OR(ISNUMBER(SEARCH("3 lớp",'01_MASTER_DATABASE'!M101)), IFERROR(VALUE(SUBSTITUTE('01_MASTER_DATABASE'!N101,"mm","")),0)&gt;=32),"✓","✗")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'01_MASTER_DATABASE'!M102</f>
        <v/>
      </c>
      <c r="D105" s="113">
        <f>IF(ISNUMBER(SEARCH("5",'01_MASTER_DATABASE'!M102)),5,8)</f>
        <v/>
      </c>
      <c r="E105" s="113">
        <f>IFERROR(VALUE(SUBSTITUTE('01_MASTER_DATABASE'!N102,"mm","")),0)</f>
        <v/>
      </c>
      <c r="F105" s="113">
        <f>IF(OR(ISNUMBER(SEARCH("hộp",'01_MASTER_DATABASE'!M102)), IFERROR(VALUE(SUBSTITUTE('01_MASTER_DATABASE'!N102,"mm","")),0)&gt;=20),"✓","✗")</f>
        <v/>
      </c>
      <c r="G105" s="113">
        <f>IF(OR(ISNUMBER(SEARCH("3 lớp",'01_MASTER_DATABASE'!M102)), IFERROR(VALUE(SUBSTITUTE('01_MASTER_DATABASE'!N102,"mm","")),0)&gt;=32),"✓","✗")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'01_MASTER_DATABASE'!M103</f>
        <v/>
      </c>
      <c r="D106" s="113">
        <f>IF(ISNUMBER(SEARCH("5",'01_MASTER_DATABASE'!M103)),5,8)</f>
        <v/>
      </c>
      <c r="E106" s="113">
        <f>IFERROR(VALUE(SUBSTITUTE('01_MASTER_DATABASE'!N103,"mm","")),0)</f>
        <v/>
      </c>
      <c r="F106" s="113">
        <f>IF(OR(ISNUMBER(SEARCH("hộp",'01_MASTER_DATABASE'!M103)), IFERROR(VALUE(SUBSTITUTE('01_MASTER_DATABASE'!N103,"mm","")),0)&gt;=20),"✓","✗")</f>
        <v/>
      </c>
      <c r="G106" s="113">
        <f>IF(OR(ISNUMBER(SEARCH("3 lớp",'01_MASTER_DATABASE'!M103)), IFERROR(VALUE(SUBSTITUTE('01_MASTER_DATABASE'!N103,"mm","")),0)&gt;=32),"✓","✗")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'01_MASTER_DATABASE'!M104</f>
        <v/>
      </c>
      <c r="D107" s="113">
        <f>IF(ISNUMBER(SEARCH("5",'01_MASTER_DATABASE'!M104)),5,8)</f>
        <v/>
      </c>
      <c r="E107" s="113">
        <f>IFERROR(VALUE(SUBSTITUTE('01_MASTER_DATABASE'!N104,"mm","")),0)</f>
        <v/>
      </c>
      <c r="F107" s="113">
        <f>IF(OR(ISNUMBER(SEARCH("hộp",'01_MASTER_DATABASE'!M104)), IFERROR(VALUE(SUBSTITUTE('01_MASTER_DATABASE'!N104,"mm","")),0)&gt;=20),"✓","✗")</f>
        <v/>
      </c>
      <c r="G107" s="113">
        <f>IF(OR(ISNUMBER(SEARCH("3 lớp",'01_MASTER_DATABASE'!M104)), IFERROR(VALUE(SUBSTITUTE('01_MASTER_DATABASE'!N104,"mm","")),0)&gt;=32),"✓","✗")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'01_MASTER_DATABASE'!M105</f>
        <v/>
      </c>
      <c r="D108" s="113">
        <f>IF(ISNUMBER(SEARCH("5",'01_MASTER_DATABASE'!M105)),5,8)</f>
        <v/>
      </c>
      <c r="E108" s="113">
        <f>IFERROR(VALUE(SUBSTITUTE('01_MASTER_DATABASE'!N105,"mm","")),0)</f>
        <v/>
      </c>
      <c r="F108" s="113">
        <f>IF(OR(ISNUMBER(SEARCH("hộp",'01_MASTER_DATABASE'!M105)), IFERROR(VALUE(SUBSTITUTE('01_MASTER_DATABASE'!N105,"mm","")),0)&gt;=20),"✓","✗")</f>
        <v/>
      </c>
      <c r="G108" s="113">
        <f>IF(OR(ISNUMBER(SEARCH("3 lớp",'01_MASTER_DATABASE'!M105)), IFERROR(VALUE(SUBSTITUTE('01_MASTER_DATABASE'!N105,"mm","")),0)&gt;=32),"✓","✗")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'01_MASTER_DATABASE'!M106</f>
        <v/>
      </c>
      <c r="D109" s="113">
        <f>IF(ISNUMBER(SEARCH("5",'01_MASTER_DATABASE'!M106)),5,8)</f>
        <v/>
      </c>
      <c r="E109" s="113">
        <f>IFERROR(VALUE(SUBSTITUTE('01_MASTER_DATABASE'!N106,"mm","")),0)</f>
        <v/>
      </c>
      <c r="F109" s="113">
        <f>IF(OR(ISNUMBER(SEARCH("hộp",'01_MASTER_DATABASE'!M106)), IFERROR(VALUE(SUBSTITUTE('01_MASTER_DATABASE'!N106,"mm","")),0)&gt;=20),"✓","✗")</f>
        <v/>
      </c>
      <c r="G109" s="113">
        <f>IF(OR(ISNUMBER(SEARCH("3 lớp",'01_MASTER_DATABASE'!M106)), IFERROR(VALUE(SUBSTITUTE('01_MASTER_DATABASE'!N106,"mm","")),0)&gt;=32),"✓","✗")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'01_MASTER_DATABASE'!M107</f>
        <v/>
      </c>
      <c r="D110" s="113">
        <f>IF(ISNUMBER(SEARCH("5",'01_MASTER_DATABASE'!M107)),5,8)</f>
        <v/>
      </c>
      <c r="E110" s="113">
        <f>IFERROR(VALUE(SUBSTITUTE('01_MASTER_DATABASE'!N107,"mm","")),0)</f>
        <v/>
      </c>
      <c r="F110" s="113">
        <f>IF(OR(ISNUMBER(SEARCH("hộp",'01_MASTER_DATABASE'!M107)), IFERROR(VALUE(SUBSTITUTE('01_MASTER_DATABASE'!N107,"mm","")),0)&gt;=20),"✓","✗")</f>
        <v/>
      </c>
      <c r="G110" s="113">
        <f>IF(OR(ISNUMBER(SEARCH("3 lớp",'01_MASTER_DATABASE'!M107)), IFERROR(VALUE(SUBSTITUTE('01_MASTER_DATABASE'!N107,"mm","")),0)&gt;=32),"✓","✗")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'01_MASTER_DATABASE'!M108</f>
        <v/>
      </c>
      <c r="D111" s="113">
        <f>IF(ISNUMBER(SEARCH("5",'01_MASTER_DATABASE'!M108)),5,8)</f>
        <v/>
      </c>
      <c r="E111" s="113">
        <f>IFERROR(VALUE(SUBSTITUTE('01_MASTER_DATABASE'!N108,"mm","")),0)</f>
        <v/>
      </c>
      <c r="F111" s="113">
        <f>IF(OR(ISNUMBER(SEARCH("hộp",'01_MASTER_DATABASE'!M108)), IFERROR(VALUE(SUBSTITUTE('01_MASTER_DATABASE'!N108,"mm","")),0)&gt;=20),"✓","✗")</f>
        <v/>
      </c>
      <c r="G111" s="113">
        <f>IF(OR(ISNUMBER(SEARCH("3 lớp",'01_MASTER_DATABASE'!M108)), IFERROR(VALUE(SUBSTITUTE('01_MASTER_DATABASE'!N108,"mm","")),0)&gt;=32),"✓","✗")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'01_MASTER_DATABASE'!M109</f>
        <v/>
      </c>
      <c r="D112" s="113">
        <f>IF(ISNUMBER(SEARCH("5",'01_MASTER_DATABASE'!M109)),5,8)</f>
        <v/>
      </c>
      <c r="E112" s="113">
        <f>IFERROR(VALUE(SUBSTITUTE('01_MASTER_DATABASE'!N109,"mm","")),0)</f>
        <v/>
      </c>
      <c r="F112" s="113">
        <f>IF(OR(ISNUMBER(SEARCH("hộp",'01_MASTER_DATABASE'!M109)), IFERROR(VALUE(SUBSTITUTE('01_MASTER_DATABASE'!N109,"mm","")),0)&gt;=20),"✓","✗")</f>
        <v/>
      </c>
      <c r="G112" s="113">
        <f>IF(OR(ISNUMBER(SEARCH("3 lớp",'01_MASTER_DATABASE'!M109)), IFERROR(VALUE(SUBSTITUTE('01_MASTER_DATABASE'!N109,"mm","")),0)&gt;=32),"✓","✗")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'01_MASTER_DATABASE'!M110</f>
        <v/>
      </c>
      <c r="D113" s="113">
        <f>IF(ISNUMBER(SEARCH("5",'01_MASTER_DATABASE'!M110)),5,8)</f>
        <v/>
      </c>
      <c r="E113" s="113">
        <f>IFERROR(VALUE(SUBSTITUTE('01_MASTER_DATABASE'!N110,"mm","")),0)</f>
        <v/>
      </c>
      <c r="F113" s="113">
        <f>IF(OR(ISNUMBER(SEARCH("hộp",'01_MASTER_DATABASE'!M110)), IFERROR(VALUE(SUBSTITUTE('01_MASTER_DATABASE'!N110,"mm","")),0)&gt;=20),"✓","✗")</f>
        <v/>
      </c>
      <c r="G113" s="113">
        <f>IF(OR(ISNUMBER(SEARCH("3 lớp",'01_MASTER_DATABASE'!M110)), IFERROR(VALUE(SUBSTITUTE('01_MASTER_DATABASE'!N110,"mm","")),0)&gt;=32),"✓","✗")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'01_MASTER_DATABASE'!M111</f>
        <v/>
      </c>
      <c r="D114" s="113">
        <f>IF(ISNUMBER(SEARCH("5",'01_MASTER_DATABASE'!M111)),5,8)</f>
        <v/>
      </c>
      <c r="E114" s="113">
        <f>IFERROR(VALUE(SUBSTITUTE('01_MASTER_DATABASE'!N111,"mm","")),0)</f>
        <v/>
      </c>
      <c r="F114" s="113">
        <f>IF(OR(ISNUMBER(SEARCH("hộp",'01_MASTER_DATABASE'!M111)), IFERROR(VALUE(SUBSTITUTE('01_MASTER_DATABASE'!N111,"mm","")),0)&gt;=20),"✓","✗")</f>
        <v/>
      </c>
      <c r="G114" s="113">
        <f>IF(OR(ISNUMBER(SEARCH("3 lớp",'01_MASTER_DATABASE'!M111)), IFERROR(VALUE(SUBSTITUTE('01_MASTER_DATABASE'!N111,"mm","")),0)&gt;=32),"✓","✗")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'01_MASTER_DATABASE'!M112</f>
        <v/>
      </c>
      <c r="D115" s="113">
        <f>IF(ISNUMBER(SEARCH("5",'01_MASTER_DATABASE'!M112)),5,8)</f>
        <v/>
      </c>
      <c r="E115" s="113">
        <f>IFERROR(VALUE(SUBSTITUTE('01_MASTER_DATABASE'!N112,"mm","")),0)</f>
        <v/>
      </c>
      <c r="F115" s="113">
        <f>IF(OR(ISNUMBER(SEARCH("hộp",'01_MASTER_DATABASE'!M112)), IFERROR(VALUE(SUBSTITUTE('01_MASTER_DATABASE'!N112,"mm","")),0)&gt;=20),"✓","✗")</f>
        <v/>
      </c>
      <c r="G115" s="113">
        <f>IF(OR(ISNUMBER(SEARCH("3 lớp",'01_MASTER_DATABASE'!M112)), IFERROR(VALUE(SUBSTITUTE('01_MASTER_DATABASE'!N112,"mm","")),0)&gt;=32),"✓","✗")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'01_MASTER_DATABASE'!M113</f>
        <v/>
      </c>
      <c r="D116" s="113">
        <f>IF(ISNUMBER(SEARCH("5",'01_MASTER_DATABASE'!M113)),5,8)</f>
        <v/>
      </c>
      <c r="E116" s="113">
        <f>IFERROR(VALUE(SUBSTITUTE('01_MASTER_DATABASE'!N113,"mm","")),0)</f>
        <v/>
      </c>
      <c r="F116" s="113">
        <f>IF(OR(ISNUMBER(SEARCH("hộp",'01_MASTER_DATABASE'!M113)), IFERROR(VALUE(SUBSTITUTE('01_MASTER_DATABASE'!N113,"mm","")),0)&gt;=20),"✓","✗")</f>
        <v/>
      </c>
      <c r="G116" s="113">
        <f>IF(OR(ISNUMBER(SEARCH("3 lớp",'01_MASTER_DATABASE'!M113)), IFERROR(VALUE(SUBSTITUTE('01_MASTER_DATABASE'!N113,"mm","")),0)&gt;=32),"✓","✗")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'01_MASTER_DATABASE'!M114</f>
        <v/>
      </c>
      <c r="D117" s="113">
        <f>IF(ISNUMBER(SEARCH("5",'01_MASTER_DATABASE'!M114)),5,8)</f>
        <v/>
      </c>
      <c r="E117" s="113">
        <f>IFERROR(VALUE(SUBSTITUTE('01_MASTER_DATABASE'!N114,"mm","")),0)</f>
        <v/>
      </c>
      <c r="F117" s="113">
        <f>IF(OR(ISNUMBER(SEARCH("hộp",'01_MASTER_DATABASE'!M114)), IFERROR(VALUE(SUBSTITUTE('01_MASTER_DATABASE'!N114,"mm","")),0)&gt;=20),"✓","✗")</f>
        <v/>
      </c>
      <c r="G117" s="113">
        <f>IF(OR(ISNUMBER(SEARCH("3 lớp",'01_MASTER_DATABASE'!M114)), IFERROR(VALUE(SUBSTITUTE('01_MASTER_DATABASE'!N114,"mm","")),0)&gt;=32),"✓","✗")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'01_MASTER_DATABASE'!M115</f>
        <v/>
      </c>
      <c r="D118" s="113">
        <f>IF(ISNUMBER(SEARCH("5",'01_MASTER_DATABASE'!M115)),5,8)</f>
        <v/>
      </c>
      <c r="E118" s="113">
        <f>IFERROR(VALUE(SUBSTITUTE('01_MASTER_DATABASE'!N115,"mm","")),0)</f>
        <v/>
      </c>
      <c r="F118" s="113">
        <f>IF(OR(ISNUMBER(SEARCH("hộp",'01_MASTER_DATABASE'!M115)), IFERROR(VALUE(SUBSTITUTE('01_MASTER_DATABASE'!N115,"mm","")),0)&gt;=20),"✓","✗")</f>
        <v/>
      </c>
      <c r="G118" s="113">
        <f>IF(OR(ISNUMBER(SEARCH("3 lớp",'01_MASTER_DATABASE'!M115)), IFERROR(VALUE(SUBSTITUTE('01_MASTER_DATABASE'!N115,"mm","")),0)&gt;=32),"✓","✗")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'01_MASTER_DATABASE'!M116</f>
        <v/>
      </c>
      <c r="D119" s="113">
        <f>IF(ISNUMBER(SEARCH("5",'01_MASTER_DATABASE'!M116)),5,8)</f>
        <v/>
      </c>
      <c r="E119" s="113">
        <f>IFERROR(VALUE(SUBSTITUTE('01_MASTER_DATABASE'!N116,"mm","")),0)</f>
        <v/>
      </c>
      <c r="F119" s="113">
        <f>IF(OR(ISNUMBER(SEARCH("hộp",'01_MASTER_DATABASE'!M116)), IFERROR(VALUE(SUBSTITUTE('01_MASTER_DATABASE'!N116,"mm","")),0)&gt;=20),"✓","✗")</f>
        <v/>
      </c>
      <c r="G119" s="113">
        <f>IF(OR(ISNUMBER(SEARCH("3 lớp",'01_MASTER_DATABASE'!M116)), IFERROR(VALUE(SUBSTITUTE('01_MASTER_DATABASE'!N116,"mm","")),0)&gt;=32),"✓","✗")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'01_MASTER_DATABASE'!M117</f>
        <v/>
      </c>
      <c r="D120" s="113">
        <f>IF(ISNUMBER(SEARCH("5",'01_MASTER_DATABASE'!M117)),5,8)</f>
        <v/>
      </c>
      <c r="E120" s="113">
        <f>IFERROR(VALUE(SUBSTITUTE('01_MASTER_DATABASE'!N117,"mm","")),0)</f>
        <v/>
      </c>
      <c r="F120" s="113">
        <f>IF(OR(ISNUMBER(SEARCH("hộp",'01_MASTER_DATABASE'!M117)), IFERROR(VALUE(SUBSTITUTE('01_MASTER_DATABASE'!N117,"mm","")),0)&gt;=20),"✓","✗")</f>
        <v/>
      </c>
      <c r="G120" s="113">
        <f>IF(OR(ISNUMBER(SEARCH("3 lớp",'01_MASTER_DATABASE'!M117)), IFERROR(VALUE(SUBSTITUTE('01_MASTER_DATABASE'!N117,"mm","")),0)&gt;=32),"✓","✗")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'01_MASTER_DATABASE'!M118</f>
        <v/>
      </c>
      <c r="D121" s="113">
        <f>IF(ISNUMBER(SEARCH("5",'01_MASTER_DATABASE'!M118)),5,8)</f>
        <v/>
      </c>
      <c r="E121" s="113">
        <f>IFERROR(VALUE(SUBSTITUTE('01_MASTER_DATABASE'!N118,"mm","")),0)</f>
        <v/>
      </c>
      <c r="F121" s="113">
        <f>IF(OR(ISNUMBER(SEARCH("hộp",'01_MASTER_DATABASE'!M118)), IFERROR(VALUE(SUBSTITUTE('01_MASTER_DATABASE'!N118,"mm","")),0)&gt;=20),"✓","✗")</f>
        <v/>
      </c>
      <c r="G121" s="113">
        <f>IF(OR(ISNUMBER(SEARCH("3 lớp",'01_MASTER_DATABASE'!M118)), IFERROR(VALUE(SUBSTITUTE('01_MASTER_DATABASE'!N118,"mm","")),0)&gt;=32),"✓","✗")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'01_MASTER_DATABASE'!M119</f>
        <v/>
      </c>
      <c r="D122" s="113">
        <f>IF(ISNUMBER(SEARCH("5",'01_MASTER_DATABASE'!M119)),5,8)</f>
        <v/>
      </c>
      <c r="E122" s="113">
        <f>IFERROR(VALUE(SUBSTITUTE('01_MASTER_DATABASE'!N119,"mm","")),0)</f>
        <v/>
      </c>
      <c r="F122" s="113">
        <f>IF(OR(ISNUMBER(SEARCH("hộp",'01_MASTER_DATABASE'!M119)), IFERROR(VALUE(SUBSTITUTE('01_MASTER_DATABASE'!N119,"mm","")),0)&gt;=20),"✓","✗")</f>
        <v/>
      </c>
      <c r="G122" s="113">
        <f>IF(OR(ISNUMBER(SEARCH("3 lớp",'01_MASTER_DATABASE'!M119)), IFERROR(VALUE(SUBSTITUTE('01_MASTER_DATABASE'!N119,"mm","")),0)&gt;=32),"✓","✗")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'01_MASTER_DATABASE'!M120</f>
        <v/>
      </c>
      <c r="D123" s="113">
        <f>IF(ISNUMBER(SEARCH("5",'01_MASTER_DATABASE'!M120)),5,8)</f>
        <v/>
      </c>
      <c r="E123" s="113">
        <f>IFERROR(VALUE(SUBSTITUTE('01_MASTER_DATABASE'!N120,"mm","")),0)</f>
        <v/>
      </c>
      <c r="F123" s="113">
        <f>IF(OR(ISNUMBER(SEARCH("hộp",'01_MASTER_DATABASE'!M120)), IFERROR(VALUE(SUBSTITUTE('01_MASTER_DATABASE'!N120,"mm","")),0)&gt;=20),"✓","✗")</f>
        <v/>
      </c>
      <c r="G123" s="113">
        <f>IF(OR(ISNUMBER(SEARCH("3 lớp",'01_MASTER_DATABASE'!M120)), IFERROR(VALUE(SUBSTITUTE('01_MASTER_DATABASE'!N120,"mm","")),0)&gt;=32),"✓","✗")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'01_MASTER_DATABASE'!M121</f>
        <v/>
      </c>
      <c r="D124" s="113">
        <f>IF(ISNUMBER(SEARCH("5",'01_MASTER_DATABASE'!M121)),5,8)</f>
        <v/>
      </c>
      <c r="E124" s="113">
        <f>IFERROR(VALUE(SUBSTITUTE('01_MASTER_DATABASE'!N121,"mm","")),0)</f>
        <v/>
      </c>
      <c r="F124" s="113">
        <f>IF(OR(ISNUMBER(SEARCH("hộp",'01_MASTER_DATABASE'!M121)), IFERROR(VALUE(SUBSTITUTE('01_MASTER_DATABASE'!N121,"mm","")),0)&gt;=20),"✓","✗")</f>
        <v/>
      </c>
      <c r="G124" s="113">
        <f>IF(OR(ISNUMBER(SEARCH("3 lớp",'01_MASTER_DATABASE'!M121)), IFERROR(VALUE(SUBSTITUTE('01_MASTER_DATABASE'!N121,"mm","")),0)&gt;=32),"✓","✗")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'01_MASTER_DATABASE'!M122</f>
        <v/>
      </c>
      <c r="D125" s="113">
        <f>IF(ISNUMBER(SEARCH("5",'01_MASTER_DATABASE'!M122)),5,8)</f>
        <v/>
      </c>
      <c r="E125" s="113">
        <f>IFERROR(VALUE(SUBSTITUTE('01_MASTER_DATABASE'!N122,"mm","")),0)</f>
        <v/>
      </c>
      <c r="F125" s="113">
        <f>IF(OR(ISNUMBER(SEARCH("hộp",'01_MASTER_DATABASE'!M122)), IFERROR(VALUE(SUBSTITUTE('01_MASTER_DATABASE'!N122,"mm","")),0)&gt;=20),"✓","✗")</f>
        <v/>
      </c>
      <c r="G125" s="113">
        <f>IF(OR(ISNUMBER(SEARCH("3 lớp",'01_MASTER_DATABASE'!M122)), IFERROR(VALUE(SUBSTITUTE('01_MASTER_DATABASE'!N122,"mm","")),0)&gt;=32),"✓","✗")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'01_MASTER_DATABASE'!M123</f>
        <v/>
      </c>
      <c r="D126" s="113">
        <f>IF(ISNUMBER(SEARCH("5",'01_MASTER_DATABASE'!M123)),5,8)</f>
        <v/>
      </c>
      <c r="E126" s="113">
        <f>IFERROR(VALUE(SUBSTITUTE('01_MASTER_DATABASE'!N123,"mm","")),0)</f>
        <v/>
      </c>
      <c r="F126" s="113">
        <f>IF(OR(ISNUMBER(SEARCH("hộp",'01_MASTER_DATABASE'!M123)), IFERROR(VALUE(SUBSTITUTE('01_MASTER_DATABASE'!N123,"mm","")),0)&gt;=20),"✓","✗")</f>
        <v/>
      </c>
      <c r="G126" s="113">
        <f>IF(OR(ISNUMBER(SEARCH("3 lớp",'01_MASTER_DATABASE'!M123)), IFERROR(VALUE(SUBSTITUTE('01_MASTER_DATABASE'!N123,"mm","")),0)&gt;=32),"✓","✗")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'01_MASTER_DATABASE'!M124</f>
        <v/>
      </c>
      <c r="D127" s="113">
        <f>IF(ISNUMBER(SEARCH("5",'01_MASTER_DATABASE'!M124)),5,8)</f>
        <v/>
      </c>
      <c r="E127" s="113">
        <f>IFERROR(VALUE(SUBSTITUTE('01_MASTER_DATABASE'!N124,"mm","")),0)</f>
        <v/>
      </c>
      <c r="F127" s="113">
        <f>IF(OR(ISNUMBER(SEARCH("hộp",'01_MASTER_DATABASE'!M124)), IFERROR(VALUE(SUBSTITUTE('01_MASTER_DATABASE'!N124,"mm","")),0)&gt;=20),"✓","✗")</f>
        <v/>
      </c>
      <c r="G127" s="113">
        <f>IF(OR(ISNUMBER(SEARCH("3 lớp",'01_MASTER_DATABASE'!M124)), IFERROR(VALUE(SUBSTITUTE('01_MASTER_DATABASE'!N124,"mm","")),0)&gt;=32),"✓","✗")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'01_MASTER_DATABASE'!M125</f>
        <v/>
      </c>
      <c r="D128" s="113">
        <f>IF(ISNUMBER(SEARCH("5",'01_MASTER_DATABASE'!M125)),5,8)</f>
        <v/>
      </c>
      <c r="E128" s="113">
        <f>IFERROR(VALUE(SUBSTITUTE('01_MASTER_DATABASE'!N125,"mm","")),0)</f>
        <v/>
      </c>
      <c r="F128" s="113">
        <f>IF(OR(ISNUMBER(SEARCH("hộp",'01_MASTER_DATABASE'!M125)), IFERROR(VALUE(SUBSTITUTE('01_MASTER_DATABASE'!N125,"mm","")),0)&gt;=20),"✓","✗")</f>
        <v/>
      </c>
      <c r="G128" s="113">
        <f>IF(OR(ISNUMBER(SEARCH("3 lớp",'01_MASTER_DATABASE'!M125)), IFERROR(VALUE(SUBSTITUTE('01_MASTER_DATABASE'!N125,"mm","")),0)&gt;=32),"✓","✗")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'01_MASTER_DATABASE'!M126</f>
        <v/>
      </c>
      <c r="D129" s="113">
        <f>IF(ISNUMBER(SEARCH("5",'01_MASTER_DATABASE'!M126)),5,8)</f>
        <v/>
      </c>
      <c r="E129" s="113">
        <f>IFERROR(VALUE(SUBSTITUTE('01_MASTER_DATABASE'!N126,"mm","")),0)</f>
        <v/>
      </c>
      <c r="F129" s="113">
        <f>IF(OR(ISNUMBER(SEARCH("hộp",'01_MASTER_DATABASE'!M126)), IFERROR(VALUE(SUBSTITUTE('01_MASTER_DATABASE'!N126,"mm","")),0)&gt;=20),"✓","✗")</f>
        <v/>
      </c>
      <c r="G129" s="113">
        <f>IF(OR(ISNUMBER(SEARCH("3 lớp",'01_MASTER_DATABASE'!M126)), IFERROR(VALUE(SUBSTITUTE('01_MASTER_DATABASE'!N126,"mm","")),0)&gt;=32),"✓","✗")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'01_MASTER_DATABASE'!M127</f>
        <v/>
      </c>
      <c r="D130" s="113">
        <f>IF(ISNUMBER(SEARCH("5",'01_MASTER_DATABASE'!M127)),5,8)</f>
        <v/>
      </c>
      <c r="E130" s="113">
        <f>IFERROR(VALUE(SUBSTITUTE('01_MASTER_DATABASE'!N127,"mm","")),0)</f>
        <v/>
      </c>
      <c r="F130" s="113">
        <f>IF(OR(ISNUMBER(SEARCH("hộp",'01_MASTER_DATABASE'!M127)), IFERROR(VALUE(SUBSTITUTE('01_MASTER_DATABASE'!N127,"mm","")),0)&gt;=20),"✓","✗")</f>
        <v/>
      </c>
      <c r="G130" s="113">
        <f>IF(OR(ISNUMBER(SEARCH("3 lớp",'01_MASTER_DATABASE'!M127)), IFERROR(VALUE(SUBSTITUTE('01_MASTER_DATABASE'!N127,"mm","")),0)&gt;=32),"✓","✗")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'01_MASTER_DATABASE'!M128</f>
        <v/>
      </c>
      <c r="D131" s="113">
        <f>IF(ISNUMBER(SEARCH("5",'01_MASTER_DATABASE'!M128)),5,8)</f>
        <v/>
      </c>
      <c r="E131" s="113">
        <f>IFERROR(VALUE(SUBSTITUTE('01_MASTER_DATABASE'!N128,"mm","")),0)</f>
        <v/>
      </c>
      <c r="F131" s="113">
        <f>IF(OR(ISNUMBER(SEARCH("hộp",'01_MASTER_DATABASE'!M128)), IFERROR(VALUE(SUBSTITUTE('01_MASTER_DATABASE'!N128,"mm","")),0)&gt;=20),"✓","✗")</f>
        <v/>
      </c>
      <c r="G131" s="113">
        <f>IF(OR(ISNUMBER(SEARCH("3 lớp",'01_MASTER_DATABASE'!M128)), IFERROR(VALUE(SUBSTITUTE('01_MASTER_DATABASE'!N128,"mm","")),0)&gt;=32),"✓","✗")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'01_MASTER_DATABASE'!M129</f>
        <v/>
      </c>
      <c r="D132" s="113">
        <f>IF(ISNUMBER(SEARCH("5",'01_MASTER_DATABASE'!M129)),5,8)</f>
        <v/>
      </c>
      <c r="E132" s="113">
        <f>IFERROR(VALUE(SUBSTITUTE('01_MASTER_DATABASE'!N129,"mm","")),0)</f>
        <v/>
      </c>
      <c r="F132" s="113">
        <f>IF(OR(ISNUMBER(SEARCH("hộp",'01_MASTER_DATABASE'!M129)), IFERROR(VALUE(SUBSTITUTE('01_MASTER_DATABASE'!N129,"mm","")),0)&gt;=20),"✓","✗")</f>
        <v/>
      </c>
      <c r="G132" s="113">
        <f>IF(OR(ISNUMBER(SEARCH("3 lớp",'01_MASTER_DATABASE'!M129)), IFERROR(VALUE(SUBSTITUTE('01_MASTER_DATABASE'!N129,"mm","")),0)&gt;=32),"✓","✗")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'01_MASTER_DATABASE'!M130</f>
        <v/>
      </c>
      <c r="D133" s="113">
        <f>IF(ISNUMBER(SEARCH("5",'01_MASTER_DATABASE'!M130)),5,8)</f>
        <v/>
      </c>
      <c r="E133" s="113">
        <f>IFERROR(VALUE(SUBSTITUTE('01_MASTER_DATABASE'!N130,"mm","")),0)</f>
        <v/>
      </c>
      <c r="F133" s="113">
        <f>IF(OR(ISNUMBER(SEARCH("hộp",'01_MASTER_DATABASE'!M130)), IFERROR(VALUE(SUBSTITUTE('01_MASTER_DATABASE'!N130,"mm","")),0)&gt;=20),"✓","✗")</f>
        <v/>
      </c>
      <c r="G133" s="113">
        <f>IF(OR(ISNUMBER(SEARCH("3 lớp",'01_MASTER_DATABASE'!M130)), IFERROR(VALUE(SUBSTITUTE('01_MASTER_DATABASE'!N130,"mm","")),0)&gt;=32),"✓","✗")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'01_MASTER_DATABASE'!M131</f>
        <v/>
      </c>
      <c r="D134" s="113">
        <f>IF(ISNUMBER(SEARCH("5",'01_MASTER_DATABASE'!M131)),5,8)</f>
        <v/>
      </c>
      <c r="E134" s="113">
        <f>IFERROR(VALUE(SUBSTITUTE('01_MASTER_DATABASE'!N131,"mm","")),0)</f>
        <v/>
      </c>
      <c r="F134" s="113">
        <f>IF(OR(ISNUMBER(SEARCH("hộp",'01_MASTER_DATABASE'!M131)), IFERROR(VALUE(SUBSTITUTE('01_MASTER_DATABASE'!N131,"mm","")),0)&gt;=20),"✓","✗")</f>
        <v/>
      </c>
      <c r="G134" s="113">
        <f>IF(OR(ISNUMBER(SEARCH("3 lớp",'01_MASTER_DATABASE'!M131)), IFERROR(VALUE(SUBSTITUTE('01_MASTER_DATABASE'!N131,"mm","")),0)&gt;=32),"✓","✗")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'01_MASTER_DATABASE'!M132</f>
        <v/>
      </c>
      <c r="D135" s="113">
        <f>IF(ISNUMBER(SEARCH("5",'01_MASTER_DATABASE'!M132)),5,8)</f>
        <v/>
      </c>
      <c r="E135" s="113">
        <f>IFERROR(VALUE(SUBSTITUTE('01_MASTER_DATABASE'!N132,"mm","")),0)</f>
        <v/>
      </c>
      <c r="F135" s="113">
        <f>IF(OR(ISNUMBER(SEARCH("hộp",'01_MASTER_DATABASE'!M132)), IFERROR(VALUE(SUBSTITUTE('01_MASTER_DATABASE'!N132,"mm","")),0)&gt;=20),"✓","✗")</f>
        <v/>
      </c>
      <c r="G135" s="113">
        <f>IF(OR(ISNUMBER(SEARCH("3 lớp",'01_MASTER_DATABASE'!M132)), IFERROR(VALUE(SUBSTITUTE('01_MASTER_DATABASE'!N132,"mm","")),0)&gt;=32),"✓","✗")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'01_MASTER_DATABASE'!M133</f>
        <v/>
      </c>
      <c r="D136" s="113">
        <f>IF(ISNUMBER(SEARCH("5",'01_MASTER_DATABASE'!M133)),5,8)</f>
        <v/>
      </c>
      <c r="E136" s="113">
        <f>IFERROR(VALUE(SUBSTITUTE('01_MASTER_DATABASE'!N133,"mm","")),0)</f>
        <v/>
      </c>
      <c r="F136" s="113">
        <f>IF(OR(ISNUMBER(SEARCH("hộp",'01_MASTER_DATABASE'!M133)), IFERROR(VALUE(SUBSTITUTE('01_MASTER_DATABASE'!N133,"mm","")),0)&gt;=20),"✓","✗")</f>
        <v/>
      </c>
      <c r="G136" s="113">
        <f>IF(OR(ISNUMBER(SEARCH("3 lớp",'01_MASTER_DATABASE'!M133)), IFERROR(VALUE(SUBSTITUTE('01_MASTER_DATABASE'!N133,"mm","")),0)&gt;=32),"✓","✗")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'01_MASTER_DATABASE'!M134</f>
        <v/>
      </c>
      <c r="D137" s="113">
        <f>IF(ISNUMBER(SEARCH("5",'01_MASTER_DATABASE'!M134)),5,8)</f>
        <v/>
      </c>
      <c r="E137" s="113">
        <f>IFERROR(VALUE(SUBSTITUTE('01_MASTER_DATABASE'!N134,"mm","")),0)</f>
        <v/>
      </c>
      <c r="F137" s="113">
        <f>IF(OR(ISNUMBER(SEARCH("hộp",'01_MASTER_DATABASE'!M134)), IFERROR(VALUE(SUBSTITUTE('01_MASTER_DATABASE'!N134,"mm","")),0)&gt;=20),"✓","✗")</f>
        <v/>
      </c>
      <c r="G137" s="113">
        <f>IF(OR(ISNUMBER(SEARCH("3 lớp",'01_MASTER_DATABASE'!M134)), IFERROR(VALUE(SUBSTITUTE('01_MASTER_DATABASE'!N134,"mm","")),0)&gt;=32),"✓","✗")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'01_MASTER_DATABASE'!M135</f>
        <v/>
      </c>
      <c r="D138" s="113">
        <f>IF(ISNUMBER(SEARCH("5",'01_MASTER_DATABASE'!M135)),5,8)</f>
        <v/>
      </c>
      <c r="E138" s="113">
        <f>IFERROR(VALUE(SUBSTITUTE('01_MASTER_DATABASE'!N135,"mm","")),0)</f>
        <v/>
      </c>
      <c r="F138" s="113">
        <f>IF(OR(ISNUMBER(SEARCH("hộp",'01_MASTER_DATABASE'!M135)), IFERROR(VALUE(SUBSTITUTE('01_MASTER_DATABASE'!N135,"mm","")),0)&gt;=20),"✓","✗")</f>
        <v/>
      </c>
      <c r="G138" s="113">
        <f>IF(OR(ISNUMBER(SEARCH("3 lớp",'01_MASTER_DATABASE'!M135)), IFERROR(VALUE(SUBSTITUTE('01_MASTER_DATABASE'!N135,"mm","")),0)&gt;=32),"✓","✗")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'01_MASTER_DATABASE'!M136</f>
        <v/>
      </c>
      <c r="D139" s="113">
        <f>IF(ISNUMBER(SEARCH("5",'01_MASTER_DATABASE'!M136)),5,8)</f>
        <v/>
      </c>
      <c r="E139" s="113">
        <f>IFERROR(VALUE(SUBSTITUTE('01_MASTER_DATABASE'!N136,"mm","")),0)</f>
        <v/>
      </c>
      <c r="F139" s="113">
        <f>IF(OR(ISNUMBER(SEARCH("hộp",'01_MASTER_DATABASE'!M136)), IFERROR(VALUE(SUBSTITUTE('01_MASTER_DATABASE'!N136,"mm","")),0)&gt;=20),"✓","✗")</f>
        <v/>
      </c>
      <c r="G139" s="113">
        <f>IF(OR(ISNUMBER(SEARCH("3 lớp",'01_MASTER_DATABASE'!M136)), IFERROR(VALUE(SUBSTITUTE('01_MASTER_DATABASE'!N136,"mm","")),0)&gt;=32),"✓","✗")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'01_MASTER_DATABASE'!M137</f>
        <v/>
      </c>
      <c r="D140" s="113">
        <f>IF(ISNUMBER(SEARCH("5",'01_MASTER_DATABASE'!M137)),5,8)</f>
        <v/>
      </c>
      <c r="E140" s="113">
        <f>IFERROR(VALUE(SUBSTITUTE('01_MASTER_DATABASE'!N137,"mm","")),0)</f>
        <v/>
      </c>
      <c r="F140" s="113">
        <f>IF(OR(ISNUMBER(SEARCH("hộp",'01_MASTER_DATABASE'!M137)), IFERROR(VALUE(SUBSTITUTE('01_MASTER_DATABASE'!N137,"mm","")),0)&gt;=20),"✓","✗")</f>
        <v/>
      </c>
      <c r="G140" s="113">
        <f>IF(OR(ISNUMBER(SEARCH("3 lớp",'01_MASTER_DATABASE'!M137)), IFERROR(VALUE(SUBSTITUTE('01_MASTER_DATABASE'!N137,"mm","")),0)&gt;=32),"✓","✗")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'01_MASTER_DATABASE'!M138</f>
        <v/>
      </c>
      <c r="D141" s="113">
        <f>IF(ISNUMBER(SEARCH("5",'01_MASTER_DATABASE'!M138)),5,8)</f>
        <v/>
      </c>
      <c r="E141" s="113">
        <f>IFERROR(VALUE(SUBSTITUTE('01_MASTER_DATABASE'!N138,"mm","")),0)</f>
        <v/>
      </c>
      <c r="F141" s="113">
        <f>IF(OR(ISNUMBER(SEARCH("hộp",'01_MASTER_DATABASE'!M138)), IFERROR(VALUE(SUBSTITUTE('01_MASTER_DATABASE'!N138,"mm","")),0)&gt;=20),"✓","✗")</f>
        <v/>
      </c>
      <c r="G141" s="113">
        <f>IF(OR(ISNUMBER(SEARCH("3 lớp",'01_MASTER_DATABASE'!M138)), IFERROR(VALUE(SUBSTITUTE('01_MASTER_DATABASE'!N138,"mm","")),0)&gt;=32),"✓","✗")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'01_MASTER_DATABASE'!M139</f>
        <v/>
      </c>
      <c r="D142" s="113">
        <f>IF(ISNUMBER(SEARCH("5",'01_MASTER_DATABASE'!M139)),5,8)</f>
        <v/>
      </c>
      <c r="E142" s="113">
        <f>IFERROR(VALUE(SUBSTITUTE('01_MASTER_DATABASE'!N139,"mm","")),0)</f>
        <v/>
      </c>
      <c r="F142" s="113">
        <f>IF(OR(ISNUMBER(SEARCH("hộp",'01_MASTER_DATABASE'!M139)), IFERROR(VALUE(SUBSTITUTE('01_MASTER_DATABASE'!N139,"mm","")),0)&gt;=20),"✓","✗")</f>
        <v/>
      </c>
      <c r="G142" s="113">
        <f>IF(OR(ISNUMBER(SEARCH("3 lớp",'01_MASTER_DATABASE'!M139)), IFERROR(VALUE(SUBSTITUTE('01_MASTER_DATABASE'!N139,"mm","")),0)&gt;=32),"✓","✗")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'01_MASTER_DATABASE'!M140</f>
        <v/>
      </c>
      <c r="D143" s="113">
        <f>IF(ISNUMBER(SEARCH("5",'01_MASTER_DATABASE'!M140)),5,8)</f>
        <v/>
      </c>
      <c r="E143" s="113">
        <f>IFERROR(VALUE(SUBSTITUTE('01_MASTER_DATABASE'!N140,"mm","")),0)</f>
        <v/>
      </c>
      <c r="F143" s="113">
        <f>IF(OR(ISNUMBER(SEARCH("hộp",'01_MASTER_DATABASE'!M140)), IFERROR(VALUE(SUBSTITUTE('01_MASTER_DATABASE'!N140,"mm","")),0)&gt;=20),"✓","✗")</f>
        <v/>
      </c>
      <c r="G143" s="113">
        <f>IF(OR(ISNUMBER(SEARCH("3 lớp",'01_MASTER_DATABASE'!M140)), IFERROR(VALUE(SUBSTITUTE('01_MASTER_DATABASE'!N140,"mm","")),0)&gt;=32),"✓","✗")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'01_MASTER_DATABASE'!M141</f>
        <v/>
      </c>
      <c r="D144" s="113">
        <f>IF(ISNUMBER(SEARCH("5",'01_MASTER_DATABASE'!M141)),5,8)</f>
        <v/>
      </c>
      <c r="E144" s="113">
        <f>IFERROR(VALUE(SUBSTITUTE('01_MASTER_DATABASE'!N141,"mm","")),0)</f>
        <v/>
      </c>
      <c r="F144" s="113">
        <f>IF(OR(ISNUMBER(SEARCH("hộp",'01_MASTER_DATABASE'!M141)), IFERROR(VALUE(SUBSTITUTE('01_MASTER_DATABASE'!N141,"mm","")),0)&gt;=20),"✓","✗")</f>
        <v/>
      </c>
      <c r="G144" s="113">
        <f>IF(OR(ISNUMBER(SEARCH("3 lớp",'01_MASTER_DATABASE'!M141)), IFERROR(VALUE(SUBSTITUTE('01_MASTER_DATABASE'!N141,"mm","")),0)&gt;=32),"✓","✗")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'01_MASTER_DATABASE'!M142</f>
        <v/>
      </c>
      <c r="D145" s="113">
        <f>IF(ISNUMBER(SEARCH("5",'01_MASTER_DATABASE'!M142)),5,8)</f>
        <v/>
      </c>
      <c r="E145" s="113">
        <f>IFERROR(VALUE(SUBSTITUTE('01_MASTER_DATABASE'!N142,"mm","")),0)</f>
        <v/>
      </c>
      <c r="F145" s="113">
        <f>IF(OR(ISNUMBER(SEARCH("hộp",'01_MASTER_DATABASE'!M142)), IFERROR(VALUE(SUBSTITUTE('01_MASTER_DATABASE'!N142,"mm","")),0)&gt;=20),"✓","✗")</f>
        <v/>
      </c>
      <c r="G145" s="113">
        <f>IF(OR(ISNUMBER(SEARCH("3 lớp",'01_MASTER_DATABASE'!M142)), IFERROR(VALUE(SUBSTITUTE('01_MASTER_DATABASE'!N142,"mm","")),0)&gt;=32),"✓","✗")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'01_MASTER_DATABASE'!M143</f>
        <v/>
      </c>
      <c r="D146" s="113">
        <f>IF(ISNUMBER(SEARCH("5",'01_MASTER_DATABASE'!M143)),5,8)</f>
        <v/>
      </c>
      <c r="E146" s="113">
        <f>IFERROR(VALUE(SUBSTITUTE('01_MASTER_DATABASE'!N143,"mm","")),0)</f>
        <v/>
      </c>
      <c r="F146" s="113">
        <f>IF(OR(ISNUMBER(SEARCH("hộp",'01_MASTER_DATABASE'!M143)), IFERROR(VALUE(SUBSTITUTE('01_MASTER_DATABASE'!N143,"mm","")),0)&gt;=20),"✓","✗")</f>
        <v/>
      </c>
      <c r="G146" s="113">
        <f>IF(OR(ISNUMBER(SEARCH("3 lớp",'01_MASTER_DATABASE'!M143)), IFERROR(VALUE(SUBSTITUTE('01_MASTER_DATABASE'!N143,"mm","")),0)&gt;=32),"✓","✗")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'01_MASTER_DATABASE'!M144</f>
        <v/>
      </c>
      <c r="D147" s="113">
        <f>IF(ISNUMBER(SEARCH("5",'01_MASTER_DATABASE'!M144)),5,8)</f>
        <v/>
      </c>
      <c r="E147" s="113">
        <f>IFERROR(VALUE(SUBSTITUTE('01_MASTER_DATABASE'!N144,"mm","")),0)</f>
        <v/>
      </c>
      <c r="F147" s="113">
        <f>IF(OR(ISNUMBER(SEARCH("hộp",'01_MASTER_DATABASE'!M144)), IFERROR(VALUE(SUBSTITUTE('01_MASTER_DATABASE'!N144,"mm","")),0)&gt;=20),"✓","✗")</f>
        <v/>
      </c>
      <c r="G147" s="113">
        <f>IF(OR(ISNUMBER(SEARCH("3 lớp",'01_MASTER_DATABASE'!M144)), IFERROR(VALUE(SUBSTITUTE('01_MASTER_DATABASE'!N144,"mm","")),0)&gt;=32),"✓","✗")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'01_MASTER_DATABASE'!M145</f>
        <v/>
      </c>
      <c r="D148" s="113">
        <f>IF(ISNUMBER(SEARCH("5",'01_MASTER_DATABASE'!M145)),5,8)</f>
        <v/>
      </c>
      <c r="E148" s="113">
        <f>IFERROR(VALUE(SUBSTITUTE('01_MASTER_DATABASE'!N145,"mm","")),0)</f>
        <v/>
      </c>
      <c r="F148" s="113">
        <f>IF(OR(ISNUMBER(SEARCH("hộp",'01_MASTER_DATABASE'!M145)), IFERROR(VALUE(SUBSTITUTE('01_MASTER_DATABASE'!N145,"mm","")),0)&gt;=20),"✓","✗")</f>
        <v/>
      </c>
      <c r="G148" s="113">
        <f>IF(OR(ISNUMBER(SEARCH("3 lớp",'01_MASTER_DATABASE'!M145)), IFERROR(VALUE(SUBSTITUTE('01_MASTER_DATABASE'!N145,"mm","")),0)&gt;=32),"✓","✗")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'01_MASTER_DATABASE'!M146</f>
        <v/>
      </c>
      <c r="D149" s="113">
        <f>IF(ISNUMBER(SEARCH("5",'01_MASTER_DATABASE'!M146)),5,8)</f>
        <v/>
      </c>
      <c r="E149" s="113">
        <f>IFERROR(VALUE(SUBSTITUTE('01_MASTER_DATABASE'!N146,"mm","")),0)</f>
        <v/>
      </c>
      <c r="F149" s="113">
        <f>IF(OR(ISNUMBER(SEARCH("hộp",'01_MASTER_DATABASE'!M146)), IFERROR(VALUE(SUBSTITUTE('01_MASTER_DATABASE'!N146,"mm","")),0)&gt;=20),"✓","✗")</f>
        <v/>
      </c>
      <c r="G149" s="113">
        <f>IF(OR(ISNUMBER(SEARCH("3 lớp",'01_MASTER_DATABASE'!M146)), IFERROR(VALUE(SUBSTITUTE('01_MASTER_DATABASE'!N146,"mm","")),0)&gt;=32),"✓","✗")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'01_MASTER_DATABASE'!M147</f>
        <v/>
      </c>
      <c r="D150" s="113">
        <f>IF(ISNUMBER(SEARCH("5",'01_MASTER_DATABASE'!M147)),5,8)</f>
        <v/>
      </c>
      <c r="E150" s="113">
        <f>IFERROR(VALUE(SUBSTITUTE('01_MASTER_DATABASE'!N147,"mm","")),0)</f>
        <v/>
      </c>
      <c r="F150" s="113">
        <f>IF(OR(ISNUMBER(SEARCH("hộp",'01_MASTER_DATABASE'!M147)), IFERROR(VALUE(SUBSTITUTE('01_MASTER_DATABASE'!N147,"mm","")),0)&gt;=20),"✓","✗")</f>
        <v/>
      </c>
      <c r="G150" s="113">
        <f>IF(OR(ISNUMBER(SEARCH("3 lớp",'01_MASTER_DATABASE'!M147)), IFERROR(VALUE(SUBSTITUTE('01_MASTER_DATABASE'!N147,"mm","")),0)&gt;=32),"✓","✗")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'01_MASTER_DATABASE'!M148</f>
        <v/>
      </c>
      <c r="D151" s="113">
        <f>IF(ISNUMBER(SEARCH("5",'01_MASTER_DATABASE'!M148)),5,8)</f>
        <v/>
      </c>
      <c r="E151" s="113">
        <f>IFERROR(VALUE(SUBSTITUTE('01_MASTER_DATABASE'!N148,"mm","")),0)</f>
        <v/>
      </c>
      <c r="F151" s="113">
        <f>IF(OR(ISNUMBER(SEARCH("hộp",'01_MASTER_DATABASE'!M148)), IFERROR(VALUE(SUBSTITUTE('01_MASTER_DATABASE'!N148,"mm","")),0)&gt;=20),"✓","✗")</f>
        <v/>
      </c>
      <c r="G151" s="113">
        <f>IF(OR(ISNUMBER(SEARCH("3 lớp",'01_MASTER_DATABASE'!M148)), IFERROR(VALUE(SUBSTITUTE('01_MASTER_DATABASE'!N148,"mm","")),0)&gt;=32),"✓","✗")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'01_MASTER_DATABASE'!M149</f>
        <v/>
      </c>
      <c r="D152" s="113">
        <f>IF(ISNUMBER(SEARCH("5",'01_MASTER_DATABASE'!M149)),5,8)</f>
        <v/>
      </c>
      <c r="E152" s="113">
        <f>IFERROR(VALUE(SUBSTITUTE('01_MASTER_DATABASE'!N149,"mm","")),0)</f>
        <v/>
      </c>
      <c r="F152" s="113">
        <f>IF(OR(ISNUMBER(SEARCH("hộp",'01_MASTER_DATABASE'!M149)), IFERROR(VALUE(SUBSTITUTE('01_MASTER_DATABASE'!N149,"mm","")),0)&gt;=20),"✓","✗")</f>
        <v/>
      </c>
      <c r="G152" s="113">
        <f>IF(OR(ISNUMBER(SEARCH("3 lớp",'01_MASTER_DATABASE'!M149)), IFERROR(VALUE(SUBSTITUTE('01_MASTER_DATABASE'!N149,"mm","")),0)&gt;=32),"✓","✗")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'01_MASTER_DATABASE'!M150</f>
        <v/>
      </c>
      <c r="D153" s="113">
        <f>IF(ISNUMBER(SEARCH("5",'01_MASTER_DATABASE'!M150)),5,8)</f>
        <v/>
      </c>
      <c r="E153" s="113">
        <f>IFERROR(VALUE(SUBSTITUTE('01_MASTER_DATABASE'!N150,"mm","")),0)</f>
        <v/>
      </c>
      <c r="F153" s="113">
        <f>IF(OR(ISNUMBER(SEARCH("hộp",'01_MASTER_DATABASE'!M150)), IFERROR(VALUE(SUBSTITUTE('01_MASTER_DATABASE'!N150,"mm","")),0)&gt;=20),"✓","✗")</f>
        <v/>
      </c>
      <c r="G153" s="113">
        <f>IF(OR(ISNUMBER(SEARCH("3 lớp",'01_MASTER_DATABASE'!M150)), IFERROR(VALUE(SUBSTITUTE('01_MASTER_DATABASE'!N150,"mm","")),0)&gt;=32),"✓","✗")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'01_MASTER_DATABASE'!M151</f>
        <v/>
      </c>
      <c r="D154" s="113">
        <f>IF(ISNUMBER(SEARCH("5",'01_MASTER_DATABASE'!M151)),5,8)</f>
        <v/>
      </c>
      <c r="E154" s="113">
        <f>IFERROR(VALUE(SUBSTITUTE('01_MASTER_DATABASE'!N151,"mm","")),0)</f>
        <v/>
      </c>
      <c r="F154" s="113">
        <f>IF(OR(ISNUMBER(SEARCH("hộp",'01_MASTER_DATABASE'!M151)), IFERROR(VALUE(SUBSTITUTE('01_MASTER_DATABASE'!N151,"mm","")),0)&gt;=20),"✓","✗")</f>
        <v/>
      </c>
      <c r="G154" s="113">
        <f>IF(OR(ISNUMBER(SEARCH("3 lớp",'01_MASTER_DATABASE'!M151)), IFERROR(VALUE(SUBSTITUTE('01_MASTER_DATABASE'!N151,"mm","")),0)&gt;=32),"✓","✗")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'01_MASTER_DATABASE'!M152</f>
        <v/>
      </c>
      <c r="D155" s="113">
        <f>IF(ISNUMBER(SEARCH("5",'01_MASTER_DATABASE'!M152)),5,8)</f>
        <v/>
      </c>
      <c r="E155" s="113">
        <f>IFERROR(VALUE(SUBSTITUTE('01_MASTER_DATABASE'!N152,"mm","")),0)</f>
        <v/>
      </c>
      <c r="F155" s="113">
        <f>IF(OR(ISNUMBER(SEARCH("hộp",'01_MASTER_DATABASE'!M152)), IFERROR(VALUE(SUBSTITUTE('01_MASTER_DATABASE'!N152,"mm","")),0)&gt;=20),"✓","✗")</f>
        <v/>
      </c>
      <c r="G155" s="113">
        <f>IF(OR(ISNUMBER(SEARCH("3 lớp",'01_MASTER_DATABASE'!M152)), IFERROR(VALUE(SUBSTITUTE('01_MASTER_DATABASE'!N152,"mm","")),0)&gt;=32),"✓","✗")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'01_MASTER_DATABASE'!M153</f>
        <v/>
      </c>
      <c r="D156" s="113">
        <f>IF(ISNUMBER(SEARCH("5",'01_MASTER_DATABASE'!M153)),5,8)</f>
        <v/>
      </c>
      <c r="E156" s="113">
        <f>IFERROR(VALUE(SUBSTITUTE('01_MASTER_DATABASE'!N153,"mm","")),0)</f>
        <v/>
      </c>
      <c r="F156" s="113">
        <f>IF(OR(ISNUMBER(SEARCH("hộp",'01_MASTER_DATABASE'!M153)), IFERROR(VALUE(SUBSTITUTE('01_MASTER_DATABASE'!N153,"mm","")),0)&gt;=20),"✓","✗")</f>
        <v/>
      </c>
      <c r="G156" s="113">
        <f>IF(OR(ISNUMBER(SEARCH("3 lớp",'01_MASTER_DATABASE'!M153)), IFERROR(VALUE(SUBSTITUTE('01_MASTER_DATABASE'!N153,"mm","")),0)&gt;=32),"✓","✗")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'01_MASTER_DATABASE'!M154</f>
        <v/>
      </c>
      <c r="D157" s="113">
        <f>IF(ISNUMBER(SEARCH("5",'01_MASTER_DATABASE'!M154)),5,8)</f>
        <v/>
      </c>
      <c r="E157" s="113">
        <f>IFERROR(VALUE(SUBSTITUTE('01_MASTER_DATABASE'!N154,"mm","")),0)</f>
        <v/>
      </c>
      <c r="F157" s="113">
        <f>IF(OR(ISNUMBER(SEARCH("hộp",'01_MASTER_DATABASE'!M154)), IFERROR(VALUE(SUBSTITUTE('01_MASTER_DATABASE'!N154,"mm","")),0)&gt;=20),"✓","✗")</f>
        <v/>
      </c>
      <c r="G157" s="113">
        <f>IF(OR(ISNUMBER(SEARCH("3 lớp",'01_MASTER_DATABASE'!M154)), IFERROR(VALUE(SUBSTITUTE('01_MASTER_DATABASE'!N154,"mm","")),0)&gt;=32),"✓","✗")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'01_MASTER_DATABASE'!M155</f>
        <v/>
      </c>
      <c r="D158" s="113">
        <f>IF(ISNUMBER(SEARCH("5",'01_MASTER_DATABASE'!M155)),5,8)</f>
        <v/>
      </c>
      <c r="E158" s="113">
        <f>IFERROR(VALUE(SUBSTITUTE('01_MASTER_DATABASE'!N155,"mm","")),0)</f>
        <v/>
      </c>
      <c r="F158" s="113">
        <f>IF(OR(ISNUMBER(SEARCH("hộp",'01_MASTER_DATABASE'!M155)), IFERROR(VALUE(SUBSTITUTE('01_MASTER_DATABASE'!N155,"mm","")),0)&gt;=20),"✓","✗")</f>
        <v/>
      </c>
      <c r="G158" s="113">
        <f>IF(OR(ISNUMBER(SEARCH("3 lớp",'01_MASTER_DATABASE'!M155)), IFERROR(VALUE(SUBSTITUTE('01_MASTER_DATABASE'!N155,"mm","")),0)&gt;=32),"✓","✗")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'01_MASTER_DATABASE'!M156</f>
        <v/>
      </c>
      <c r="D159" s="113">
        <f>IF(ISNUMBER(SEARCH("5",'01_MASTER_DATABASE'!M156)),5,8)</f>
        <v/>
      </c>
      <c r="E159" s="113">
        <f>IFERROR(VALUE(SUBSTITUTE('01_MASTER_DATABASE'!N156,"mm","")),0)</f>
        <v/>
      </c>
      <c r="F159" s="113">
        <f>IF(OR(ISNUMBER(SEARCH("hộp",'01_MASTER_DATABASE'!M156)), IFERROR(VALUE(SUBSTITUTE('01_MASTER_DATABASE'!N156,"mm","")),0)&gt;=20),"✓","✗")</f>
        <v/>
      </c>
      <c r="G159" s="113">
        <f>IF(OR(ISNUMBER(SEARCH("3 lớp",'01_MASTER_DATABASE'!M156)), IFERROR(VALUE(SUBSTITUTE('01_MASTER_DATABASE'!N156,"mm","")),0)&gt;=32),"✓","✗")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'01_MASTER_DATABASE'!M157</f>
        <v/>
      </c>
      <c r="D160" s="113">
        <f>IF(ISNUMBER(SEARCH("5",'01_MASTER_DATABASE'!M157)),5,8)</f>
        <v/>
      </c>
      <c r="E160" s="113">
        <f>IFERROR(VALUE(SUBSTITUTE('01_MASTER_DATABASE'!N157,"mm","")),0)</f>
        <v/>
      </c>
      <c r="F160" s="113">
        <f>IF(OR(ISNUMBER(SEARCH("hộp",'01_MASTER_DATABASE'!M157)), IFERROR(VALUE(SUBSTITUTE('01_MASTER_DATABASE'!N157,"mm","")),0)&gt;=20),"✓","✗")</f>
        <v/>
      </c>
      <c r="G160" s="113">
        <f>IF(OR(ISNUMBER(SEARCH("3 lớp",'01_MASTER_DATABASE'!M157)), IFERROR(VALUE(SUBSTITUTE('01_MASTER_DATABASE'!N157,"mm","")),0)&gt;=32),"✓","✗")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'01_MASTER_DATABASE'!M158</f>
        <v/>
      </c>
      <c r="D161" s="113">
        <f>IF(ISNUMBER(SEARCH("5",'01_MASTER_DATABASE'!M158)),5,8)</f>
        <v/>
      </c>
      <c r="E161" s="113">
        <f>IFERROR(VALUE(SUBSTITUTE('01_MASTER_DATABASE'!N158,"mm","")),0)</f>
        <v/>
      </c>
      <c r="F161" s="113">
        <f>IF(OR(ISNUMBER(SEARCH("hộp",'01_MASTER_DATABASE'!M158)), IFERROR(VALUE(SUBSTITUTE('01_MASTER_DATABASE'!N158,"mm","")),0)&gt;=20),"✓","✗")</f>
        <v/>
      </c>
      <c r="G161" s="113">
        <f>IF(OR(ISNUMBER(SEARCH("3 lớp",'01_MASTER_DATABASE'!M158)), IFERROR(VALUE(SUBSTITUTE('01_MASTER_DATABASE'!N158,"mm","")),0)&gt;=32),"✓","✗")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'01_MASTER_DATABASE'!M159</f>
        <v/>
      </c>
      <c r="D162" s="113">
        <f>IF(ISNUMBER(SEARCH("5",'01_MASTER_DATABASE'!M159)),5,8)</f>
        <v/>
      </c>
      <c r="E162" s="113">
        <f>IFERROR(VALUE(SUBSTITUTE('01_MASTER_DATABASE'!N159,"mm","")),0)</f>
        <v/>
      </c>
      <c r="F162" s="113">
        <f>IF(OR(ISNUMBER(SEARCH("hộp",'01_MASTER_DATABASE'!M159)), IFERROR(VALUE(SUBSTITUTE('01_MASTER_DATABASE'!N159,"mm","")),0)&gt;=20),"✓","✗")</f>
        <v/>
      </c>
      <c r="G162" s="113">
        <f>IF(OR(ISNUMBER(SEARCH("3 lớp",'01_MASTER_DATABASE'!M159)), IFERROR(VALUE(SUBSTITUTE('01_MASTER_DATABASE'!N159,"mm","")),0)&gt;=32),"✓","✗")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'01_MASTER_DATABASE'!M160</f>
        <v/>
      </c>
      <c r="D163" s="113">
        <f>IF(ISNUMBER(SEARCH("5",'01_MASTER_DATABASE'!M160)),5,8)</f>
        <v/>
      </c>
      <c r="E163" s="113">
        <f>IFERROR(VALUE(SUBSTITUTE('01_MASTER_DATABASE'!N160,"mm","")),0)</f>
        <v/>
      </c>
      <c r="F163" s="113">
        <f>IF(OR(ISNUMBER(SEARCH("hộp",'01_MASTER_DATABASE'!M160)), IFERROR(VALUE(SUBSTITUTE('01_MASTER_DATABASE'!N160,"mm","")),0)&gt;=20),"✓","✗")</f>
        <v/>
      </c>
      <c r="G163" s="113">
        <f>IF(OR(ISNUMBER(SEARCH("3 lớp",'01_MASTER_DATABASE'!M160)), IFERROR(VALUE(SUBSTITUTE('01_MASTER_DATABASE'!N160,"mm","")),0)&gt;=32),"✓","✗")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'01_MASTER_DATABASE'!M161</f>
        <v/>
      </c>
      <c r="D164" s="113">
        <f>IF(ISNUMBER(SEARCH("5",'01_MASTER_DATABASE'!M161)),5,8)</f>
        <v/>
      </c>
      <c r="E164" s="113">
        <f>IFERROR(VALUE(SUBSTITUTE('01_MASTER_DATABASE'!N161,"mm","")),0)</f>
        <v/>
      </c>
      <c r="F164" s="113">
        <f>IF(OR(ISNUMBER(SEARCH("hộp",'01_MASTER_DATABASE'!M161)), IFERROR(VALUE(SUBSTITUTE('01_MASTER_DATABASE'!N161,"mm","")),0)&gt;=20),"✓","✗")</f>
        <v/>
      </c>
      <c r="G164" s="113">
        <f>IF(OR(ISNUMBER(SEARCH("3 lớp",'01_MASTER_DATABASE'!M161)), IFERROR(VALUE(SUBSTITUTE('01_MASTER_DATABASE'!N161,"mm","")),0)&gt;=32),"✓","✗")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'01_MASTER_DATABASE'!M162</f>
        <v/>
      </c>
      <c r="D165" s="113">
        <f>IF(ISNUMBER(SEARCH("5",'01_MASTER_DATABASE'!M162)),5,8)</f>
        <v/>
      </c>
      <c r="E165" s="113">
        <f>IFERROR(VALUE(SUBSTITUTE('01_MASTER_DATABASE'!N162,"mm","")),0)</f>
        <v/>
      </c>
      <c r="F165" s="113">
        <f>IF(OR(ISNUMBER(SEARCH("hộp",'01_MASTER_DATABASE'!M162)), IFERROR(VALUE(SUBSTITUTE('01_MASTER_DATABASE'!N162,"mm","")),0)&gt;=20),"✓","✗")</f>
        <v/>
      </c>
      <c r="G165" s="113">
        <f>IF(OR(ISNUMBER(SEARCH("3 lớp",'01_MASTER_DATABASE'!M162)), IFERROR(VALUE(SUBSTITUTE('01_MASTER_DATABASE'!N162,"mm","")),0)&gt;=32),"✓","✗")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'01_MASTER_DATABASE'!M163</f>
        <v/>
      </c>
      <c r="D166" s="113">
        <f>IF(ISNUMBER(SEARCH("5",'01_MASTER_DATABASE'!M163)),5,8)</f>
        <v/>
      </c>
      <c r="E166" s="113">
        <f>IFERROR(VALUE(SUBSTITUTE('01_MASTER_DATABASE'!N163,"mm","")),0)</f>
        <v/>
      </c>
      <c r="F166" s="113">
        <f>IF(OR(ISNUMBER(SEARCH("hộp",'01_MASTER_DATABASE'!M163)), IFERROR(VALUE(SUBSTITUTE('01_MASTER_DATABASE'!N163,"mm","")),0)&gt;=20),"✓","✗")</f>
        <v/>
      </c>
      <c r="G166" s="113">
        <f>IF(OR(ISNUMBER(SEARCH("3 lớp",'01_MASTER_DATABASE'!M163)), IFERROR(VALUE(SUBSTITUTE('01_MASTER_DATABASE'!N163,"mm","")),0)&gt;=32),"✓","✗")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'01_MASTER_DATABASE'!M164</f>
        <v/>
      </c>
      <c r="D167" s="113">
        <f>IF(ISNUMBER(SEARCH("5",'01_MASTER_DATABASE'!M164)),5,8)</f>
        <v/>
      </c>
      <c r="E167" s="113">
        <f>IFERROR(VALUE(SUBSTITUTE('01_MASTER_DATABASE'!N164,"mm","")),0)</f>
        <v/>
      </c>
      <c r="F167" s="113">
        <f>IF(OR(ISNUMBER(SEARCH("hộp",'01_MASTER_DATABASE'!M164)), IFERROR(VALUE(SUBSTITUTE('01_MASTER_DATABASE'!N164,"mm","")),0)&gt;=20),"✓","✗")</f>
        <v/>
      </c>
      <c r="G167" s="113">
        <f>IF(OR(ISNUMBER(SEARCH("3 lớp",'01_MASTER_DATABASE'!M164)), IFERROR(VALUE(SUBSTITUTE('01_MASTER_DATABASE'!N164,"mm","")),0)&gt;=32),"✓","✗")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'01_MASTER_DATABASE'!M165</f>
        <v/>
      </c>
      <c r="D168" s="113">
        <f>IF(ISNUMBER(SEARCH("5",'01_MASTER_DATABASE'!M165)),5,8)</f>
        <v/>
      </c>
      <c r="E168" s="113">
        <f>IFERROR(VALUE(SUBSTITUTE('01_MASTER_DATABASE'!N165,"mm","")),0)</f>
        <v/>
      </c>
      <c r="F168" s="113">
        <f>IF(OR(ISNUMBER(SEARCH("hộp",'01_MASTER_DATABASE'!M165)), IFERROR(VALUE(SUBSTITUTE('01_MASTER_DATABASE'!N165,"mm","")),0)&gt;=20),"✓","✗")</f>
        <v/>
      </c>
      <c r="G168" s="113">
        <f>IF(OR(ISNUMBER(SEARCH("3 lớp",'01_MASTER_DATABASE'!M165)), IFERROR(VALUE(SUBSTITUTE('01_MASTER_DATABASE'!N165,"mm","")),0)&gt;=32),"✓","✗")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'01_MASTER_DATABASE'!M166</f>
        <v/>
      </c>
      <c r="D169" s="113">
        <f>IF(ISNUMBER(SEARCH("5",'01_MASTER_DATABASE'!M166)),5,8)</f>
        <v/>
      </c>
      <c r="E169" s="113">
        <f>IFERROR(VALUE(SUBSTITUTE('01_MASTER_DATABASE'!N166,"mm","")),0)</f>
        <v/>
      </c>
      <c r="F169" s="113">
        <f>IF(OR(ISNUMBER(SEARCH("hộp",'01_MASTER_DATABASE'!M166)), IFERROR(VALUE(SUBSTITUTE('01_MASTER_DATABASE'!N166,"mm","")),0)&gt;=20),"✓","✗")</f>
        <v/>
      </c>
      <c r="G169" s="113">
        <f>IF(OR(ISNUMBER(SEARCH("3 lớp",'01_MASTER_DATABASE'!M166)), IFERROR(VALUE(SUBSTITUTE('01_MASTER_DATABASE'!N166,"mm","")),0)&gt;=32),"✓","✗")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'01_MASTER_DATABASE'!M167</f>
        <v/>
      </c>
      <c r="D170" s="113">
        <f>IF(ISNUMBER(SEARCH("5",'01_MASTER_DATABASE'!M167)),5,8)</f>
        <v/>
      </c>
      <c r="E170" s="113">
        <f>IFERROR(VALUE(SUBSTITUTE('01_MASTER_DATABASE'!N167,"mm","")),0)</f>
        <v/>
      </c>
      <c r="F170" s="113">
        <f>IF(OR(ISNUMBER(SEARCH("hộp",'01_MASTER_DATABASE'!M167)), IFERROR(VALUE(SUBSTITUTE('01_MASTER_DATABASE'!N167,"mm","")),0)&gt;=20),"✓","✗")</f>
        <v/>
      </c>
      <c r="G170" s="113">
        <f>IF(OR(ISNUMBER(SEARCH("3 lớp",'01_MASTER_DATABASE'!M167)), IFERROR(VALUE(SUBSTITUTE('01_MASTER_DATABASE'!N167,"mm","")),0)&gt;=32),"✓","✗")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'01_MASTER_DATABASE'!M168</f>
        <v/>
      </c>
      <c r="D171" s="113">
        <f>IF(ISNUMBER(SEARCH("5",'01_MASTER_DATABASE'!M168)),5,8)</f>
        <v/>
      </c>
      <c r="E171" s="113">
        <f>IFERROR(VALUE(SUBSTITUTE('01_MASTER_DATABASE'!N168,"mm","")),0)</f>
        <v/>
      </c>
      <c r="F171" s="113">
        <f>IF(OR(ISNUMBER(SEARCH("hộp",'01_MASTER_DATABASE'!M168)), IFERROR(VALUE(SUBSTITUTE('01_MASTER_DATABASE'!N168,"mm","")),0)&gt;=20),"✓","✗")</f>
        <v/>
      </c>
      <c r="G171" s="113">
        <f>IF(OR(ISNUMBER(SEARCH("3 lớp",'01_MASTER_DATABASE'!M168)), IFERROR(VALUE(SUBSTITUTE('01_MASTER_DATABASE'!N168,"mm","")),0)&gt;=32),"✓","✗")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'01_MASTER_DATABASE'!M169</f>
        <v/>
      </c>
      <c r="D172" s="113">
        <f>IF(ISNUMBER(SEARCH("5",'01_MASTER_DATABASE'!M169)),5,8)</f>
        <v/>
      </c>
      <c r="E172" s="113">
        <f>IFERROR(VALUE(SUBSTITUTE('01_MASTER_DATABASE'!N169,"mm","")),0)</f>
        <v/>
      </c>
      <c r="F172" s="113">
        <f>IF(OR(ISNUMBER(SEARCH("hộp",'01_MASTER_DATABASE'!M169)), IFERROR(VALUE(SUBSTITUTE('01_MASTER_DATABASE'!N169,"mm","")),0)&gt;=20),"✓","✗")</f>
        <v/>
      </c>
      <c r="G172" s="113">
        <f>IF(OR(ISNUMBER(SEARCH("3 lớp",'01_MASTER_DATABASE'!M169)), IFERROR(VALUE(SUBSTITUTE('01_MASTER_DATABASE'!N169,"mm","")),0)&gt;=32),"✓","✗")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'01_MASTER_DATABASE'!M170</f>
        <v/>
      </c>
      <c r="D173" s="113">
        <f>IF(ISNUMBER(SEARCH("5",'01_MASTER_DATABASE'!M170)),5,8)</f>
        <v/>
      </c>
      <c r="E173" s="113">
        <f>IFERROR(VALUE(SUBSTITUTE('01_MASTER_DATABASE'!N170,"mm","")),0)</f>
        <v/>
      </c>
      <c r="F173" s="113">
        <f>IF(OR(ISNUMBER(SEARCH("hộp",'01_MASTER_DATABASE'!M170)), IFERROR(VALUE(SUBSTITUTE('01_MASTER_DATABASE'!N170,"mm","")),0)&gt;=20),"✓","✗")</f>
        <v/>
      </c>
      <c r="G173" s="113">
        <f>IF(OR(ISNUMBER(SEARCH("3 lớp",'01_MASTER_DATABASE'!M170)), IFERROR(VALUE(SUBSTITUTE('01_MASTER_DATABASE'!N170,"mm","")),0)&gt;=32),"✓","✗")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'01_MASTER_DATABASE'!M171</f>
        <v/>
      </c>
      <c r="D174" s="113">
        <f>IF(ISNUMBER(SEARCH("5",'01_MASTER_DATABASE'!M171)),5,8)</f>
        <v/>
      </c>
      <c r="E174" s="113">
        <f>IFERROR(VALUE(SUBSTITUTE('01_MASTER_DATABASE'!N171,"mm","")),0)</f>
        <v/>
      </c>
      <c r="F174" s="113">
        <f>IF(OR(ISNUMBER(SEARCH("hộp",'01_MASTER_DATABASE'!M171)), IFERROR(VALUE(SUBSTITUTE('01_MASTER_DATABASE'!N171,"mm","")),0)&gt;=20),"✓","✗")</f>
        <v/>
      </c>
      <c r="G174" s="113">
        <f>IF(OR(ISNUMBER(SEARCH("3 lớp",'01_MASTER_DATABASE'!M171)), IFERROR(VALUE(SUBSTITUTE('01_MASTER_DATABASE'!N171,"mm","")),0)&gt;=32),"✓","✗")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'01_MASTER_DATABASE'!M172</f>
        <v/>
      </c>
      <c r="D175" s="113">
        <f>IF(ISNUMBER(SEARCH("5",'01_MASTER_DATABASE'!M172)),5,8)</f>
        <v/>
      </c>
      <c r="E175" s="113">
        <f>IFERROR(VALUE(SUBSTITUTE('01_MASTER_DATABASE'!N172,"mm","")),0)</f>
        <v/>
      </c>
      <c r="F175" s="113">
        <f>IF(OR(ISNUMBER(SEARCH("hộp",'01_MASTER_DATABASE'!M172)), IFERROR(VALUE(SUBSTITUTE('01_MASTER_DATABASE'!N172,"mm","")),0)&gt;=20),"✓","✗")</f>
        <v/>
      </c>
      <c r="G175" s="113">
        <f>IF(OR(ISNUMBER(SEARCH("3 lớp",'01_MASTER_DATABASE'!M172)), IFERROR(VALUE(SUBSTITUTE('01_MASTER_DATABASE'!N172,"mm","")),0)&gt;=32),"✓","✗")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'01_MASTER_DATABASE'!M173</f>
        <v/>
      </c>
      <c r="D176" s="113">
        <f>IF(ISNUMBER(SEARCH("5",'01_MASTER_DATABASE'!M173)),5,8)</f>
        <v/>
      </c>
      <c r="E176" s="113">
        <f>IFERROR(VALUE(SUBSTITUTE('01_MASTER_DATABASE'!N173,"mm","")),0)</f>
        <v/>
      </c>
      <c r="F176" s="113">
        <f>IF(OR(ISNUMBER(SEARCH("hộp",'01_MASTER_DATABASE'!M173)), IFERROR(VALUE(SUBSTITUTE('01_MASTER_DATABASE'!N173,"mm","")),0)&gt;=20),"✓","✗")</f>
        <v/>
      </c>
      <c r="G176" s="113">
        <f>IF(OR(ISNUMBER(SEARCH("3 lớp",'01_MASTER_DATABASE'!M173)), IFERROR(VALUE(SUBSTITUTE('01_MASTER_DATABASE'!N173,"mm","")),0)&gt;=32),"✓","✗")</f>
        <v/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20" customWidth="1" min="4" max="4"/>
    <col width="20" customWidth="1" min="5" max="5"/>
    <col width="22" customWidth="1" min="6" max="6"/>
  </cols>
  <sheetData>
    <row r="1" ht="20" customHeight="1">
      <c r="A1" s="109" t="inlineStr">
        <is>
          <t>GIỚI HẠN KÍCH THƯỚC CÁNH VÀ DIỆN TÍCH CỬA TỐI ĐA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Kích Thước Khung Đề Xuất</t>
        </is>
      </c>
      <c r="D4" s="110" t="inlineStr">
        <is>
          <t>Chiều Rộng Max (mm)</t>
        </is>
      </c>
      <c r="E4" s="110" t="inlineStr">
        <is>
          <t>Chiều Cao Max (mm)</t>
        </is>
      </c>
      <c r="F4" s="110" t="inlineStr">
        <is>
          <t>Diện Tích Cánh Max (m²)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>
        <f>'01_MASTER_DATABASE'!O2</f>
        <v/>
      </c>
      <c r="D5" s="113">
        <f>IFERROR(VALUE(LEFT('01_MASTER_DATABASE'!O2, SEARCH("×",'01_MASTER_DATABASE'!O2)-1)), 0)</f>
        <v/>
      </c>
      <c r="E5" s="113">
        <f>IFERROR(VALUE(RIGHT('01_MASTER_DATABASE'!O2, LEN('01_MASTER_DATABASE'!O2) - SEARCH("×",'01_MASTER_DATABASE'!O2))), 0)</f>
        <v/>
      </c>
      <c r="F5" s="113">
        <f>IFERROR((D5*E5)/1000000, 0)</f>
        <v/>
      </c>
    </row>
    <row r="6" ht="25" customHeight="1">
      <c r="A6" s="113">
        <f>'01_MASTER_DATABASE'!C3</f>
        <v/>
      </c>
      <c r="B6" s="114">
        <f>'01_MASTER_DATABASE'!D3</f>
        <v/>
      </c>
      <c r="C6" s="113">
        <f>'01_MASTER_DATABASE'!O3</f>
        <v/>
      </c>
      <c r="D6" s="113">
        <f>IFERROR(VALUE(LEFT('01_MASTER_DATABASE'!O3, SEARCH("×",'01_MASTER_DATABASE'!O3)-1)), 0)</f>
        <v/>
      </c>
      <c r="E6" s="113">
        <f>IFERROR(VALUE(RIGHT('01_MASTER_DATABASE'!O3, LEN('01_MASTER_DATABASE'!O3) - SEARCH("×",'01_MASTER_DATABASE'!O3))), 0)</f>
        <v/>
      </c>
      <c r="F6" s="113">
        <f>IFERROR((D6*E6)/1000000, 0)</f>
        <v/>
      </c>
    </row>
    <row r="7" ht="25" customHeight="1">
      <c r="A7" s="113">
        <f>'01_MASTER_DATABASE'!C4</f>
        <v/>
      </c>
      <c r="B7" s="114">
        <f>'01_MASTER_DATABASE'!D4</f>
        <v/>
      </c>
      <c r="C7" s="113">
        <f>'01_MASTER_DATABASE'!O4</f>
        <v/>
      </c>
      <c r="D7" s="113">
        <f>IFERROR(VALUE(LEFT('01_MASTER_DATABASE'!O4, SEARCH("×",'01_MASTER_DATABASE'!O4)-1)), 0)</f>
        <v/>
      </c>
      <c r="E7" s="113">
        <f>IFERROR(VALUE(RIGHT('01_MASTER_DATABASE'!O4, LEN('01_MASTER_DATABASE'!O4) - SEARCH("×",'01_MASTER_DATABASE'!O4))), 0)</f>
        <v/>
      </c>
      <c r="F7" s="113">
        <f>IFERROR((D7*E7)/1000000, 0)</f>
        <v/>
      </c>
    </row>
    <row r="8" ht="25" customHeight="1">
      <c r="A8" s="113">
        <f>'01_MASTER_DATABASE'!C5</f>
        <v/>
      </c>
      <c r="B8" s="114">
        <f>'01_MASTER_DATABASE'!D5</f>
        <v/>
      </c>
      <c r="C8" s="113">
        <f>'01_MASTER_DATABASE'!O5</f>
        <v/>
      </c>
      <c r="D8" s="113">
        <f>IFERROR(VALUE(LEFT('01_MASTER_DATABASE'!O5, SEARCH("×",'01_MASTER_DATABASE'!O5)-1)), 0)</f>
        <v/>
      </c>
      <c r="E8" s="113">
        <f>IFERROR(VALUE(RIGHT('01_MASTER_DATABASE'!O5, LEN('01_MASTER_DATABASE'!O5) - SEARCH("×",'01_MASTER_DATABASE'!O5))), 0)</f>
        <v/>
      </c>
      <c r="F8" s="113">
        <f>IFERROR((D8*E8)/1000000, 0)</f>
        <v/>
      </c>
    </row>
    <row r="9" ht="25" customHeight="1">
      <c r="A9" s="113">
        <f>'01_MASTER_DATABASE'!C6</f>
        <v/>
      </c>
      <c r="B9" s="114">
        <f>'01_MASTER_DATABASE'!D6</f>
        <v/>
      </c>
      <c r="C9" s="113">
        <f>'01_MASTER_DATABASE'!O6</f>
        <v/>
      </c>
      <c r="D9" s="113">
        <f>IFERROR(VALUE(LEFT('01_MASTER_DATABASE'!O6, SEARCH("×",'01_MASTER_DATABASE'!O6)-1)), 0)</f>
        <v/>
      </c>
      <c r="E9" s="113">
        <f>IFERROR(VALUE(RIGHT('01_MASTER_DATABASE'!O6, LEN('01_MASTER_DATABASE'!O6) - SEARCH("×",'01_MASTER_DATABASE'!O6))), 0)</f>
        <v/>
      </c>
      <c r="F9" s="113">
        <f>IFERROR((D9*E9)/1000000, 0)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3">
        <f>'01_MASTER_DATABASE'!O7</f>
        <v/>
      </c>
      <c r="D10" s="113">
        <f>IFERROR(VALUE(LEFT('01_MASTER_DATABASE'!O7, SEARCH("×",'01_MASTER_DATABASE'!O7)-1)), 0)</f>
        <v/>
      </c>
      <c r="E10" s="113">
        <f>IFERROR(VALUE(RIGHT('01_MASTER_DATABASE'!O7, LEN('01_MASTER_DATABASE'!O7) - SEARCH("×",'01_MASTER_DATABASE'!O7))), 0)</f>
        <v/>
      </c>
      <c r="F10" s="113">
        <f>IFERROR((D10*E10)/1000000, 0)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3">
        <f>'01_MASTER_DATABASE'!O8</f>
        <v/>
      </c>
      <c r="D11" s="113">
        <f>IFERROR(VALUE(LEFT('01_MASTER_DATABASE'!O8, SEARCH("×",'01_MASTER_DATABASE'!O8)-1)), 0)</f>
        <v/>
      </c>
      <c r="E11" s="113">
        <f>IFERROR(VALUE(RIGHT('01_MASTER_DATABASE'!O8, LEN('01_MASTER_DATABASE'!O8) - SEARCH("×",'01_MASTER_DATABASE'!O8))), 0)</f>
        <v/>
      </c>
      <c r="F11" s="113">
        <f>IFERROR((D11*E11)/1000000, 0)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3">
        <f>'01_MASTER_DATABASE'!O9</f>
        <v/>
      </c>
      <c r="D12" s="113">
        <f>IFERROR(VALUE(LEFT('01_MASTER_DATABASE'!O9, SEARCH("×",'01_MASTER_DATABASE'!O9)-1)), 0)</f>
        <v/>
      </c>
      <c r="E12" s="113">
        <f>IFERROR(VALUE(RIGHT('01_MASTER_DATABASE'!O9, LEN('01_MASTER_DATABASE'!O9) - SEARCH("×",'01_MASTER_DATABASE'!O9))), 0)</f>
        <v/>
      </c>
      <c r="F12" s="113">
        <f>IFERROR((D12*E12)/1000000, 0)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3">
        <f>'01_MASTER_DATABASE'!O10</f>
        <v/>
      </c>
      <c r="D13" s="113">
        <f>IFERROR(VALUE(LEFT('01_MASTER_DATABASE'!O10, SEARCH("×",'01_MASTER_DATABASE'!O10)-1)), 0)</f>
        <v/>
      </c>
      <c r="E13" s="113">
        <f>IFERROR(VALUE(RIGHT('01_MASTER_DATABASE'!O10, LEN('01_MASTER_DATABASE'!O10) - SEARCH("×",'01_MASTER_DATABASE'!O10))), 0)</f>
        <v/>
      </c>
      <c r="F13" s="113">
        <f>IFERROR((D13*E13)/1000000, 0)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3">
        <f>'01_MASTER_DATABASE'!O11</f>
        <v/>
      </c>
      <c r="D14" s="113">
        <f>IFERROR(VALUE(LEFT('01_MASTER_DATABASE'!O11, SEARCH("×",'01_MASTER_DATABASE'!O11)-1)), 0)</f>
        <v/>
      </c>
      <c r="E14" s="113">
        <f>IFERROR(VALUE(RIGHT('01_MASTER_DATABASE'!O11, LEN('01_MASTER_DATABASE'!O11) - SEARCH("×",'01_MASTER_DATABASE'!O11))), 0)</f>
        <v/>
      </c>
      <c r="F14" s="113">
        <f>IFERROR((D14*E14)/1000000, 0)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3">
        <f>'01_MASTER_DATABASE'!O12</f>
        <v/>
      </c>
      <c r="D15" s="113">
        <f>IFERROR(VALUE(LEFT('01_MASTER_DATABASE'!O12, SEARCH("×",'01_MASTER_DATABASE'!O12)-1)), 0)</f>
        <v/>
      </c>
      <c r="E15" s="113">
        <f>IFERROR(VALUE(RIGHT('01_MASTER_DATABASE'!O12, LEN('01_MASTER_DATABASE'!O12) - SEARCH("×",'01_MASTER_DATABASE'!O12))), 0)</f>
        <v/>
      </c>
      <c r="F15" s="113">
        <f>IFERROR((D15*E15)/1000000, 0)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3">
        <f>'01_MASTER_DATABASE'!O13</f>
        <v/>
      </c>
      <c r="D16" s="113">
        <f>IFERROR(VALUE(LEFT('01_MASTER_DATABASE'!O13, SEARCH("×",'01_MASTER_DATABASE'!O13)-1)), 0)</f>
        <v/>
      </c>
      <c r="E16" s="113">
        <f>IFERROR(VALUE(RIGHT('01_MASTER_DATABASE'!O13, LEN('01_MASTER_DATABASE'!O13) - SEARCH("×",'01_MASTER_DATABASE'!O13))), 0)</f>
        <v/>
      </c>
      <c r="F16" s="113">
        <f>IFERROR((D16*E16)/1000000, 0)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3">
        <f>'01_MASTER_DATABASE'!O14</f>
        <v/>
      </c>
      <c r="D17" s="113">
        <f>IFERROR(VALUE(LEFT('01_MASTER_DATABASE'!O14, SEARCH("×",'01_MASTER_DATABASE'!O14)-1)), 0)</f>
        <v/>
      </c>
      <c r="E17" s="113">
        <f>IFERROR(VALUE(RIGHT('01_MASTER_DATABASE'!O14, LEN('01_MASTER_DATABASE'!O14) - SEARCH("×",'01_MASTER_DATABASE'!O14))), 0)</f>
        <v/>
      </c>
      <c r="F17" s="113">
        <f>IFERROR((D17*E17)/1000000, 0)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3">
        <f>'01_MASTER_DATABASE'!O15</f>
        <v/>
      </c>
      <c r="D18" s="113">
        <f>IFERROR(VALUE(LEFT('01_MASTER_DATABASE'!O15, SEARCH("×",'01_MASTER_DATABASE'!O15)-1)), 0)</f>
        <v/>
      </c>
      <c r="E18" s="113">
        <f>IFERROR(VALUE(RIGHT('01_MASTER_DATABASE'!O15, LEN('01_MASTER_DATABASE'!O15) - SEARCH("×",'01_MASTER_DATABASE'!O15))), 0)</f>
        <v/>
      </c>
      <c r="F18" s="113">
        <f>IFERROR((D18*E18)/1000000, 0)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3">
        <f>'01_MASTER_DATABASE'!O16</f>
        <v/>
      </c>
      <c r="D19" s="113">
        <f>IFERROR(VALUE(LEFT('01_MASTER_DATABASE'!O16, SEARCH("×",'01_MASTER_DATABASE'!O16)-1)), 0)</f>
        <v/>
      </c>
      <c r="E19" s="113">
        <f>IFERROR(VALUE(RIGHT('01_MASTER_DATABASE'!O16, LEN('01_MASTER_DATABASE'!O16) - SEARCH("×",'01_MASTER_DATABASE'!O16))), 0)</f>
        <v/>
      </c>
      <c r="F19" s="113">
        <f>IFERROR((D19*E19)/1000000, 0)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3">
        <f>'01_MASTER_DATABASE'!O17</f>
        <v/>
      </c>
      <c r="D20" s="113">
        <f>IFERROR(VALUE(LEFT('01_MASTER_DATABASE'!O17, SEARCH("×",'01_MASTER_DATABASE'!O17)-1)), 0)</f>
        <v/>
      </c>
      <c r="E20" s="113">
        <f>IFERROR(VALUE(RIGHT('01_MASTER_DATABASE'!O17, LEN('01_MASTER_DATABASE'!O17) - SEARCH("×",'01_MASTER_DATABASE'!O17))), 0)</f>
        <v/>
      </c>
      <c r="F20" s="113">
        <f>IFERROR((D20*E20)/1000000, 0)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3">
        <f>'01_MASTER_DATABASE'!O18</f>
        <v/>
      </c>
      <c r="D21" s="113">
        <f>IFERROR(VALUE(LEFT('01_MASTER_DATABASE'!O18, SEARCH("×",'01_MASTER_DATABASE'!O18)-1)), 0)</f>
        <v/>
      </c>
      <c r="E21" s="113">
        <f>IFERROR(VALUE(RIGHT('01_MASTER_DATABASE'!O18, LEN('01_MASTER_DATABASE'!O18) - SEARCH("×",'01_MASTER_DATABASE'!O18))), 0)</f>
        <v/>
      </c>
      <c r="F21" s="113">
        <f>IFERROR((D21*E21)/1000000, 0)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3">
        <f>'01_MASTER_DATABASE'!O19</f>
        <v/>
      </c>
      <c r="D22" s="113">
        <f>IFERROR(VALUE(LEFT('01_MASTER_DATABASE'!O19, SEARCH("×",'01_MASTER_DATABASE'!O19)-1)), 0)</f>
        <v/>
      </c>
      <c r="E22" s="113">
        <f>IFERROR(VALUE(RIGHT('01_MASTER_DATABASE'!O19, LEN('01_MASTER_DATABASE'!O19) - SEARCH("×",'01_MASTER_DATABASE'!O19))), 0)</f>
        <v/>
      </c>
      <c r="F22" s="113">
        <f>IFERROR((D22*E22)/1000000, 0)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3">
        <f>'01_MASTER_DATABASE'!O20</f>
        <v/>
      </c>
      <c r="D23" s="113">
        <f>IFERROR(VALUE(LEFT('01_MASTER_DATABASE'!O20, SEARCH("×",'01_MASTER_DATABASE'!O20)-1)), 0)</f>
        <v/>
      </c>
      <c r="E23" s="113">
        <f>IFERROR(VALUE(RIGHT('01_MASTER_DATABASE'!O20, LEN('01_MASTER_DATABASE'!O20) - SEARCH("×",'01_MASTER_DATABASE'!O20))), 0)</f>
        <v/>
      </c>
      <c r="F23" s="113">
        <f>IFERROR((D23*E23)/1000000, 0)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3">
        <f>'01_MASTER_DATABASE'!O21</f>
        <v/>
      </c>
      <c r="D24" s="113">
        <f>IFERROR(VALUE(LEFT('01_MASTER_DATABASE'!O21, SEARCH("×",'01_MASTER_DATABASE'!O21)-1)), 0)</f>
        <v/>
      </c>
      <c r="E24" s="113">
        <f>IFERROR(VALUE(RIGHT('01_MASTER_DATABASE'!O21, LEN('01_MASTER_DATABASE'!O21) - SEARCH("×",'01_MASTER_DATABASE'!O21))), 0)</f>
        <v/>
      </c>
      <c r="F24" s="113">
        <f>IFERROR((D24*E24)/1000000, 0)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3">
        <f>'01_MASTER_DATABASE'!O22</f>
        <v/>
      </c>
      <c r="D25" s="113">
        <f>IFERROR(VALUE(LEFT('01_MASTER_DATABASE'!O22, SEARCH("×",'01_MASTER_DATABASE'!O22)-1)), 0)</f>
        <v/>
      </c>
      <c r="E25" s="113">
        <f>IFERROR(VALUE(RIGHT('01_MASTER_DATABASE'!O22, LEN('01_MASTER_DATABASE'!O22) - SEARCH("×",'01_MASTER_DATABASE'!O22))), 0)</f>
        <v/>
      </c>
      <c r="F25" s="113">
        <f>IFERROR((D25*E25)/1000000, 0)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3">
        <f>'01_MASTER_DATABASE'!O23</f>
        <v/>
      </c>
      <c r="D26" s="113">
        <f>IFERROR(VALUE(LEFT('01_MASTER_DATABASE'!O23, SEARCH("×",'01_MASTER_DATABASE'!O23)-1)), 0)</f>
        <v/>
      </c>
      <c r="E26" s="113">
        <f>IFERROR(VALUE(RIGHT('01_MASTER_DATABASE'!O23, LEN('01_MASTER_DATABASE'!O23) - SEARCH("×",'01_MASTER_DATABASE'!O23))), 0)</f>
        <v/>
      </c>
      <c r="F26" s="113">
        <f>IFERROR((D26*E26)/1000000, 0)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3">
        <f>'01_MASTER_DATABASE'!O24</f>
        <v/>
      </c>
      <c r="D27" s="113">
        <f>IFERROR(VALUE(LEFT('01_MASTER_DATABASE'!O24, SEARCH("×",'01_MASTER_DATABASE'!O24)-1)), 0)</f>
        <v/>
      </c>
      <c r="E27" s="113">
        <f>IFERROR(VALUE(RIGHT('01_MASTER_DATABASE'!O24, LEN('01_MASTER_DATABASE'!O24) - SEARCH("×",'01_MASTER_DATABASE'!O24))), 0)</f>
        <v/>
      </c>
      <c r="F27" s="113">
        <f>IFERROR((D27*E27)/1000000, 0)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3">
        <f>'01_MASTER_DATABASE'!O25</f>
        <v/>
      </c>
      <c r="D28" s="113">
        <f>IFERROR(VALUE(LEFT('01_MASTER_DATABASE'!O25, SEARCH("×",'01_MASTER_DATABASE'!O25)-1)), 0)</f>
        <v/>
      </c>
      <c r="E28" s="113">
        <f>IFERROR(VALUE(RIGHT('01_MASTER_DATABASE'!O25, LEN('01_MASTER_DATABASE'!O25) - SEARCH("×",'01_MASTER_DATABASE'!O25))), 0)</f>
        <v/>
      </c>
      <c r="F28" s="113">
        <f>IFERROR((D28*E28)/1000000, 0)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3">
        <f>'01_MASTER_DATABASE'!O26</f>
        <v/>
      </c>
      <c r="D29" s="113">
        <f>IFERROR(VALUE(LEFT('01_MASTER_DATABASE'!O26, SEARCH("×",'01_MASTER_DATABASE'!O26)-1)), 0)</f>
        <v/>
      </c>
      <c r="E29" s="113">
        <f>IFERROR(VALUE(RIGHT('01_MASTER_DATABASE'!O26, LEN('01_MASTER_DATABASE'!O26) - SEARCH("×",'01_MASTER_DATABASE'!O26))), 0)</f>
        <v/>
      </c>
      <c r="F29" s="113">
        <f>IFERROR((D29*E29)/1000000, 0)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3">
        <f>'01_MASTER_DATABASE'!O27</f>
        <v/>
      </c>
      <c r="D30" s="113">
        <f>IFERROR(VALUE(LEFT('01_MASTER_DATABASE'!O27, SEARCH("×",'01_MASTER_DATABASE'!O27)-1)), 0)</f>
        <v/>
      </c>
      <c r="E30" s="113">
        <f>IFERROR(VALUE(RIGHT('01_MASTER_DATABASE'!O27, LEN('01_MASTER_DATABASE'!O27) - SEARCH("×",'01_MASTER_DATABASE'!O27))), 0)</f>
        <v/>
      </c>
      <c r="F30" s="113">
        <f>IFERROR((D30*E30)/1000000, 0)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3">
        <f>'01_MASTER_DATABASE'!O28</f>
        <v/>
      </c>
      <c r="D31" s="113">
        <f>IFERROR(VALUE(LEFT('01_MASTER_DATABASE'!O28, SEARCH("×",'01_MASTER_DATABASE'!O28)-1)), 0)</f>
        <v/>
      </c>
      <c r="E31" s="113">
        <f>IFERROR(VALUE(RIGHT('01_MASTER_DATABASE'!O28, LEN('01_MASTER_DATABASE'!O28) - SEARCH("×",'01_MASTER_DATABASE'!O28))), 0)</f>
        <v/>
      </c>
      <c r="F31" s="113">
        <f>IFERROR((D31*E31)/1000000, 0)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3">
        <f>'01_MASTER_DATABASE'!O29</f>
        <v/>
      </c>
      <c r="D32" s="113">
        <f>IFERROR(VALUE(LEFT('01_MASTER_DATABASE'!O29, SEARCH("×",'01_MASTER_DATABASE'!O29)-1)), 0)</f>
        <v/>
      </c>
      <c r="E32" s="113">
        <f>IFERROR(VALUE(RIGHT('01_MASTER_DATABASE'!O29, LEN('01_MASTER_DATABASE'!O29) - SEARCH("×",'01_MASTER_DATABASE'!O29))), 0)</f>
        <v/>
      </c>
      <c r="F32" s="113">
        <f>IFERROR((D32*E32)/1000000, 0)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3">
        <f>'01_MASTER_DATABASE'!O30</f>
        <v/>
      </c>
      <c r="D33" s="113">
        <f>IFERROR(VALUE(LEFT('01_MASTER_DATABASE'!O30, SEARCH("×",'01_MASTER_DATABASE'!O30)-1)), 0)</f>
        <v/>
      </c>
      <c r="E33" s="113">
        <f>IFERROR(VALUE(RIGHT('01_MASTER_DATABASE'!O30, LEN('01_MASTER_DATABASE'!O30) - SEARCH("×",'01_MASTER_DATABASE'!O30))), 0)</f>
        <v/>
      </c>
      <c r="F33" s="113">
        <f>IFERROR((D33*E33)/1000000, 0)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3">
        <f>'01_MASTER_DATABASE'!O31</f>
        <v/>
      </c>
      <c r="D34" s="113">
        <f>IFERROR(VALUE(LEFT('01_MASTER_DATABASE'!O31, SEARCH("×",'01_MASTER_DATABASE'!O31)-1)), 0)</f>
        <v/>
      </c>
      <c r="E34" s="113">
        <f>IFERROR(VALUE(RIGHT('01_MASTER_DATABASE'!O31, LEN('01_MASTER_DATABASE'!O31) - SEARCH("×",'01_MASTER_DATABASE'!O31))), 0)</f>
        <v/>
      </c>
      <c r="F34" s="113">
        <f>IFERROR((D34*E34)/1000000, 0)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3">
        <f>'01_MASTER_DATABASE'!O32</f>
        <v/>
      </c>
      <c r="D35" s="113">
        <f>IFERROR(VALUE(LEFT('01_MASTER_DATABASE'!O32, SEARCH("×",'01_MASTER_DATABASE'!O32)-1)), 0)</f>
        <v/>
      </c>
      <c r="E35" s="113">
        <f>IFERROR(VALUE(RIGHT('01_MASTER_DATABASE'!O32, LEN('01_MASTER_DATABASE'!O32) - SEARCH("×",'01_MASTER_DATABASE'!O32))), 0)</f>
        <v/>
      </c>
      <c r="F35" s="113">
        <f>IFERROR((D35*E35)/1000000, 0)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3">
        <f>'01_MASTER_DATABASE'!O33</f>
        <v/>
      </c>
      <c r="D36" s="113">
        <f>IFERROR(VALUE(LEFT('01_MASTER_DATABASE'!O33, SEARCH("×",'01_MASTER_DATABASE'!O33)-1)), 0)</f>
        <v/>
      </c>
      <c r="E36" s="113">
        <f>IFERROR(VALUE(RIGHT('01_MASTER_DATABASE'!O33, LEN('01_MASTER_DATABASE'!O33) - SEARCH("×",'01_MASTER_DATABASE'!O33))), 0)</f>
        <v/>
      </c>
      <c r="F36" s="113">
        <f>IFERROR((D36*E36)/1000000, 0)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3">
        <f>'01_MASTER_DATABASE'!O34</f>
        <v/>
      </c>
      <c r="D37" s="113">
        <f>IFERROR(VALUE(LEFT('01_MASTER_DATABASE'!O34, SEARCH("×",'01_MASTER_DATABASE'!O34)-1)), 0)</f>
        <v/>
      </c>
      <c r="E37" s="113">
        <f>IFERROR(VALUE(RIGHT('01_MASTER_DATABASE'!O34, LEN('01_MASTER_DATABASE'!O34) - SEARCH("×",'01_MASTER_DATABASE'!O34))), 0)</f>
        <v/>
      </c>
      <c r="F37" s="113">
        <f>IFERROR((D37*E37)/1000000, 0)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3">
        <f>'01_MASTER_DATABASE'!O35</f>
        <v/>
      </c>
      <c r="D38" s="113">
        <f>IFERROR(VALUE(LEFT('01_MASTER_DATABASE'!O35, SEARCH("×",'01_MASTER_DATABASE'!O35)-1)), 0)</f>
        <v/>
      </c>
      <c r="E38" s="113">
        <f>IFERROR(VALUE(RIGHT('01_MASTER_DATABASE'!O35, LEN('01_MASTER_DATABASE'!O35) - SEARCH("×",'01_MASTER_DATABASE'!O35))), 0)</f>
        <v/>
      </c>
      <c r="F38" s="113">
        <f>IFERROR((D38*E38)/1000000, 0)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3">
        <f>'01_MASTER_DATABASE'!O36</f>
        <v/>
      </c>
      <c r="D39" s="113">
        <f>IFERROR(VALUE(LEFT('01_MASTER_DATABASE'!O36, SEARCH("×",'01_MASTER_DATABASE'!O36)-1)), 0)</f>
        <v/>
      </c>
      <c r="E39" s="113">
        <f>IFERROR(VALUE(RIGHT('01_MASTER_DATABASE'!O36, LEN('01_MASTER_DATABASE'!O36) - SEARCH("×",'01_MASTER_DATABASE'!O36))), 0)</f>
        <v/>
      </c>
      <c r="F39" s="113">
        <f>IFERROR((D39*E39)/1000000, 0)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3">
        <f>'01_MASTER_DATABASE'!O37</f>
        <v/>
      </c>
      <c r="D40" s="113">
        <f>IFERROR(VALUE(LEFT('01_MASTER_DATABASE'!O37, SEARCH("×",'01_MASTER_DATABASE'!O37)-1)), 0)</f>
        <v/>
      </c>
      <c r="E40" s="113">
        <f>IFERROR(VALUE(RIGHT('01_MASTER_DATABASE'!O37, LEN('01_MASTER_DATABASE'!O37) - SEARCH("×",'01_MASTER_DATABASE'!O37))), 0)</f>
        <v/>
      </c>
      <c r="F40" s="113">
        <f>IFERROR((D40*E40)/1000000, 0)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3">
        <f>'01_MASTER_DATABASE'!O38</f>
        <v/>
      </c>
      <c r="D41" s="113">
        <f>IFERROR(VALUE(LEFT('01_MASTER_DATABASE'!O38, SEARCH("×",'01_MASTER_DATABASE'!O38)-1)), 0)</f>
        <v/>
      </c>
      <c r="E41" s="113">
        <f>IFERROR(VALUE(RIGHT('01_MASTER_DATABASE'!O38, LEN('01_MASTER_DATABASE'!O38) - SEARCH("×",'01_MASTER_DATABASE'!O38))), 0)</f>
        <v/>
      </c>
      <c r="F41" s="113">
        <f>IFERROR((D41*E41)/1000000, 0)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3">
        <f>'01_MASTER_DATABASE'!O39</f>
        <v/>
      </c>
      <c r="D42" s="113">
        <f>IFERROR(VALUE(LEFT('01_MASTER_DATABASE'!O39, SEARCH("×",'01_MASTER_DATABASE'!O39)-1)), 0)</f>
        <v/>
      </c>
      <c r="E42" s="113">
        <f>IFERROR(VALUE(RIGHT('01_MASTER_DATABASE'!O39, LEN('01_MASTER_DATABASE'!O39) - SEARCH("×",'01_MASTER_DATABASE'!O39))), 0)</f>
        <v/>
      </c>
      <c r="F42" s="113">
        <f>IFERROR((D42*E42)/1000000, 0)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3">
        <f>'01_MASTER_DATABASE'!O40</f>
        <v/>
      </c>
      <c r="D43" s="113">
        <f>IFERROR(VALUE(LEFT('01_MASTER_DATABASE'!O40, SEARCH("×",'01_MASTER_DATABASE'!O40)-1)), 0)</f>
        <v/>
      </c>
      <c r="E43" s="113">
        <f>IFERROR(VALUE(RIGHT('01_MASTER_DATABASE'!O40, LEN('01_MASTER_DATABASE'!O40) - SEARCH("×",'01_MASTER_DATABASE'!O40))), 0)</f>
        <v/>
      </c>
      <c r="F43" s="113">
        <f>IFERROR((D43*E43)/1000000, 0)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3">
        <f>'01_MASTER_DATABASE'!O41</f>
        <v/>
      </c>
      <c r="D44" s="113">
        <f>IFERROR(VALUE(LEFT('01_MASTER_DATABASE'!O41, SEARCH("×",'01_MASTER_DATABASE'!O41)-1)), 0)</f>
        <v/>
      </c>
      <c r="E44" s="113">
        <f>IFERROR(VALUE(RIGHT('01_MASTER_DATABASE'!O41, LEN('01_MASTER_DATABASE'!O41) - SEARCH("×",'01_MASTER_DATABASE'!O41))), 0)</f>
        <v/>
      </c>
      <c r="F44" s="113">
        <f>IFERROR((D44*E44)/1000000, 0)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3">
        <f>'01_MASTER_DATABASE'!O42</f>
        <v/>
      </c>
      <c r="D45" s="113">
        <f>IFERROR(VALUE(LEFT('01_MASTER_DATABASE'!O42, SEARCH("×",'01_MASTER_DATABASE'!O42)-1)), 0)</f>
        <v/>
      </c>
      <c r="E45" s="113">
        <f>IFERROR(VALUE(RIGHT('01_MASTER_DATABASE'!O42, LEN('01_MASTER_DATABASE'!O42) - SEARCH("×",'01_MASTER_DATABASE'!O42))), 0)</f>
        <v/>
      </c>
      <c r="F45" s="113">
        <f>IFERROR((D45*E45)/1000000, 0)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3">
        <f>'01_MASTER_DATABASE'!O43</f>
        <v/>
      </c>
      <c r="D46" s="113">
        <f>IFERROR(VALUE(LEFT('01_MASTER_DATABASE'!O43, SEARCH("×",'01_MASTER_DATABASE'!O43)-1)), 0)</f>
        <v/>
      </c>
      <c r="E46" s="113">
        <f>IFERROR(VALUE(RIGHT('01_MASTER_DATABASE'!O43, LEN('01_MASTER_DATABASE'!O43) - SEARCH("×",'01_MASTER_DATABASE'!O43))), 0)</f>
        <v/>
      </c>
      <c r="F46" s="113">
        <f>IFERROR((D46*E46)/1000000, 0)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3">
        <f>'01_MASTER_DATABASE'!O44</f>
        <v/>
      </c>
      <c r="D47" s="113">
        <f>IFERROR(VALUE(LEFT('01_MASTER_DATABASE'!O44, SEARCH("×",'01_MASTER_DATABASE'!O44)-1)), 0)</f>
        <v/>
      </c>
      <c r="E47" s="113">
        <f>IFERROR(VALUE(RIGHT('01_MASTER_DATABASE'!O44, LEN('01_MASTER_DATABASE'!O44) - SEARCH("×",'01_MASTER_DATABASE'!O44))), 0)</f>
        <v/>
      </c>
      <c r="F47" s="113">
        <f>IFERROR((D47*E47)/1000000, 0)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3">
        <f>'01_MASTER_DATABASE'!O45</f>
        <v/>
      </c>
      <c r="D48" s="113">
        <f>IFERROR(VALUE(LEFT('01_MASTER_DATABASE'!O45, SEARCH("×",'01_MASTER_DATABASE'!O45)-1)), 0)</f>
        <v/>
      </c>
      <c r="E48" s="113">
        <f>IFERROR(VALUE(RIGHT('01_MASTER_DATABASE'!O45, LEN('01_MASTER_DATABASE'!O45) - SEARCH("×",'01_MASTER_DATABASE'!O45))), 0)</f>
        <v/>
      </c>
      <c r="F48" s="113">
        <f>IFERROR((D48*E48)/1000000, 0)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3">
        <f>'01_MASTER_DATABASE'!O46</f>
        <v/>
      </c>
      <c r="D49" s="113">
        <f>IFERROR(VALUE(LEFT('01_MASTER_DATABASE'!O46, SEARCH("×",'01_MASTER_DATABASE'!O46)-1)), 0)</f>
        <v/>
      </c>
      <c r="E49" s="113">
        <f>IFERROR(VALUE(RIGHT('01_MASTER_DATABASE'!O46, LEN('01_MASTER_DATABASE'!O46) - SEARCH("×",'01_MASTER_DATABASE'!O46))), 0)</f>
        <v/>
      </c>
      <c r="F49" s="113">
        <f>IFERROR((D49*E49)/1000000, 0)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3">
        <f>'01_MASTER_DATABASE'!O47</f>
        <v/>
      </c>
      <c r="D50" s="113">
        <f>IFERROR(VALUE(LEFT('01_MASTER_DATABASE'!O47, SEARCH("×",'01_MASTER_DATABASE'!O47)-1)), 0)</f>
        <v/>
      </c>
      <c r="E50" s="113">
        <f>IFERROR(VALUE(RIGHT('01_MASTER_DATABASE'!O47, LEN('01_MASTER_DATABASE'!O47) - SEARCH("×",'01_MASTER_DATABASE'!O47))), 0)</f>
        <v/>
      </c>
      <c r="F50" s="113">
        <f>IFERROR((D50*E50)/1000000, 0)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3">
        <f>'01_MASTER_DATABASE'!O48</f>
        <v/>
      </c>
      <c r="D51" s="113">
        <f>IFERROR(VALUE(LEFT('01_MASTER_DATABASE'!O48, SEARCH("×",'01_MASTER_DATABASE'!O48)-1)), 0)</f>
        <v/>
      </c>
      <c r="E51" s="113">
        <f>IFERROR(VALUE(RIGHT('01_MASTER_DATABASE'!O48, LEN('01_MASTER_DATABASE'!O48) - SEARCH("×",'01_MASTER_DATABASE'!O48))), 0)</f>
        <v/>
      </c>
      <c r="F51" s="113">
        <f>IFERROR((D51*E51)/1000000, 0)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3">
        <f>'01_MASTER_DATABASE'!O49</f>
        <v/>
      </c>
      <c r="D52" s="113">
        <f>IFERROR(VALUE(LEFT('01_MASTER_DATABASE'!O49, SEARCH("×",'01_MASTER_DATABASE'!O49)-1)), 0)</f>
        <v/>
      </c>
      <c r="E52" s="113">
        <f>IFERROR(VALUE(RIGHT('01_MASTER_DATABASE'!O49, LEN('01_MASTER_DATABASE'!O49) - SEARCH("×",'01_MASTER_DATABASE'!O49))), 0)</f>
        <v/>
      </c>
      <c r="F52" s="113">
        <f>IFERROR((D52*E52)/1000000, 0)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3">
        <f>'01_MASTER_DATABASE'!O50</f>
        <v/>
      </c>
      <c r="D53" s="113">
        <f>IFERROR(VALUE(LEFT('01_MASTER_DATABASE'!O50, SEARCH("×",'01_MASTER_DATABASE'!O50)-1)), 0)</f>
        <v/>
      </c>
      <c r="E53" s="113">
        <f>IFERROR(VALUE(RIGHT('01_MASTER_DATABASE'!O50, LEN('01_MASTER_DATABASE'!O50) - SEARCH("×",'01_MASTER_DATABASE'!O50))), 0)</f>
        <v/>
      </c>
      <c r="F53" s="113">
        <f>IFERROR((D53*E53)/1000000, 0)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3">
        <f>'01_MASTER_DATABASE'!O51</f>
        <v/>
      </c>
      <c r="D54" s="113">
        <f>IFERROR(VALUE(LEFT('01_MASTER_DATABASE'!O51, SEARCH("×",'01_MASTER_DATABASE'!O51)-1)), 0)</f>
        <v/>
      </c>
      <c r="E54" s="113">
        <f>IFERROR(VALUE(RIGHT('01_MASTER_DATABASE'!O51, LEN('01_MASTER_DATABASE'!O51) - SEARCH("×",'01_MASTER_DATABASE'!O51))), 0)</f>
        <v/>
      </c>
      <c r="F54" s="113">
        <f>IFERROR((D54*E54)/1000000, 0)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3">
        <f>'01_MASTER_DATABASE'!O52</f>
        <v/>
      </c>
      <c r="D55" s="113">
        <f>IFERROR(VALUE(LEFT('01_MASTER_DATABASE'!O52, SEARCH("×",'01_MASTER_DATABASE'!O52)-1)), 0)</f>
        <v/>
      </c>
      <c r="E55" s="113">
        <f>IFERROR(VALUE(RIGHT('01_MASTER_DATABASE'!O52, LEN('01_MASTER_DATABASE'!O52) - SEARCH("×",'01_MASTER_DATABASE'!O52))), 0)</f>
        <v/>
      </c>
      <c r="F55" s="113">
        <f>IFERROR((D55*E55)/1000000, 0)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3">
        <f>'01_MASTER_DATABASE'!O53</f>
        <v/>
      </c>
      <c r="D56" s="113">
        <f>IFERROR(VALUE(LEFT('01_MASTER_DATABASE'!O53, SEARCH("×",'01_MASTER_DATABASE'!O53)-1)), 0)</f>
        <v/>
      </c>
      <c r="E56" s="113">
        <f>IFERROR(VALUE(RIGHT('01_MASTER_DATABASE'!O53, LEN('01_MASTER_DATABASE'!O53) - SEARCH("×",'01_MASTER_DATABASE'!O53))), 0)</f>
        <v/>
      </c>
      <c r="F56" s="113">
        <f>IFERROR((D56*E56)/1000000, 0)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3">
        <f>'01_MASTER_DATABASE'!O54</f>
        <v/>
      </c>
      <c r="D57" s="113">
        <f>IFERROR(VALUE(LEFT('01_MASTER_DATABASE'!O54, SEARCH("×",'01_MASTER_DATABASE'!O54)-1)), 0)</f>
        <v/>
      </c>
      <c r="E57" s="113">
        <f>IFERROR(VALUE(RIGHT('01_MASTER_DATABASE'!O54, LEN('01_MASTER_DATABASE'!O54) - SEARCH("×",'01_MASTER_DATABASE'!O54))), 0)</f>
        <v/>
      </c>
      <c r="F57" s="113">
        <f>IFERROR((D57*E57)/1000000, 0)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3">
        <f>'01_MASTER_DATABASE'!O55</f>
        <v/>
      </c>
      <c r="D58" s="113">
        <f>IFERROR(VALUE(LEFT('01_MASTER_DATABASE'!O55, SEARCH("×",'01_MASTER_DATABASE'!O55)-1)), 0)</f>
        <v/>
      </c>
      <c r="E58" s="113">
        <f>IFERROR(VALUE(RIGHT('01_MASTER_DATABASE'!O55, LEN('01_MASTER_DATABASE'!O55) - SEARCH("×",'01_MASTER_DATABASE'!O55))), 0)</f>
        <v/>
      </c>
      <c r="F58" s="113">
        <f>IFERROR((D58*E58)/1000000, 0)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3">
        <f>'01_MASTER_DATABASE'!O56</f>
        <v/>
      </c>
      <c r="D59" s="113">
        <f>IFERROR(VALUE(LEFT('01_MASTER_DATABASE'!O56, SEARCH("×",'01_MASTER_DATABASE'!O56)-1)), 0)</f>
        <v/>
      </c>
      <c r="E59" s="113">
        <f>IFERROR(VALUE(RIGHT('01_MASTER_DATABASE'!O56, LEN('01_MASTER_DATABASE'!O56) - SEARCH("×",'01_MASTER_DATABASE'!O56))), 0)</f>
        <v/>
      </c>
      <c r="F59" s="113">
        <f>IFERROR((D59*E59)/1000000, 0)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3">
        <f>'01_MASTER_DATABASE'!O57</f>
        <v/>
      </c>
      <c r="D60" s="113">
        <f>IFERROR(VALUE(LEFT('01_MASTER_DATABASE'!O57, SEARCH("×",'01_MASTER_DATABASE'!O57)-1)), 0)</f>
        <v/>
      </c>
      <c r="E60" s="113">
        <f>IFERROR(VALUE(RIGHT('01_MASTER_DATABASE'!O57, LEN('01_MASTER_DATABASE'!O57) - SEARCH("×",'01_MASTER_DATABASE'!O57))), 0)</f>
        <v/>
      </c>
      <c r="F60" s="113">
        <f>IFERROR((D60*E60)/1000000, 0)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3">
        <f>'01_MASTER_DATABASE'!O58</f>
        <v/>
      </c>
      <c r="D61" s="113">
        <f>IFERROR(VALUE(LEFT('01_MASTER_DATABASE'!O58, SEARCH("×",'01_MASTER_DATABASE'!O58)-1)), 0)</f>
        <v/>
      </c>
      <c r="E61" s="113">
        <f>IFERROR(VALUE(RIGHT('01_MASTER_DATABASE'!O58, LEN('01_MASTER_DATABASE'!O58) - SEARCH("×",'01_MASTER_DATABASE'!O58))), 0)</f>
        <v/>
      </c>
      <c r="F61" s="113">
        <f>IFERROR((D61*E61)/1000000, 0)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3">
        <f>'01_MASTER_DATABASE'!O59</f>
        <v/>
      </c>
      <c r="D62" s="113">
        <f>IFERROR(VALUE(LEFT('01_MASTER_DATABASE'!O59, SEARCH("×",'01_MASTER_DATABASE'!O59)-1)), 0)</f>
        <v/>
      </c>
      <c r="E62" s="113">
        <f>IFERROR(VALUE(RIGHT('01_MASTER_DATABASE'!O59, LEN('01_MASTER_DATABASE'!O59) - SEARCH("×",'01_MASTER_DATABASE'!O59))), 0)</f>
        <v/>
      </c>
      <c r="F62" s="113">
        <f>IFERROR((D62*E62)/1000000, 0)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3">
        <f>'01_MASTER_DATABASE'!O60</f>
        <v/>
      </c>
      <c r="D63" s="113">
        <f>IFERROR(VALUE(LEFT('01_MASTER_DATABASE'!O60, SEARCH("×",'01_MASTER_DATABASE'!O60)-1)), 0)</f>
        <v/>
      </c>
      <c r="E63" s="113">
        <f>IFERROR(VALUE(RIGHT('01_MASTER_DATABASE'!O60, LEN('01_MASTER_DATABASE'!O60) - SEARCH("×",'01_MASTER_DATABASE'!O60))), 0)</f>
        <v/>
      </c>
      <c r="F63" s="113">
        <f>IFERROR((D63*E63)/1000000, 0)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3">
        <f>'01_MASTER_DATABASE'!O61</f>
        <v/>
      </c>
      <c r="D64" s="113">
        <f>IFERROR(VALUE(LEFT('01_MASTER_DATABASE'!O61, SEARCH("×",'01_MASTER_DATABASE'!O61)-1)), 0)</f>
        <v/>
      </c>
      <c r="E64" s="113">
        <f>IFERROR(VALUE(RIGHT('01_MASTER_DATABASE'!O61, LEN('01_MASTER_DATABASE'!O61) - SEARCH("×",'01_MASTER_DATABASE'!O61))), 0)</f>
        <v/>
      </c>
      <c r="F64" s="113">
        <f>IFERROR((D64*E64)/1000000, 0)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3">
        <f>'01_MASTER_DATABASE'!O62</f>
        <v/>
      </c>
      <c r="D65" s="113">
        <f>IFERROR(VALUE(LEFT('01_MASTER_DATABASE'!O62, SEARCH("×",'01_MASTER_DATABASE'!O62)-1)), 0)</f>
        <v/>
      </c>
      <c r="E65" s="113">
        <f>IFERROR(VALUE(RIGHT('01_MASTER_DATABASE'!O62, LEN('01_MASTER_DATABASE'!O62) - SEARCH("×",'01_MASTER_DATABASE'!O62))), 0)</f>
        <v/>
      </c>
      <c r="F65" s="113">
        <f>IFERROR((D65*E65)/1000000, 0)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3">
        <f>'01_MASTER_DATABASE'!O63</f>
        <v/>
      </c>
      <c r="D66" s="113">
        <f>IFERROR(VALUE(LEFT('01_MASTER_DATABASE'!O63, SEARCH("×",'01_MASTER_DATABASE'!O63)-1)), 0)</f>
        <v/>
      </c>
      <c r="E66" s="113">
        <f>IFERROR(VALUE(RIGHT('01_MASTER_DATABASE'!O63, LEN('01_MASTER_DATABASE'!O63) - SEARCH("×",'01_MASTER_DATABASE'!O63))), 0)</f>
        <v/>
      </c>
      <c r="F66" s="113">
        <f>IFERROR((D66*E66)/1000000, 0)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3">
        <f>'01_MASTER_DATABASE'!O64</f>
        <v/>
      </c>
      <c r="D67" s="113">
        <f>IFERROR(VALUE(LEFT('01_MASTER_DATABASE'!O64, SEARCH("×",'01_MASTER_DATABASE'!O64)-1)), 0)</f>
        <v/>
      </c>
      <c r="E67" s="113">
        <f>IFERROR(VALUE(RIGHT('01_MASTER_DATABASE'!O64, LEN('01_MASTER_DATABASE'!O64) - SEARCH("×",'01_MASTER_DATABASE'!O64))), 0)</f>
        <v/>
      </c>
      <c r="F67" s="113">
        <f>IFERROR((D67*E67)/1000000, 0)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3">
        <f>'01_MASTER_DATABASE'!O65</f>
        <v/>
      </c>
      <c r="D68" s="113">
        <f>IFERROR(VALUE(LEFT('01_MASTER_DATABASE'!O65, SEARCH("×",'01_MASTER_DATABASE'!O65)-1)), 0)</f>
        <v/>
      </c>
      <c r="E68" s="113">
        <f>IFERROR(VALUE(RIGHT('01_MASTER_DATABASE'!O65, LEN('01_MASTER_DATABASE'!O65) - SEARCH("×",'01_MASTER_DATABASE'!O65))), 0)</f>
        <v/>
      </c>
      <c r="F68" s="113">
        <f>IFERROR((D68*E68)/1000000, 0)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3">
        <f>'01_MASTER_DATABASE'!O66</f>
        <v/>
      </c>
      <c r="D69" s="113">
        <f>IFERROR(VALUE(LEFT('01_MASTER_DATABASE'!O66, SEARCH("×",'01_MASTER_DATABASE'!O66)-1)), 0)</f>
        <v/>
      </c>
      <c r="E69" s="113">
        <f>IFERROR(VALUE(RIGHT('01_MASTER_DATABASE'!O66, LEN('01_MASTER_DATABASE'!O66) - SEARCH("×",'01_MASTER_DATABASE'!O66))), 0)</f>
        <v/>
      </c>
      <c r="F69" s="113">
        <f>IFERROR((D69*E69)/1000000, 0)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3">
        <f>'01_MASTER_DATABASE'!O67</f>
        <v/>
      </c>
      <c r="D70" s="113">
        <f>IFERROR(VALUE(LEFT('01_MASTER_DATABASE'!O67, SEARCH("×",'01_MASTER_DATABASE'!O67)-1)), 0)</f>
        <v/>
      </c>
      <c r="E70" s="113">
        <f>IFERROR(VALUE(RIGHT('01_MASTER_DATABASE'!O67, LEN('01_MASTER_DATABASE'!O67) - SEARCH("×",'01_MASTER_DATABASE'!O67))), 0)</f>
        <v/>
      </c>
      <c r="F70" s="113">
        <f>IFERROR((D70*E70)/1000000, 0)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3">
        <f>'01_MASTER_DATABASE'!O68</f>
        <v/>
      </c>
      <c r="D71" s="113">
        <f>IFERROR(VALUE(LEFT('01_MASTER_DATABASE'!O68, SEARCH("×",'01_MASTER_DATABASE'!O68)-1)), 0)</f>
        <v/>
      </c>
      <c r="E71" s="113">
        <f>IFERROR(VALUE(RIGHT('01_MASTER_DATABASE'!O68, LEN('01_MASTER_DATABASE'!O68) - SEARCH("×",'01_MASTER_DATABASE'!O68))), 0)</f>
        <v/>
      </c>
      <c r="F71" s="113">
        <f>IFERROR((D71*E71)/1000000, 0)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3">
        <f>'01_MASTER_DATABASE'!O69</f>
        <v/>
      </c>
      <c r="D72" s="113">
        <f>IFERROR(VALUE(LEFT('01_MASTER_DATABASE'!O69, SEARCH("×",'01_MASTER_DATABASE'!O69)-1)), 0)</f>
        <v/>
      </c>
      <c r="E72" s="113">
        <f>IFERROR(VALUE(RIGHT('01_MASTER_DATABASE'!O69, LEN('01_MASTER_DATABASE'!O69) - SEARCH("×",'01_MASTER_DATABASE'!O69))), 0)</f>
        <v/>
      </c>
      <c r="F72" s="113">
        <f>IFERROR((D72*E72)/1000000, 0)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3">
        <f>'01_MASTER_DATABASE'!O70</f>
        <v/>
      </c>
      <c r="D73" s="113">
        <f>IFERROR(VALUE(LEFT('01_MASTER_DATABASE'!O70, SEARCH("×",'01_MASTER_DATABASE'!O70)-1)), 0)</f>
        <v/>
      </c>
      <c r="E73" s="113">
        <f>IFERROR(VALUE(RIGHT('01_MASTER_DATABASE'!O70, LEN('01_MASTER_DATABASE'!O70) - SEARCH("×",'01_MASTER_DATABASE'!O70))), 0)</f>
        <v/>
      </c>
      <c r="F73" s="113">
        <f>IFERROR((D73*E73)/1000000, 0)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3">
        <f>'01_MASTER_DATABASE'!O71</f>
        <v/>
      </c>
      <c r="D74" s="113">
        <f>IFERROR(VALUE(LEFT('01_MASTER_DATABASE'!O71, SEARCH("×",'01_MASTER_DATABASE'!O71)-1)), 0)</f>
        <v/>
      </c>
      <c r="E74" s="113">
        <f>IFERROR(VALUE(RIGHT('01_MASTER_DATABASE'!O71, LEN('01_MASTER_DATABASE'!O71) - SEARCH("×",'01_MASTER_DATABASE'!O71))), 0)</f>
        <v/>
      </c>
      <c r="F74" s="113">
        <f>IFERROR((D74*E74)/1000000, 0)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3">
        <f>'01_MASTER_DATABASE'!O72</f>
        <v/>
      </c>
      <c r="D75" s="113">
        <f>IFERROR(VALUE(LEFT('01_MASTER_DATABASE'!O72, SEARCH("×",'01_MASTER_DATABASE'!O72)-1)), 0)</f>
        <v/>
      </c>
      <c r="E75" s="113">
        <f>IFERROR(VALUE(RIGHT('01_MASTER_DATABASE'!O72, LEN('01_MASTER_DATABASE'!O72) - SEARCH("×",'01_MASTER_DATABASE'!O72))), 0)</f>
        <v/>
      </c>
      <c r="F75" s="113">
        <f>IFERROR((D75*E75)/1000000, 0)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3">
        <f>'01_MASTER_DATABASE'!O73</f>
        <v/>
      </c>
      <c r="D76" s="113">
        <f>IFERROR(VALUE(LEFT('01_MASTER_DATABASE'!O73, SEARCH("×",'01_MASTER_DATABASE'!O73)-1)), 0)</f>
        <v/>
      </c>
      <c r="E76" s="113">
        <f>IFERROR(VALUE(RIGHT('01_MASTER_DATABASE'!O73, LEN('01_MASTER_DATABASE'!O73) - SEARCH("×",'01_MASTER_DATABASE'!O73))), 0)</f>
        <v/>
      </c>
      <c r="F76" s="113">
        <f>IFERROR((D76*E76)/1000000, 0)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3">
        <f>'01_MASTER_DATABASE'!O74</f>
        <v/>
      </c>
      <c r="D77" s="113">
        <f>IFERROR(VALUE(LEFT('01_MASTER_DATABASE'!O74, SEARCH("×",'01_MASTER_DATABASE'!O74)-1)), 0)</f>
        <v/>
      </c>
      <c r="E77" s="113">
        <f>IFERROR(VALUE(RIGHT('01_MASTER_DATABASE'!O74, LEN('01_MASTER_DATABASE'!O74) - SEARCH("×",'01_MASTER_DATABASE'!O74))), 0)</f>
        <v/>
      </c>
      <c r="F77" s="113">
        <f>IFERROR((D77*E77)/1000000, 0)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3">
        <f>'01_MASTER_DATABASE'!O75</f>
        <v/>
      </c>
      <c r="D78" s="113">
        <f>IFERROR(VALUE(LEFT('01_MASTER_DATABASE'!O75, SEARCH("×",'01_MASTER_DATABASE'!O75)-1)), 0)</f>
        <v/>
      </c>
      <c r="E78" s="113">
        <f>IFERROR(VALUE(RIGHT('01_MASTER_DATABASE'!O75, LEN('01_MASTER_DATABASE'!O75) - SEARCH("×",'01_MASTER_DATABASE'!O75))), 0)</f>
        <v/>
      </c>
      <c r="F78" s="113">
        <f>IFERROR((D78*E78)/1000000, 0)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3">
        <f>'01_MASTER_DATABASE'!O76</f>
        <v/>
      </c>
      <c r="D79" s="113">
        <f>IFERROR(VALUE(LEFT('01_MASTER_DATABASE'!O76, SEARCH("×",'01_MASTER_DATABASE'!O76)-1)), 0)</f>
        <v/>
      </c>
      <c r="E79" s="113">
        <f>IFERROR(VALUE(RIGHT('01_MASTER_DATABASE'!O76, LEN('01_MASTER_DATABASE'!O76) - SEARCH("×",'01_MASTER_DATABASE'!O76))), 0)</f>
        <v/>
      </c>
      <c r="F79" s="113">
        <f>IFERROR((D79*E79)/1000000, 0)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3">
        <f>'01_MASTER_DATABASE'!O77</f>
        <v/>
      </c>
      <c r="D80" s="113">
        <f>IFERROR(VALUE(LEFT('01_MASTER_DATABASE'!O77, SEARCH("×",'01_MASTER_DATABASE'!O77)-1)), 0)</f>
        <v/>
      </c>
      <c r="E80" s="113">
        <f>IFERROR(VALUE(RIGHT('01_MASTER_DATABASE'!O77, LEN('01_MASTER_DATABASE'!O77) - SEARCH("×",'01_MASTER_DATABASE'!O77))), 0)</f>
        <v/>
      </c>
      <c r="F80" s="113">
        <f>IFERROR((D80*E80)/1000000, 0)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3">
        <f>'01_MASTER_DATABASE'!O78</f>
        <v/>
      </c>
      <c r="D81" s="113">
        <f>IFERROR(VALUE(LEFT('01_MASTER_DATABASE'!O78, SEARCH("×",'01_MASTER_DATABASE'!O78)-1)), 0)</f>
        <v/>
      </c>
      <c r="E81" s="113">
        <f>IFERROR(VALUE(RIGHT('01_MASTER_DATABASE'!O78, LEN('01_MASTER_DATABASE'!O78) - SEARCH("×",'01_MASTER_DATABASE'!O78))), 0)</f>
        <v/>
      </c>
      <c r="F81" s="113">
        <f>IFERROR((D81*E81)/1000000, 0)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3">
        <f>'01_MASTER_DATABASE'!O79</f>
        <v/>
      </c>
      <c r="D82" s="113">
        <f>IFERROR(VALUE(LEFT('01_MASTER_DATABASE'!O79, SEARCH("×",'01_MASTER_DATABASE'!O79)-1)), 0)</f>
        <v/>
      </c>
      <c r="E82" s="113">
        <f>IFERROR(VALUE(RIGHT('01_MASTER_DATABASE'!O79, LEN('01_MASTER_DATABASE'!O79) - SEARCH("×",'01_MASTER_DATABASE'!O79))), 0)</f>
        <v/>
      </c>
      <c r="F82" s="113">
        <f>IFERROR((D82*E82)/1000000, 0)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3">
        <f>'01_MASTER_DATABASE'!O80</f>
        <v/>
      </c>
      <c r="D83" s="113">
        <f>IFERROR(VALUE(LEFT('01_MASTER_DATABASE'!O80, SEARCH("×",'01_MASTER_DATABASE'!O80)-1)), 0)</f>
        <v/>
      </c>
      <c r="E83" s="113">
        <f>IFERROR(VALUE(RIGHT('01_MASTER_DATABASE'!O80, LEN('01_MASTER_DATABASE'!O80) - SEARCH("×",'01_MASTER_DATABASE'!O80))), 0)</f>
        <v/>
      </c>
      <c r="F83" s="113">
        <f>IFERROR((D83*E83)/1000000, 0)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3">
        <f>'01_MASTER_DATABASE'!O81</f>
        <v/>
      </c>
      <c r="D84" s="113">
        <f>IFERROR(VALUE(LEFT('01_MASTER_DATABASE'!O81, SEARCH("×",'01_MASTER_DATABASE'!O81)-1)), 0)</f>
        <v/>
      </c>
      <c r="E84" s="113">
        <f>IFERROR(VALUE(RIGHT('01_MASTER_DATABASE'!O81, LEN('01_MASTER_DATABASE'!O81) - SEARCH("×",'01_MASTER_DATABASE'!O81))), 0)</f>
        <v/>
      </c>
      <c r="F84" s="113">
        <f>IFERROR((D84*E84)/1000000, 0)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3">
        <f>'01_MASTER_DATABASE'!O82</f>
        <v/>
      </c>
      <c r="D85" s="113">
        <f>IFERROR(VALUE(LEFT('01_MASTER_DATABASE'!O82, SEARCH("×",'01_MASTER_DATABASE'!O82)-1)), 0)</f>
        <v/>
      </c>
      <c r="E85" s="113">
        <f>IFERROR(VALUE(RIGHT('01_MASTER_DATABASE'!O82, LEN('01_MASTER_DATABASE'!O82) - SEARCH("×",'01_MASTER_DATABASE'!O82))), 0)</f>
        <v/>
      </c>
      <c r="F85" s="113">
        <f>IFERROR((D85*E85)/1000000, 0)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3">
        <f>'01_MASTER_DATABASE'!O83</f>
        <v/>
      </c>
      <c r="D86" s="113">
        <f>IFERROR(VALUE(LEFT('01_MASTER_DATABASE'!O83, SEARCH("×",'01_MASTER_DATABASE'!O83)-1)), 0)</f>
        <v/>
      </c>
      <c r="E86" s="113">
        <f>IFERROR(VALUE(RIGHT('01_MASTER_DATABASE'!O83, LEN('01_MASTER_DATABASE'!O83) - SEARCH("×",'01_MASTER_DATABASE'!O83))), 0)</f>
        <v/>
      </c>
      <c r="F86" s="113">
        <f>IFERROR((D86*E86)/1000000, 0)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3">
        <f>'01_MASTER_DATABASE'!O84</f>
        <v/>
      </c>
      <c r="D87" s="113">
        <f>IFERROR(VALUE(LEFT('01_MASTER_DATABASE'!O84, SEARCH("×",'01_MASTER_DATABASE'!O84)-1)), 0)</f>
        <v/>
      </c>
      <c r="E87" s="113">
        <f>IFERROR(VALUE(RIGHT('01_MASTER_DATABASE'!O84, LEN('01_MASTER_DATABASE'!O84) - SEARCH("×",'01_MASTER_DATABASE'!O84))), 0)</f>
        <v/>
      </c>
      <c r="F87" s="113">
        <f>IFERROR((D87*E87)/1000000, 0)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3">
        <f>'01_MASTER_DATABASE'!O85</f>
        <v/>
      </c>
      <c r="D88" s="113">
        <f>IFERROR(VALUE(LEFT('01_MASTER_DATABASE'!O85, SEARCH("×",'01_MASTER_DATABASE'!O85)-1)), 0)</f>
        <v/>
      </c>
      <c r="E88" s="113">
        <f>IFERROR(VALUE(RIGHT('01_MASTER_DATABASE'!O85, LEN('01_MASTER_DATABASE'!O85) - SEARCH("×",'01_MASTER_DATABASE'!O85))), 0)</f>
        <v/>
      </c>
      <c r="F88" s="113">
        <f>IFERROR((D88*E88)/1000000, 0)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3">
        <f>'01_MASTER_DATABASE'!O86</f>
        <v/>
      </c>
      <c r="D89" s="113">
        <f>IFERROR(VALUE(LEFT('01_MASTER_DATABASE'!O86, SEARCH("×",'01_MASTER_DATABASE'!O86)-1)), 0)</f>
        <v/>
      </c>
      <c r="E89" s="113">
        <f>IFERROR(VALUE(RIGHT('01_MASTER_DATABASE'!O86, LEN('01_MASTER_DATABASE'!O86) - SEARCH("×",'01_MASTER_DATABASE'!O86))), 0)</f>
        <v/>
      </c>
      <c r="F89" s="113">
        <f>IFERROR((D89*E89)/1000000, 0)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3">
        <f>'01_MASTER_DATABASE'!O87</f>
        <v/>
      </c>
      <c r="D90" s="113">
        <f>IFERROR(VALUE(LEFT('01_MASTER_DATABASE'!O87, SEARCH("×",'01_MASTER_DATABASE'!O87)-1)), 0)</f>
        <v/>
      </c>
      <c r="E90" s="113">
        <f>IFERROR(VALUE(RIGHT('01_MASTER_DATABASE'!O87, LEN('01_MASTER_DATABASE'!O87) - SEARCH("×",'01_MASTER_DATABASE'!O87))), 0)</f>
        <v/>
      </c>
      <c r="F90" s="113">
        <f>IFERROR((D90*E90)/1000000, 0)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3">
        <f>'01_MASTER_DATABASE'!O88</f>
        <v/>
      </c>
      <c r="D91" s="113">
        <f>IFERROR(VALUE(LEFT('01_MASTER_DATABASE'!O88, SEARCH("×",'01_MASTER_DATABASE'!O88)-1)), 0)</f>
        <v/>
      </c>
      <c r="E91" s="113">
        <f>IFERROR(VALUE(RIGHT('01_MASTER_DATABASE'!O88, LEN('01_MASTER_DATABASE'!O88) - SEARCH("×",'01_MASTER_DATABASE'!O88))), 0)</f>
        <v/>
      </c>
      <c r="F91" s="113">
        <f>IFERROR((D91*E91)/1000000, 0)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3">
        <f>'01_MASTER_DATABASE'!O89</f>
        <v/>
      </c>
      <c r="D92" s="113">
        <f>IFERROR(VALUE(LEFT('01_MASTER_DATABASE'!O89, SEARCH("×",'01_MASTER_DATABASE'!O89)-1)), 0)</f>
        <v/>
      </c>
      <c r="E92" s="113">
        <f>IFERROR(VALUE(RIGHT('01_MASTER_DATABASE'!O89, LEN('01_MASTER_DATABASE'!O89) - SEARCH("×",'01_MASTER_DATABASE'!O89))), 0)</f>
        <v/>
      </c>
      <c r="F92" s="113">
        <f>IFERROR((D92*E92)/1000000, 0)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3">
        <f>'01_MASTER_DATABASE'!O90</f>
        <v/>
      </c>
      <c r="D93" s="113">
        <f>IFERROR(VALUE(LEFT('01_MASTER_DATABASE'!O90, SEARCH("×",'01_MASTER_DATABASE'!O90)-1)), 0)</f>
        <v/>
      </c>
      <c r="E93" s="113">
        <f>IFERROR(VALUE(RIGHT('01_MASTER_DATABASE'!O90, LEN('01_MASTER_DATABASE'!O90) - SEARCH("×",'01_MASTER_DATABASE'!O90))), 0)</f>
        <v/>
      </c>
      <c r="F93" s="113">
        <f>IFERROR((D93*E93)/1000000, 0)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3">
        <f>'01_MASTER_DATABASE'!O91</f>
        <v/>
      </c>
      <c r="D94" s="113">
        <f>IFERROR(VALUE(LEFT('01_MASTER_DATABASE'!O91, SEARCH("×",'01_MASTER_DATABASE'!O91)-1)), 0)</f>
        <v/>
      </c>
      <c r="E94" s="113">
        <f>IFERROR(VALUE(RIGHT('01_MASTER_DATABASE'!O91, LEN('01_MASTER_DATABASE'!O91) - SEARCH("×",'01_MASTER_DATABASE'!O91))), 0)</f>
        <v/>
      </c>
      <c r="F94" s="113">
        <f>IFERROR((D94*E94)/1000000, 0)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3">
        <f>'01_MASTER_DATABASE'!O92</f>
        <v/>
      </c>
      <c r="D95" s="113">
        <f>IFERROR(VALUE(LEFT('01_MASTER_DATABASE'!O92, SEARCH("×",'01_MASTER_DATABASE'!O92)-1)), 0)</f>
        <v/>
      </c>
      <c r="E95" s="113">
        <f>IFERROR(VALUE(RIGHT('01_MASTER_DATABASE'!O92, LEN('01_MASTER_DATABASE'!O92) - SEARCH("×",'01_MASTER_DATABASE'!O92))), 0)</f>
        <v/>
      </c>
      <c r="F95" s="113">
        <f>IFERROR((D95*E95)/1000000, 0)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3">
        <f>'01_MASTER_DATABASE'!O93</f>
        <v/>
      </c>
      <c r="D96" s="113">
        <f>IFERROR(VALUE(LEFT('01_MASTER_DATABASE'!O93, SEARCH("×",'01_MASTER_DATABASE'!O93)-1)), 0)</f>
        <v/>
      </c>
      <c r="E96" s="113">
        <f>IFERROR(VALUE(RIGHT('01_MASTER_DATABASE'!O93, LEN('01_MASTER_DATABASE'!O93) - SEARCH("×",'01_MASTER_DATABASE'!O93))), 0)</f>
        <v/>
      </c>
      <c r="F96" s="113">
        <f>IFERROR((D96*E96)/1000000, 0)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3">
        <f>'01_MASTER_DATABASE'!O94</f>
        <v/>
      </c>
      <c r="D97" s="113">
        <f>IFERROR(VALUE(LEFT('01_MASTER_DATABASE'!O94, SEARCH("×",'01_MASTER_DATABASE'!O94)-1)), 0)</f>
        <v/>
      </c>
      <c r="E97" s="113">
        <f>IFERROR(VALUE(RIGHT('01_MASTER_DATABASE'!O94, LEN('01_MASTER_DATABASE'!O94) - SEARCH("×",'01_MASTER_DATABASE'!O94))), 0)</f>
        <v/>
      </c>
      <c r="F97" s="113">
        <f>IFERROR((D97*E97)/1000000, 0)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3">
        <f>'01_MASTER_DATABASE'!O95</f>
        <v/>
      </c>
      <c r="D98" s="113">
        <f>IFERROR(VALUE(LEFT('01_MASTER_DATABASE'!O95, SEARCH("×",'01_MASTER_DATABASE'!O95)-1)), 0)</f>
        <v/>
      </c>
      <c r="E98" s="113">
        <f>IFERROR(VALUE(RIGHT('01_MASTER_DATABASE'!O95, LEN('01_MASTER_DATABASE'!O95) - SEARCH("×",'01_MASTER_DATABASE'!O95))), 0)</f>
        <v/>
      </c>
      <c r="F98" s="113">
        <f>IFERROR((D98*E98)/1000000, 0)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3">
        <f>'01_MASTER_DATABASE'!O96</f>
        <v/>
      </c>
      <c r="D99" s="113">
        <f>IFERROR(VALUE(LEFT('01_MASTER_DATABASE'!O96, SEARCH("×",'01_MASTER_DATABASE'!O96)-1)), 0)</f>
        <v/>
      </c>
      <c r="E99" s="113">
        <f>IFERROR(VALUE(RIGHT('01_MASTER_DATABASE'!O96, LEN('01_MASTER_DATABASE'!O96) - SEARCH("×",'01_MASTER_DATABASE'!O96))), 0)</f>
        <v/>
      </c>
      <c r="F99" s="113">
        <f>IFERROR((D99*E99)/1000000, 0)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3">
        <f>'01_MASTER_DATABASE'!O97</f>
        <v/>
      </c>
      <c r="D100" s="113">
        <f>IFERROR(VALUE(LEFT('01_MASTER_DATABASE'!O97, SEARCH("×",'01_MASTER_DATABASE'!O97)-1)), 0)</f>
        <v/>
      </c>
      <c r="E100" s="113">
        <f>IFERROR(VALUE(RIGHT('01_MASTER_DATABASE'!O97, LEN('01_MASTER_DATABASE'!O97) - SEARCH("×",'01_MASTER_DATABASE'!O97))), 0)</f>
        <v/>
      </c>
      <c r="F100" s="113">
        <f>IFERROR((D100*E100)/1000000, 0)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3">
        <f>'01_MASTER_DATABASE'!O98</f>
        <v/>
      </c>
      <c r="D101" s="113">
        <f>IFERROR(VALUE(LEFT('01_MASTER_DATABASE'!O98, SEARCH("×",'01_MASTER_DATABASE'!O98)-1)), 0)</f>
        <v/>
      </c>
      <c r="E101" s="113">
        <f>IFERROR(VALUE(RIGHT('01_MASTER_DATABASE'!O98, LEN('01_MASTER_DATABASE'!O98) - SEARCH("×",'01_MASTER_DATABASE'!O98))), 0)</f>
        <v/>
      </c>
      <c r="F101" s="113">
        <f>IFERROR((D101*E101)/1000000, 0)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3">
        <f>'01_MASTER_DATABASE'!O99</f>
        <v/>
      </c>
      <c r="D102" s="113">
        <f>IFERROR(VALUE(LEFT('01_MASTER_DATABASE'!O99, SEARCH("×",'01_MASTER_DATABASE'!O99)-1)), 0)</f>
        <v/>
      </c>
      <c r="E102" s="113">
        <f>IFERROR(VALUE(RIGHT('01_MASTER_DATABASE'!O99, LEN('01_MASTER_DATABASE'!O99) - SEARCH("×",'01_MASTER_DATABASE'!O99))), 0)</f>
        <v/>
      </c>
      <c r="F102" s="113">
        <f>IFERROR((D102*E102)/1000000, 0)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3">
        <f>'01_MASTER_DATABASE'!O100</f>
        <v/>
      </c>
      <c r="D103" s="113">
        <f>IFERROR(VALUE(LEFT('01_MASTER_DATABASE'!O100, SEARCH("×",'01_MASTER_DATABASE'!O100)-1)), 0)</f>
        <v/>
      </c>
      <c r="E103" s="113">
        <f>IFERROR(VALUE(RIGHT('01_MASTER_DATABASE'!O100, LEN('01_MASTER_DATABASE'!O100) - SEARCH("×",'01_MASTER_DATABASE'!O100))), 0)</f>
        <v/>
      </c>
      <c r="F103" s="113">
        <f>IFERROR((D103*E103)/1000000, 0)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3">
        <f>'01_MASTER_DATABASE'!O101</f>
        <v/>
      </c>
      <c r="D104" s="113">
        <f>IFERROR(VALUE(LEFT('01_MASTER_DATABASE'!O101, SEARCH("×",'01_MASTER_DATABASE'!O101)-1)), 0)</f>
        <v/>
      </c>
      <c r="E104" s="113">
        <f>IFERROR(VALUE(RIGHT('01_MASTER_DATABASE'!O101, LEN('01_MASTER_DATABASE'!O101) - SEARCH("×",'01_MASTER_DATABASE'!O101))), 0)</f>
        <v/>
      </c>
      <c r="F104" s="113">
        <f>IFERROR((D104*E104)/1000000, 0)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3">
        <f>'01_MASTER_DATABASE'!O102</f>
        <v/>
      </c>
      <c r="D105" s="113">
        <f>IFERROR(VALUE(LEFT('01_MASTER_DATABASE'!O102, SEARCH("×",'01_MASTER_DATABASE'!O102)-1)), 0)</f>
        <v/>
      </c>
      <c r="E105" s="113">
        <f>IFERROR(VALUE(RIGHT('01_MASTER_DATABASE'!O102, LEN('01_MASTER_DATABASE'!O102) - SEARCH("×",'01_MASTER_DATABASE'!O102))), 0)</f>
        <v/>
      </c>
      <c r="F105" s="113">
        <f>IFERROR((D105*E105)/1000000, 0)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3">
        <f>'01_MASTER_DATABASE'!O103</f>
        <v/>
      </c>
      <c r="D106" s="113">
        <f>IFERROR(VALUE(LEFT('01_MASTER_DATABASE'!O103, SEARCH("×",'01_MASTER_DATABASE'!O103)-1)), 0)</f>
        <v/>
      </c>
      <c r="E106" s="113">
        <f>IFERROR(VALUE(RIGHT('01_MASTER_DATABASE'!O103, LEN('01_MASTER_DATABASE'!O103) - SEARCH("×",'01_MASTER_DATABASE'!O103))), 0)</f>
        <v/>
      </c>
      <c r="F106" s="113">
        <f>IFERROR((D106*E106)/1000000, 0)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3">
        <f>'01_MASTER_DATABASE'!O104</f>
        <v/>
      </c>
      <c r="D107" s="113">
        <f>IFERROR(VALUE(LEFT('01_MASTER_DATABASE'!O104, SEARCH("×",'01_MASTER_DATABASE'!O104)-1)), 0)</f>
        <v/>
      </c>
      <c r="E107" s="113">
        <f>IFERROR(VALUE(RIGHT('01_MASTER_DATABASE'!O104, LEN('01_MASTER_DATABASE'!O104) - SEARCH("×",'01_MASTER_DATABASE'!O104))), 0)</f>
        <v/>
      </c>
      <c r="F107" s="113">
        <f>IFERROR((D107*E107)/1000000, 0)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3">
        <f>'01_MASTER_DATABASE'!O105</f>
        <v/>
      </c>
      <c r="D108" s="113">
        <f>IFERROR(VALUE(LEFT('01_MASTER_DATABASE'!O105, SEARCH("×",'01_MASTER_DATABASE'!O105)-1)), 0)</f>
        <v/>
      </c>
      <c r="E108" s="113">
        <f>IFERROR(VALUE(RIGHT('01_MASTER_DATABASE'!O105, LEN('01_MASTER_DATABASE'!O105) - SEARCH("×",'01_MASTER_DATABASE'!O105))), 0)</f>
        <v/>
      </c>
      <c r="F108" s="113">
        <f>IFERROR((D108*E108)/1000000, 0)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3">
        <f>'01_MASTER_DATABASE'!O106</f>
        <v/>
      </c>
      <c r="D109" s="113">
        <f>IFERROR(VALUE(LEFT('01_MASTER_DATABASE'!O106, SEARCH("×",'01_MASTER_DATABASE'!O106)-1)), 0)</f>
        <v/>
      </c>
      <c r="E109" s="113">
        <f>IFERROR(VALUE(RIGHT('01_MASTER_DATABASE'!O106, LEN('01_MASTER_DATABASE'!O106) - SEARCH("×",'01_MASTER_DATABASE'!O106))), 0)</f>
        <v/>
      </c>
      <c r="F109" s="113">
        <f>IFERROR((D109*E109)/1000000, 0)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3">
        <f>'01_MASTER_DATABASE'!O107</f>
        <v/>
      </c>
      <c r="D110" s="113">
        <f>IFERROR(VALUE(LEFT('01_MASTER_DATABASE'!O107, SEARCH("×",'01_MASTER_DATABASE'!O107)-1)), 0)</f>
        <v/>
      </c>
      <c r="E110" s="113">
        <f>IFERROR(VALUE(RIGHT('01_MASTER_DATABASE'!O107, LEN('01_MASTER_DATABASE'!O107) - SEARCH("×",'01_MASTER_DATABASE'!O107))), 0)</f>
        <v/>
      </c>
      <c r="F110" s="113">
        <f>IFERROR((D110*E110)/1000000, 0)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3">
        <f>'01_MASTER_DATABASE'!O108</f>
        <v/>
      </c>
      <c r="D111" s="113">
        <f>IFERROR(VALUE(LEFT('01_MASTER_DATABASE'!O108, SEARCH("×",'01_MASTER_DATABASE'!O108)-1)), 0)</f>
        <v/>
      </c>
      <c r="E111" s="113">
        <f>IFERROR(VALUE(RIGHT('01_MASTER_DATABASE'!O108, LEN('01_MASTER_DATABASE'!O108) - SEARCH("×",'01_MASTER_DATABASE'!O108))), 0)</f>
        <v/>
      </c>
      <c r="F111" s="113">
        <f>IFERROR((D111*E111)/1000000, 0)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3">
        <f>'01_MASTER_DATABASE'!O109</f>
        <v/>
      </c>
      <c r="D112" s="113">
        <f>IFERROR(VALUE(LEFT('01_MASTER_DATABASE'!O109, SEARCH("×",'01_MASTER_DATABASE'!O109)-1)), 0)</f>
        <v/>
      </c>
      <c r="E112" s="113">
        <f>IFERROR(VALUE(RIGHT('01_MASTER_DATABASE'!O109, LEN('01_MASTER_DATABASE'!O109) - SEARCH("×",'01_MASTER_DATABASE'!O109))), 0)</f>
        <v/>
      </c>
      <c r="F112" s="113">
        <f>IFERROR((D112*E112)/1000000, 0)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3">
        <f>'01_MASTER_DATABASE'!O110</f>
        <v/>
      </c>
      <c r="D113" s="113">
        <f>IFERROR(VALUE(LEFT('01_MASTER_DATABASE'!O110, SEARCH("×",'01_MASTER_DATABASE'!O110)-1)), 0)</f>
        <v/>
      </c>
      <c r="E113" s="113">
        <f>IFERROR(VALUE(RIGHT('01_MASTER_DATABASE'!O110, LEN('01_MASTER_DATABASE'!O110) - SEARCH("×",'01_MASTER_DATABASE'!O110))), 0)</f>
        <v/>
      </c>
      <c r="F113" s="113">
        <f>IFERROR((D113*E113)/1000000, 0)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3">
        <f>'01_MASTER_DATABASE'!O111</f>
        <v/>
      </c>
      <c r="D114" s="113">
        <f>IFERROR(VALUE(LEFT('01_MASTER_DATABASE'!O111, SEARCH("×",'01_MASTER_DATABASE'!O111)-1)), 0)</f>
        <v/>
      </c>
      <c r="E114" s="113">
        <f>IFERROR(VALUE(RIGHT('01_MASTER_DATABASE'!O111, LEN('01_MASTER_DATABASE'!O111) - SEARCH("×",'01_MASTER_DATABASE'!O111))), 0)</f>
        <v/>
      </c>
      <c r="F114" s="113">
        <f>IFERROR((D114*E114)/1000000, 0)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3">
        <f>'01_MASTER_DATABASE'!O112</f>
        <v/>
      </c>
      <c r="D115" s="113">
        <f>IFERROR(VALUE(LEFT('01_MASTER_DATABASE'!O112, SEARCH("×",'01_MASTER_DATABASE'!O112)-1)), 0)</f>
        <v/>
      </c>
      <c r="E115" s="113">
        <f>IFERROR(VALUE(RIGHT('01_MASTER_DATABASE'!O112, LEN('01_MASTER_DATABASE'!O112) - SEARCH("×",'01_MASTER_DATABASE'!O112))), 0)</f>
        <v/>
      </c>
      <c r="F115" s="113">
        <f>IFERROR((D115*E115)/1000000, 0)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3">
        <f>'01_MASTER_DATABASE'!O113</f>
        <v/>
      </c>
      <c r="D116" s="113">
        <f>IFERROR(VALUE(LEFT('01_MASTER_DATABASE'!O113, SEARCH("×",'01_MASTER_DATABASE'!O113)-1)), 0)</f>
        <v/>
      </c>
      <c r="E116" s="113">
        <f>IFERROR(VALUE(RIGHT('01_MASTER_DATABASE'!O113, LEN('01_MASTER_DATABASE'!O113) - SEARCH("×",'01_MASTER_DATABASE'!O113))), 0)</f>
        <v/>
      </c>
      <c r="F116" s="113">
        <f>IFERROR((D116*E116)/1000000, 0)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3">
        <f>'01_MASTER_DATABASE'!O114</f>
        <v/>
      </c>
      <c r="D117" s="113">
        <f>IFERROR(VALUE(LEFT('01_MASTER_DATABASE'!O114, SEARCH("×",'01_MASTER_DATABASE'!O114)-1)), 0)</f>
        <v/>
      </c>
      <c r="E117" s="113">
        <f>IFERROR(VALUE(RIGHT('01_MASTER_DATABASE'!O114, LEN('01_MASTER_DATABASE'!O114) - SEARCH("×",'01_MASTER_DATABASE'!O114))), 0)</f>
        <v/>
      </c>
      <c r="F117" s="113">
        <f>IFERROR((D117*E117)/1000000, 0)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3">
        <f>'01_MASTER_DATABASE'!O115</f>
        <v/>
      </c>
      <c r="D118" s="113">
        <f>IFERROR(VALUE(LEFT('01_MASTER_DATABASE'!O115, SEARCH("×",'01_MASTER_DATABASE'!O115)-1)), 0)</f>
        <v/>
      </c>
      <c r="E118" s="113">
        <f>IFERROR(VALUE(RIGHT('01_MASTER_DATABASE'!O115, LEN('01_MASTER_DATABASE'!O115) - SEARCH("×",'01_MASTER_DATABASE'!O115))), 0)</f>
        <v/>
      </c>
      <c r="F118" s="113">
        <f>IFERROR((D118*E118)/1000000, 0)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3">
        <f>'01_MASTER_DATABASE'!O116</f>
        <v/>
      </c>
      <c r="D119" s="113">
        <f>IFERROR(VALUE(LEFT('01_MASTER_DATABASE'!O116, SEARCH("×",'01_MASTER_DATABASE'!O116)-1)), 0)</f>
        <v/>
      </c>
      <c r="E119" s="113">
        <f>IFERROR(VALUE(RIGHT('01_MASTER_DATABASE'!O116, LEN('01_MASTER_DATABASE'!O116) - SEARCH("×",'01_MASTER_DATABASE'!O116))), 0)</f>
        <v/>
      </c>
      <c r="F119" s="113">
        <f>IFERROR((D119*E119)/1000000, 0)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3">
        <f>'01_MASTER_DATABASE'!O117</f>
        <v/>
      </c>
      <c r="D120" s="113">
        <f>IFERROR(VALUE(LEFT('01_MASTER_DATABASE'!O117, SEARCH("×",'01_MASTER_DATABASE'!O117)-1)), 0)</f>
        <v/>
      </c>
      <c r="E120" s="113">
        <f>IFERROR(VALUE(RIGHT('01_MASTER_DATABASE'!O117, LEN('01_MASTER_DATABASE'!O117) - SEARCH("×",'01_MASTER_DATABASE'!O117))), 0)</f>
        <v/>
      </c>
      <c r="F120" s="113">
        <f>IFERROR((D120*E120)/1000000, 0)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3">
        <f>'01_MASTER_DATABASE'!O118</f>
        <v/>
      </c>
      <c r="D121" s="113">
        <f>IFERROR(VALUE(LEFT('01_MASTER_DATABASE'!O118, SEARCH("×",'01_MASTER_DATABASE'!O118)-1)), 0)</f>
        <v/>
      </c>
      <c r="E121" s="113">
        <f>IFERROR(VALUE(RIGHT('01_MASTER_DATABASE'!O118, LEN('01_MASTER_DATABASE'!O118) - SEARCH("×",'01_MASTER_DATABASE'!O118))), 0)</f>
        <v/>
      </c>
      <c r="F121" s="113">
        <f>IFERROR((D121*E121)/1000000, 0)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3">
        <f>'01_MASTER_DATABASE'!O119</f>
        <v/>
      </c>
      <c r="D122" s="113">
        <f>IFERROR(VALUE(LEFT('01_MASTER_DATABASE'!O119, SEARCH("×",'01_MASTER_DATABASE'!O119)-1)), 0)</f>
        <v/>
      </c>
      <c r="E122" s="113">
        <f>IFERROR(VALUE(RIGHT('01_MASTER_DATABASE'!O119, LEN('01_MASTER_DATABASE'!O119) - SEARCH("×",'01_MASTER_DATABASE'!O119))), 0)</f>
        <v/>
      </c>
      <c r="F122" s="113">
        <f>IFERROR((D122*E122)/1000000, 0)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3">
        <f>'01_MASTER_DATABASE'!O120</f>
        <v/>
      </c>
      <c r="D123" s="113">
        <f>IFERROR(VALUE(LEFT('01_MASTER_DATABASE'!O120, SEARCH("×",'01_MASTER_DATABASE'!O120)-1)), 0)</f>
        <v/>
      </c>
      <c r="E123" s="113">
        <f>IFERROR(VALUE(RIGHT('01_MASTER_DATABASE'!O120, LEN('01_MASTER_DATABASE'!O120) - SEARCH("×",'01_MASTER_DATABASE'!O120))), 0)</f>
        <v/>
      </c>
      <c r="F123" s="113">
        <f>IFERROR((D123*E123)/1000000, 0)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3">
        <f>'01_MASTER_DATABASE'!O121</f>
        <v/>
      </c>
      <c r="D124" s="113">
        <f>IFERROR(VALUE(LEFT('01_MASTER_DATABASE'!O121, SEARCH("×",'01_MASTER_DATABASE'!O121)-1)), 0)</f>
        <v/>
      </c>
      <c r="E124" s="113">
        <f>IFERROR(VALUE(RIGHT('01_MASTER_DATABASE'!O121, LEN('01_MASTER_DATABASE'!O121) - SEARCH("×",'01_MASTER_DATABASE'!O121))), 0)</f>
        <v/>
      </c>
      <c r="F124" s="113">
        <f>IFERROR((D124*E124)/1000000, 0)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3">
        <f>'01_MASTER_DATABASE'!O122</f>
        <v/>
      </c>
      <c r="D125" s="113">
        <f>IFERROR(VALUE(LEFT('01_MASTER_DATABASE'!O122, SEARCH("×",'01_MASTER_DATABASE'!O122)-1)), 0)</f>
        <v/>
      </c>
      <c r="E125" s="113">
        <f>IFERROR(VALUE(RIGHT('01_MASTER_DATABASE'!O122, LEN('01_MASTER_DATABASE'!O122) - SEARCH("×",'01_MASTER_DATABASE'!O122))), 0)</f>
        <v/>
      </c>
      <c r="F125" s="113">
        <f>IFERROR((D125*E125)/1000000, 0)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3">
        <f>'01_MASTER_DATABASE'!O123</f>
        <v/>
      </c>
      <c r="D126" s="113">
        <f>IFERROR(VALUE(LEFT('01_MASTER_DATABASE'!O123, SEARCH("×",'01_MASTER_DATABASE'!O123)-1)), 0)</f>
        <v/>
      </c>
      <c r="E126" s="113">
        <f>IFERROR(VALUE(RIGHT('01_MASTER_DATABASE'!O123, LEN('01_MASTER_DATABASE'!O123) - SEARCH("×",'01_MASTER_DATABASE'!O123))), 0)</f>
        <v/>
      </c>
      <c r="F126" s="113">
        <f>IFERROR((D126*E126)/1000000, 0)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3">
        <f>'01_MASTER_DATABASE'!O124</f>
        <v/>
      </c>
      <c r="D127" s="113">
        <f>IFERROR(VALUE(LEFT('01_MASTER_DATABASE'!O124, SEARCH("×",'01_MASTER_DATABASE'!O124)-1)), 0)</f>
        <v/>
      </c>
      <c r="E127" s="113">
        <f>IFERROR(VALUE(RIGHT('01_MASTER_DATABASE'!O124, LEN('01_MASTER_DATABASE'!O124) - SEARCH("×",'01_MASTER_DATABASE'!O124))), 0)</f>
        <v/>
      </c>
      <c r="F127" s="113">
        <f>IFERROR((D127*E127)/1000000, 0)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3">
        <f>'01_MASTER_DATABASE'!O125</f>
        <v/>
      </c>
      <c r="D128" s="113">
        <f>IFERROR(VALUE(LEFT('01_MASTER_DATABASE'!O125, SEARCH("×",'01_MASTER_DATABASE'!O125)-1)), 0)</f>
        <v/>
      </c>
      <c r="E128" s="113">
        <f>IFERROR(VALUE(RIGHT('01_MASTER_DATABASE'!O125, LEN('01_MASTER_DATABASE'!O125) - SEARCH("×",'01_MASTER_DATABASE'!O125))), 0)</f>
        <v/>
      </c>
      <c r="F128" s="113">
        <f>IFERROR((D128*E128)/1000000, 0)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3">
        <f>'01_MASTER_DATABASE'!O126</f>
        <v/>
      </c>
      <c r="D129" s="113">
        <f>IFERROR(VALUE(LEFT('01_MASTER_DATABASE'!O126, SEARCH("×",'01_MASTER_DATABASE'!O126)-1)), 0)</f>
        <v/>
      </c>
      <c r="E129" s="113">
        <f>IFERROR(VALUE(RIGHT('01_MASTER_DATABASE'!O126, LEN('01_MASTER_DATABASE'!O126) - SEARCH("×",'01_MASTER_DATABASE'!O126))), 0)</f>
        <v/>
      </c>
      <c r="F129" s="113">
        <f>IFERROR((D129*E129)/1000000, 0)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3">
        <f>'01_MASTER_DATABASE'!O127</f>
        <v/>
      </c>
      <c r="D130" s="113">
        <f>IFERROR(VALUE(LEFT('01_MASTER_DATABASE'!O127, SEARCH("×",'01_MASTER_DATABASE'!O127)-1)), 0)</f>
        <v/>
      </c>
      <c r="E130" s="113">
        <f>IFERROR(VALUE(RIGHT('01_MASTER_DATABASE'!O127, LEN('01_MASTER_DATABASE'!O127) - SEARCH("×",'01_MASTER_DATABASE'!O127))), 0)</f>
        <v/>
      </c>
      <c r="F130" s="113">
        <f>IFERROR((D130*E130)/1000000, 0)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3">
        <f>'01_MASTER_DATABASE'!O128</f>
        <v/>
      </c>
      <c r="D131" s="113">
        <f>IFERROR(VALUE(LEFT('01_MASTER_DATABASE'!O128, SEARCH("×",'01_MASTER_DATABASE'!O128)-1)), 0)</f>
        <v/>
      </c>
      <c r="E131" s="113">
        <f>IFERROR(VALUE(RIGHT('01_MASTER_DATABASE'!O128, LEN('01_MASTER_DATABASE'!O128) - SEARCH("×",'01_MASTER_DATABASE'!O128))), 0)</f>
        <v/>
      </c>
      <c r="F131" s="113">
        <f>IFERROR((D131*E131)/1000000, 0)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3">
        <f>'01_MASTER_DATABASE'!O129</f>
        <v/>
      </c>
      <c r="D132" s="113">
        <f>IFERROR(VALUE(LEFT('01_MASTER_DATABASE'!O129, SEARCH("×",'01_MASTER_DATABASE'!O129)-1)), 0)</f>
        <v/>
      </c>
      <c r="E132" s="113">
        <f>IFERROR(VALUE(RIGHT('01_MASTER_DATABASE'!O129, LEN('01_MASTER_DATABASE'!O129) - SEARCH("×",'01_MASTER_DATABASE'!O129))), 0)</f>
        <v/>
      </c>
      <c r="F132" s="113">
        <f>IFERROR((D132*E132)/1000000, 0)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3">
        <f>'01_MASTER_DATABASE'!O130</f>
        <v/>
      </c>
      <c r="D133" s="113">
        <f>IFERROR(VALUE(LEFT('01_MASTER_DATABASE'!O130, SEARCH("×",'01_MASTER_DATABASE'!O130)-1)), 0)</f>
        <v/>
      </c>
      <c r="E133" s="113">
        <f>IFERROR(VALUE(RIGHT('01_MASTER_DATABASE'!O130, LEN('01_MASTER_DATABASE'!O130) - SEARCH("×",'01_MASTER_DATABASE'!O130))), 0)</f>
        <v/>
      </c>
      <c r="F133" s="113">
        <f>IFERROR((D133*E133)/1000000, 0)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3">
        <f>'01_MASTER_DATABASE'!O131</f>
        <v/>
      </c>
      <c r="D134" s="113">
        <f>IFERROR(VALUE(LEFT('01_MASTER_DATABASE'!O131, SEARCH("×",'01_MASTER_DATABASE'!O131)-1)), 0)</f>
        <v/>
      </c>
      <c r="E134" s="113">
        <f>IFERROR(VALUE(RIGHT('01_MASTER_DATABASE'!O131, LEN('01_MASTER_DATABASE'!O131) - SEARCH("×",'01_MASTER_DATABASE'!O131))), 0)</f>
        <v/>
      </c>
      <c r="F134" s="113">
        <f>IFERROR((D134*E134)/1000000, 0)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3">
        <f>'01_MASTER_DATABASE'!O132</f>
        <v/>
      </c>
      <c r="D135" s="113">
        <f>IFERROR(VALUE(LEFT('01_MASTER_DATABASE'!O132, SEARCH("×",'01_MASTER_DATABASE'!O132)-1)), 0)</f>
        <v/>
      </c>
      <c r="E135" s="113">
        <f>IFERROR(VALUE(RIGHT('01_MASTER_DATABASE'!O132, LEN('01_MASTER_DATABASE'!O132) - SEARCH("×",'01_MASTER_DATABASE'!O132))), 0)</f>
        <v/>
      </c>
      <c r="F135" s="113">
        <f>IFERROR((D135*E135)/1000000, 0)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3">
        <f>'01_MASTER_DATABASE'!O133</f>
        <v/>
      </c>
      <c r="D136" s="113">
        <f>IFERROR(VALUE(LEFT('01_MASTER_DATABASE'!O133, SEARCH("×",'01_MASTER_DATABASE'!O133)-1)), 0)</f>
        <v/>
      </c>
      <c r="E136" s="113">
        <f>IFERROR(VALUE(RIGHT('01_MASTER_DATABASE'!O133, LEN('01_MASTER_DATABASE'!O133) - SEARCH("×",'01_MASTER_DATABASE'!O133))), 0)</f>
        <v/>
      </c>
      <c r="F136" s="113">
        <f>IFERROR((D136*E136)/1000000, 0)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3">
        <f>'01_MASTER_DATABASE'!O134</f>
        <v/>
      </c>
      <c r="D137" s="113">
        <f>IFERROR(VALUE(LEFT('01_MASTER_DATABASE'!O134, SEARCH("×",'01_MASTER_DATABASE'!O134)-1)), 0)</f>
        <v/>
      </c>
      <c r="E137" s="113">
        <f>IFERROR(VALUE(RIGHT('01_MASTER_DATABASE'!O134, LEN('01_MASTER_DATABASE'!O134) - SEARCH("×",'01_MASTER_DATABASE'!O134))), 0)</f>
        <v/>
      </c>
      <c r="F137" s="113">
        <f>IFERROR((D137*E137)/1000000, 0)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3">
        <f>'01_MASTER_DATABASE'!O135</f>
        <v/>
      </c>
      <c r="D138" s="113">
        <f>IFERROR(VALUE(LEFT('01_MASTER_DATABASE'!O135, SEARCH("×",'01_MASTER_DATABASE'!O135)-1)), 0)</f>
        <v/>
      </c>
      <c r="E138" s="113">
        <f>IFERROR(VALUE(RIGHT('01_MASTER_DATABASE'!O135, LEN('01_MASTER_DATABASE'!O135) - SEARCH("×",'01_MASTER_DATABASE'!O135))), 0)</f>
        <v/>
      </c>
      <c r="F138" s="113">
        <f>IFERROR((D138*E138)/1000000, 0)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3">
        <f>'01_MASTER_DATABASE'!O136</f>
        <v/>
      </c>
      <c r="D139" s="113">
        <f>IFERROR(VALUE(LEFT('01_MASTER_DATABASE'!O136, SEARCH("×",'01_MASTER_DATABASE'!O136)-1)), 0)</f>
        <v/>
      </c>
      <c r="E139" s="113">
        <f>IFERROR(VALUE(RIGHT('01_MASTER_DATABASE'!O136, LEN('01_MASTER_DATABASE'!O136) - SEARCH("×",'01_MASTER_DATABASE'!O136))), 0)</f>
        <v/>
      </c>
      <c r="F139" s="113">
        <f>IFERROR((D139*E139)/1000000, 0)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3">
        <f>'01_MASTER_DATABASE'!O137</f>
        <v/>
      </c>
      <c r="D140" s="113">
        <f>IFERROR(VALUE(LEFT('01_MASTER_DATABASE'!O137, SEARCH("×",'01_MASTER_DATABASE'!O137)-1)), 0)</f>
        <v/>
      </c>
      <c r="E140" s="113">
        <f>IFERROR(VALUE(RIGHT('01_MASTER_DATABASE'!O137, LEN('01_MASTER_DATABASE'!O137) - SEARCH("×",'01_MASTER_DATABASE'!O137))), 0)</f>
        <v/>
      </c>
      <c r="F140" s="113">
        <f>IFERROR((D140*E140)/1000000, 0)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3">
        <f>'01_MASTER_DATABASE'!O138</f>
        <v/>
      </c>
      <c r="D141" s="113">
        <f>IFERROR(VALUE(LEFT('01_MASTER_DATABASE'!O138, SEARCH("×",'01_MASTER_DATABASE'!O138)-1)), 0)</f>
        <v/>
      </c>
      <c r="E141" s="113">
        <f>IFERROR(VALUE(RIGHT('01_MASTER_DATABASE'!O138, LEN('01_MASTER_DATABASE'!O138) - SEARCH("×",'01_MASTER_DATABASE'!O138))), 0)</f>
        <v/>
      </c>
      <c r="F141" s="113">
        <f>IFERROR((D141*E141)/1000000, 0)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3">
        <f>'01_MASTER_DATABASE'!O139</f>
        <v/>
      </c>
      <c r="D142" s="113">
        <f>IFERROR(VALUE(LEFT('01_MASTER_DATABASE'!O139, SEARCH("×",'01_MASTER_DATABASE'!O139)-1)), 0)</f>
        <v/>
      </c>
      <c r="E142" s="113">
        <f>IFERROR(VALUE(RIGHT('01_MASTER_DATABASE'!O139, LEN('01_MASTER_DATABASE'!O139) - SEARCH("×",'01_MASTER_DATABASE'!O139))), 0)</f>
        <v/>
      </c>
      <c r="F142" s="113">
        <f>IFERROR((D142*E142)/1000000, 0)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3">
        <f>'01_MASTER_DATABASE'!O140</f>
        <v/>
      </c>
      <c r="D143" s="113">
        <f>IFERROR(VALUE(LEFT('01_MASTER_DATABASE'!O140, SEARCH("×",'01_MASTER_DATABASE'!O140)-1)), 0)</f>
        <v/>
      </c>
      <c r="E143" s="113">
        <f>IFERROR(VALUE(RIGHT('01_MASTER_DATABASE'!O140, LEN('01_MASTER_DATABASE'!O140) - SEARCH("×",'01_MASTER_DATABASE'!O140))), 0)</f>
        <v/>
      </c>
      <c r="F143" s="113">
        <f>IFERROR((D143*E143)/1000000, 0)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3">
        <f>'01_MASTER_DATABASE'!O141</f>
        <v/>
      </c>
      <c r="D144" s="113">
        <f>IFERROR(VALUE(LEFT('01_MASTER_DATABASE'!O141, SEARCH("×",'01_MASTER_DATABASE'!O141)-1)), 0)</f>
        <v/>
      </c>
      <c r="E144" s="113">
        <f>IFERROR(VALUE(RIGHT('01_MASTER_DATABASE'!O141, LEN('01_MASTER_DATABASE'!O141) - SEARCH("×",'01_MASTER_DATABASE'!O141))), 0)</f>
        <v/>
      </c>
      <c r="F144" s="113">
        <f>IFERROR((D144*E144)/1000000, 0)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3">
        <f>'01_MASTER_DATABASE'!O142</f>
        <v/>
      </c>
      <c r="D145" s="113">
        <f>IFERROR(VALUE(LEFT('01_MASTER_DATABASE'!O142, SEARCH("×",'01_MASTER_DATABASE'!O142)-1)), 0)</f>
        <v/>
      </c>
      <c r="E145" s="113">
        <f>IFERROR(VALUE(RIGHT('01_MASTER_DATABASE'!O142, LEN('01_MASTER_DATABASE'!O142) - SEARCH("×",'01_MASTER_DATABASE'!O142))), 0)</f>
        <v/>
      </c>
      <c r="F145" s="113">
        <f>IFERROR((D145*E145)/1000000, 0)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3">
        <f>'01_MASTER_DATABASE'!O143</f>
        <v/>
      </c>
      <c r="D146" s="113">
        <f>IFERROR(VALUE(LEFT('01_MASTER_DATABASE'!O143, SEARCH("×",'01_MASTER_DATABASE'!O143)-1)), 0)</f>
        <v/>
      </c>
      <c r="E146" s="113">
        <f>IFERROR(VALUE(RIGHT('01_MASTER_DATABASE'!O143, LEN('01_MASTER_DATABASE'!O143) - SEARCH("×",'01_MASTER_DATABASE'!O143))), 0)</f>
        <v/>
      </c>
      <c r="F146" s="113">
        <f>IFERROR((D146*E146)/1000000, 0)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3">
        <f>'01_MASTER_DATABASE'!O144</f>
        <v/>
      </c>
      <c r="D147" s="113">
        <f>IFERROR(VALUE(LEFT('01_MASTER_DATABASE'!O144, SEARCH("×",'01_MASTER_DATABASE'!O144)-1)), 0)</f>
        <v/>
      </c>
      <c r="E147" s="113">
        <f>IFERROR(VALUE(RIGHT('01_MASTER_DATABASE'!O144, LEN('01_MASTER_DATABASE'!O144) - SEARCH("×",'01_MASTER_DATABASE'!O144))), 0)</f>
        <v/>
      </c>
      <c r="F147" s="113">
        <f>IFERROR((D147*E147)/1000000, 0)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3">
        <f>'01_MASTER_DATABASE'!O145</f>
        <v/>
      </c>
      <c r="D148" s="113">
        <f>IFERROR(VALUE(LEFT('01_MASTER_DATABASE'!O145, SEARCH("×",'01_MASTER_DATABASE'!O145)-1)), 0)</f>
        <v/>
      </c>
      <c r="E148" s="113">
        <f>IFERROR(VALUE(RIGHT('01_MASTER_DATABASE'!O145, LEN('01_MASTER_DATABASE'!O145) - SEARCH("×",'01_MASTER_DATABASE'!O145))), 0)</f>
        <v/>
      </c>
      <c r="F148" s="113">
        <f>IFERROR((D148*E148)/1000000, 0)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3">
        <f>'01_MASTER_DATABASE'!O146</f>
        <v/>
      </c>
      <c r="D149" s="113">
        <f>IFERROR(VALUE(LEFT('01_MASTER_DATABASE'!O146, SEARCH("×",'01_MASTER_DATABASE'!O146)-1)), 0)</f>
        <v/>
      </c>
      <c r="E149" s="113">
        <f>IFERROR(VALUE(RIGHT('01_MASTER_DATABASE'!O146, LEN('01_MASTER_DATABASE'!O146) - SEARCH("×",'01_MASTER_DATABASE'!O146))), 0)</f>
        <v/>
      </c>
      <c r="F149" s="113">
        <f>IFERROR((D149*E149)/1000000, 0)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3">
        <f>'01_MASTER_DATABASE'!O147</f>
        <v/>
      </c>
      <c r="D150" s="113">
        <f>IFERROR(VALUE(LEFT('01_MASTER_DATABASE'!O147, SEARCH("×",'01_MASTER_DATABASE'!O147)-1)), 0)</f>
        <v/>
      </c>
      <c r="E150" s="113">
        <f>IFERROR(VALUE(RIGHT('01_MASTER_DATABASE'!O147, LEN('01_MASTER_DATABASE'!O147) - SEARCH("×",'01_MASTER_DATABASE'!O147))), 0)</f>
        <v/>
      </c>
      <c r="F150" s="113">
        <f>IFERROR((D150*E150)/1000000, 0)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3">
        <f>'01_MASTER_DATABASE'!O148</f>
        <v/>
      </c>
      <c r="D151" s="113">
        <f>IFERROR(VALUE(LEFT('01_MASTER_DATABASE'!O148, SEARCH("×",'01_MASTER_DATABASE'!O148)-1)), 0)</f>
        <v/>
      </c>
      <c r="E151" s="113">
        <f>IFERROR(VALUE(RIGHT('01_MASTER_DATABASE'!O148, LEN('01_MASTER_DATABASE'!O148) - SEARCH("×",'01_MASTER_DATABASE'!O148))), 0)</f>
        <v/>
      </c>
      <c r="F151" s="113">
        <f>IFERROR((D151*E151)/1000000, 0)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3">
        <f>'01_MASTER_DATABASE'!O149</f>
        <v/>
      </c>
      <c r="D152" s="113">
        <f>IFERROR(VALUE(LEFT('01_MASTER_DATABASE'!O149, SEARCH("×",'01_MASTER_DATABASE'!O149)-1)), 0)</f>
        <v/>
      </c>
      <c r="E152" s="113">
        <f>IFERROR(VALUE(RIGHT('01_MASTER_DATABASE'!O149, LEN('01_MASTER_DATABASE'!O149) - SEARCH("×",'01_MASTER_DATABASE'!O149))), 0)</f>
        <v/>
      </c>
      <c r="F152" s="113">
        <f>IFERROR((D152*E152)/1000000, 0)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3">
        <f>'01_MASTER_DATABASE'!O150</f>
        <v/>
      </c>
      <c r="D153" s="113">
        <f>IFERROR(VALUE(LEFT('01_MASTER_DATABASE'!O150, SEARCH("×",'01_MASTER_DATABASE'!O150)-1)), 0)</f>
        <v/>
      </c>
      <c r="E153" s="113">
        <f>IFERROR(VALUE(RIGHT('01_MASTER_DATABASE'!O150, LEN('01_MASTER_DATABASE'!O150) - SEARCH("×",'01_MASTER_DATABASE'!O150))), 0)</f>
        <v/>
      </c>
      <c r="F153" s="113">
        <f>IFERROR((D153*E153)/1000000, 0)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3">
        <f>'01_MASTER_DATABASE'!O151</f>
        <v/>
      </c>
      <c r="D154" s="113">
        <f>IFERROR(VALUE(LEFT('01_MASTER_DATABASE'!O151, SEARCH("×",'01_MASTER_DATABASE'!O151)-1)), 0)</f>
        <v/>
      </c>
      <c r="E154" s="113">
        <f>IFERROR(VALUE(RIGHT('01_MASTER_DATABASE'!O151, LEN('01_MASTER_DATABASE'!O151) - SEARCH("×",'01_MASTER_DATABASE'!O151))), 0)</f>
        <v/>
      </c>
      <c r="F154" s="113">
        <f>IFERROR((D154*E154)/1000000, 0)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3">
        <f>'01_MASTER_DATABASE'!O152</f>
        <v/>
      </c>
      <c r="D155" s="113">
        <f>IFERROR(VALUE(LEFT('01_MASTER_DATABASE'!O152, SEARCH("×",'01_MASTER_DATABASE'!O152)-1)), 0)</f>
        <v/>
      </c>
      <c r="E155" s="113">
        <f>IFERROR(VALUE(RIGHT('01_MASTER_DATABASE'!O152, LEN('01_MASTER_DATABASE'!O152) - SEARCH("×",'01_MASTER_DATABASE'!O152))), 0)</f>
        <v/>
      </c>
      <c r="F155" s="113">
        <f>IFERROR((D155*E155)/1000000, 0)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3">
        <f>'01_MASTER_DATABASE'!O153</f>
        <v/>
      </c>
      <c r="D156" s="113">
        <f>IFERROR(VALUE(LEFT('01_MASTER_DATABASE'!O153, SEARCH("×",'01_MASTER_DATABASE'!O153)-1)), 0)</f>
        <v/>
      </c>
      <c r="E156" s="113">
        <f>IFERROR(VALUE(RIGHT('01_MASTER_DATABASE'!O153, LEN('01_MASTER_DATABASE'!O153) - SEARCH("×",'01_MASTER_DATABASE'!O153))), 0)</f>
        <v/>
      </c>
      <c r="F156" s="113">
        <f>IFERROR((D156*E156)/1000000, 0)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3">
        <f>'01_MASTER_DATABASE'!O154</f>
        <v/>
      </c>
      <c r="D157" s="113">
        <f>IFERROR(VALUE(LEFT('01_MASTER_DATABASE'!O154, SEARCH("×",'01_MASTER_DATABASE'!O154)-1)), 0)</f>
        <v/>
      </c>
      <c r="E157" s="113">
        <f>IFERROR(VALUE(RIGHT('01_MASTER_DATABASE'!O154, LEN('01_MASTER_DATABASE'!O154) - SEARCH("×",'01_MASTER_DATABASE'!O154))), 0)</f>
        <v/>
      </c>
      <c r="F157" s="113">
        <f>IFERROR((D157*E157)/1000000, 0)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3">
        <f>'01_MASTER_DATABASE'!O155</f>
        <v/>
      </c>
      <c r="D158" s="113">
        <f>IFERROR(VALUE(LEFT('01_MASTER_DATABASE'!O155, SEARCH("×",'01_MASTER_DATABASE'!O155)-1)), 0)</f>
        <v/>
      </c>
      <c r="E158" s="113">
        <f>IFERROR(VALUE(RIGHT('01_MASTER_DATABASE'!O155, LEN('01_MASTER_DATABASE'!O155) - SEARCH("×",'01_MASTER_DATABASE'!O155))), 0)</f>
        <v/>
      </c>
      <c r="F158" s="113">
        <f>IFERROR((D158*E158)/1000000, 0)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3">
        <f>'01_MASTER_DATABASE'!O156</f>
        <v/>
      </c>
      <c r="D159" s="113">
        <f>IFERROR(VALUE(LEFT('01_MASTER_DATABASE'!O156, SEARCH("×",'01_MASTER_DATABASE'!O156)-1)), 0)</f>
        <v/>
      </c>
      <c r="E159" s="113">
        <f>IFERROR(VALUE(RIGHT('01_MASTER_DATABASE'!O156, LEN('01_MASTER_DATABASE'!O156) - SEARCH("×",'01_MASTER_DATABASE'!O156))), 0)</f>
        <v/>
      </c>
      <c r="F159" s="113">
        <f>IFERROR((D159*E159)/1000000, 0)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3">
        <f>'01_MASTER_DATABASE'!O157</f>
        <v/>
      </c>
      <c r="D160" s="113">
        <f>IFERROR(VALUE(LEFT('01_MASTER_DATABASE'!O157, SEARCH("×",'01_MASTER_DATABASE'!O157)-1)), 0)</f>
        <v/>
      </c>
      <c r="E160" s="113">
        <f>IFERROR(VALUE(RIGHT('01_MASTER_DATABASE'!O157, LEN('01_MASTER_DATABASE'!O157) - SEARCH("×",'01_MASTER_DATABASE'!O157))), 0)</f>
        <v/>
      </c>
      <c r="F160" s="113">
        <f>IFERROR((D160*E160)/1000000, 0)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3">
        <f>'01_MASTER_DATABASE'!O158</f>
        <v/>
      </c>
      <c r="D161" s="113">
        <f>IFERROR(VALUE(LEFT('01_MASTER_DATABASE'!O158, SEARCH("×",'01_MASTER_DATABASE'!O158)-1)), 0)</f>
        <v/>
      </c>
      <c r="E161" s="113">
        <f>IFERROR(VALUE(RIGHT('01_MASTER_DATABASE'!O158, LEN('01_MASTER_DATABASE'!O158) - SEARCH("×",'01_MASTER_DATABASE'!O158))), 0)</f>
        <v/>
      </c>
      <c r="F161" s="113">
        <f>IFERROR((D161*E161)/1000000, 0)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3">
        <f>'01_MASTER_DATABASE'!O159</f>
        <v/>
      </c>
      <c r="D162" s="113">
        <f>IFERROR(VALUE(LEFT('01_MASTER_DATABASE'!O159, SEARCH("×",'01_MASTER_DATABASE'!O159)-1)), 0)</f>
        <v/>
      </c>
      <c r="E162" s="113">
        <f>IFERROR(VALUE(RIGHT('01_MASTER_DATABASE'!O159, LEN('01_MASTER_DATABASE'!O159) - SEARCH("×",'01_MASTER_DATABASE'!O159))), 0)</f>
        <v/>
      </c>
      <c r="F162" s="113">
        <f>IFERROR((D162*E162)/1000000, 0)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3">
        <f>'01_MASTER_DATABASE'!O160</f>
        <v/>
      </c>
      <c r="D163" s="113">
        <f>IFERROR(VALUE(LEFT('01_MASTER_DATABASE'!O160, SEARCH("×",'01_MASTER_DATABASE'!O160)-1)), 0)</f>
        <v/>
      </c>
      <c r="E163" s="113">
        <f>IFERROR(VALUE(RIGHT('01_MASTER_DATABASE'!O160, LEN('01_MASTER_DATABASE'!O160) - SEARCH("×",'01_MASTER_DATABASE'!O160))), 0)</f>
        <v/>
      </c>
      <c r="F163" s="113">
        <f>IFERROR((D163*E163)/1000000, 0)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3">
        <f>'01_MASTER_DATABASE'!O161</f>
        <v/>
      </c>
      <c r="D164" s="113">
        <f>IFERROR(VALUE(LEFT('01_MASTER_DATABASE'!O161, SEARCH("×",'01_MASTER_DATABASE'!O161)-1)), 0)</f>
        <v/>
      </c>
      <c r="E164" s="113">
        <f>IFERROR(VALUE(RIGHT('01_MASTER_DATABASE'!O161, LEN('01_MASTER_DATABASE'!O161) - SEARCH("×",'01_MASTER_DATABASE'!O161))), 0)</f>
        <v/>
      </c>
      <c r="F164" s="113">
        <f>IFERROR((D164*E164)/1000000, 0)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3">
        <f>'01_MASTER_DATABASE'!O162</f>
        <v/>
      </c>
      <c r="D165" s="113">
        <f>IFERROR(VALUE(LEFT('01_MASTER_DATABASE'!O162, SEARCH("×",'01_MASTER_DATABASE'!O162)-1)), 0)</f>
        <v/>
      </c>
      <c r="E165" s="113">
        <f>IFERROR(VALUE(RIGHT('01_MASTER_DATABASE'!O162, LEN('01_MASTER_DATABASE'!O162) - SEARCH("×",'01_MASTER_DATABASE'!O162))), 0)</f>
        <v/>
      </c>
      <c r="F165" s="113">
        <f>IFERROR((D165*E165)/1000000, 0)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3">
        <f>'01_MASTER_DATABASE'!O163</f>
        <v/>
      </c>
      <c r="D166" s="113">
        <f>IFERROR(VALUE(LEFT('01_MASTER_DATABASE'!O163, SEARCH("×",'01_MASTER_DATABASE'!O163)-1)), 0)</f>
        <v/>
      </c>
      <c r="E166" s="113">
        <f>IFERROR(VALUE(RIGHT('01_MASTER_DATABASE'!O163, LEN('01_MASTER_DATABASE'!O163) - SEARCH("×",'01_MASTER_DATABASE'!O163))), 0)</f>
        <v/>
      </c>
      <c r="F166" s="113">
        <f>IFERROR((D166*E166)/1000000, 0)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3">
        <f>'01_MASTER_DATABASE'!O164</f>
        <v/>
      </c>
      <c r="D167" s="113">
        <f>IFERROR(VALUE(LEFT('01_MASTER_DATABASE'!O164, SEARCH("×",'01_MASTER_DATABASE'!O164)-1)), 0)</f>
        <v/>
      </c>
      <c r="E167" s="113">
        <f>IFERROR(VALUE(RIGHT('01_MASTER_DATABASE'!O164, LEN('01_MASTER_DATABASE'!O164) - SEARCH("×",'01_MASTER_DATABASE'!O164))), 0)</f>
        <v/>
      </c>
      <c r="F167" s="113">
        <f>IFERROR((D167*E167)/1000000, 0)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3">
        <f>'01_MASTER_DATABASE'!O165</f>
        <v/>
      </c>
      <c r="D168" s="113">
        <f>IFERROR(VALUE(LEFT('01_MASTER_DATABASE'!O165, SEARCH("×",'01_MASTER_DATABASE'!O165)-1)), 0)</f>
        <v/>
      </c>
      <c r="E168" s="113">
        <f>IFERROR(VALUE(RIGHT('01_MASTER_DATABASE'!O165, LEN('01_MASTER_DATABASE'!O165) - SEARCH("×",'01_MASTER_DATABASE'!O165))), 0)</f>
        <v/>
      </c>
      <c r="F168" s="113">
        <f>IFERROR((D168*E168)/1000000, 0)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3">
        <f>'01_MASTER_DATABASE'!O166</f>
        <v/>
      </c>
      <c r="D169" s="113">
        <f>IFERROR(VALUE(LEFT('01_MASTER_DATABASE'!O166, SEARCH("×",'01_MASTER_DATABASE'!O166)-1)), 0)</f>
        <v/>
      </c>
      <c r="E169" s="113">
        <f>IFERROR(VALUE(RIGHT('01_MASTER_DATABASE'!O166, LEN('01_MASTER_DATABASE'!O166) - SEARCH("×",'01_MASTER_DATABASE'!O166))), 0)</f>
        <v/>
      </c>
      <c r="F169" s="113">
        <f>IFERROR((D169*E169)/1000000, 0)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3">
        <f>'01_MASTER_DATABASE'!O167</f>
        <v/>
      </c>
      <c r="D170" s="113">
        <f>IFERROR(VALUE(LEFT('01_MASTER_DATABASE'!O167, SEARCH("×",'01_MASTER_DATABASE'!O167)-1)), 0)</f>
        <v/>
      </c>
      <c r="E170" s="113">
        <f>IFERROR(VALUE(RIGHT('01_MASTER_DATABASE'!O167, LEN('01_MASTER_DATABASE'!O167) - SEARCH("×",'01_MASTER_DATABASE'!O167))), 0)</f>
        <v/>
      </c>
      <c r="F170" s="113">
        <f>IFERROR((D170*E170)/1000000, 0)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3">
        <f>'01_MASTER_DATABASE'!O168</f>
        <v/>
      </c>
      <c r="D171" s="113">
        <f>IFERROR(VALUE(LEFT('01_MASTER_DATABASE'!O168, SEARCH("×",'01_MASTER_DATABASE'!O168)-1)), 0)</f>
        <v/>
      </c>
      <c r="E171" s="113">
        <f>IFERROR(VALUE(RIGHT('01_MASTER_DATABASE'!O168, LEN('01_MASTER_DATABASE'!O168) - SEARCH("×",'01_MASTER_DATABASE'!O168))), 0)</f>
        <v/>
      </c>
      <c r="F171" s="113">
        <f>IFERROR((D171*E171)/1000000, 0)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3">
        <f>'01_MASTER_DATABASE'!O169</f>
        <v/>
      </c>
      <c r="D172" s="113">
        <f>IFERROR(VALUE(LEFT('01_MASTER_DATABASE'!O169, SEARCH("×",'01_MASTER_DATABASE'!O169)-1)), 0)</f>
        <v/>
      </c>
      <c r="E172" s="113">
        <f>IFERROR(VALUE(RIGHT('01_MASTER_DATABASE'!O169, LEN('01_MASTER_DATABASE'!O169) - SEARCH("×",'01_MASTER_DATABASE'!O169))), 0)</f>
        <v/>
      </c>
      <c r="F172" s="113">
        <f>IFERROR((D172*E172)/1000000, 0)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3">
        <f>'01_MASTER_DATABASE'!O170</f>
        <v/>
      </c>
      <c r="D173" s="113">
        <f>IFERROR(VALUE(LEFT('01_MASTER_DATABASE'!O170, SEARCH("×",'01_MASTER_DATABASE'!O170)-1)), 0)</f>
        <v/>
      </c>
      <c r="E173" s="113">
        <f>IFERROR(VALUE(RIGHT('01_MASTER_DATABASE'!O170, LEN('01_MASTER_DATABASE'!O170) - SEARCH("×",'01_MASTER_DATABASE'!O170))), 0)</f>
        <v/>
      </c>
      <c r="F173" s="113">
        <f>IFERROR((D173*E173)/1000000, 0)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3">
        <f>'01_MASTER_DATABASE'!O171</f>
        <v/>
      </c>
      <c r="D174" s="113">
        <f>IFERROR(VALUE(LEFT('01_MASTER_DATABASE'!O171, SEARCH("×",'01_MASTER_DATABASE'!O171)-1)), 0)</f>
        <v/>
      </c>
      <c r="E174" s="113">
        <f>IFERROR(VALUE(RIGHT('01_MASTER_DATABASE'!O171, LEN('01_MASTER_DATABASE'!O171) - SEARCH("×",'01_MASTER_DATABASE'!O171))), 0)</f>
        <v/>
      </c>
      <c r="F174" s="113">
        <f>IFERROR((D174*E174)/1000000, 0)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3">
        <f>'01_MASTER_DATABASE'!O172</f>
        <v/>
      </c>
      <c r="D175" s="113">
        <f>IFERROR(VALUE(LEFT('01_MASTER_DATABASE'!O172, SEARCH("×",'01_MASTER_DATABASE'!O172)-1)), 0)</f>
        <v/>
      </c>
      <c r="E175" s="113">
        <f>IFERROR(VALUE(RIGHT('01_MASTER_DATABASE'!O172, LEN('01_MASTER_DATABASE'!O172) - SEARCH("×",'01_MASTER_DATABASE'!O172))), 0)</f>
        <v/>
      </c>
      <c r="F175" s="113">
        <f>IFERROR((D175*E175)/1000000, 0)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3">
        <f>'01_MASTER_DATABASE'!O173</f>
        <v/>
      </c>
      <c r="D176" s="113">
        <f>IFERROR(VALUE(LEFT('01_MASTER_DATABASE'!O173, SEARCH("×",'01_MASTER_DATABASE'!O173)-1)), 0)</f>
        <v/>
      </c>
      <c r="E176" s="113">
        <f>IFERROR(VALUE(RIGHT('01_MASTER_DATABASE'!O173, LEN('01_MASTER_DATABASE'!O173) - SEARCH("×",'01_MASTER_DATABASE'!O173))), 0)</f>
        <v/>
      </c>
      <c r="F176" s="113">
        <f>IFERROR((D176*E176)/1000000, 0)</f>
        <v/>
      </c>
    </row>
  </sheetData>
  <mergeCells count="1">
    <mergeCell ref="A1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25" customWidth="1" min="4" max="4"/>
    <col width="24" customWidth="1" min="5" max="5"/>
  </cols>
  <sheetData>
    <row r="1" ht="20" customHeight="1">
      <c r="A1" s="109" t="inlineStr">
        <is>
          <t>TẢI TRỌNG CÁNH CỬA TỐI ĐA (CHỊU LỰC BẢN LỀ / BÁNH XE)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Loại Chịu Lực Bản Lề</t>
        </is>
      </c>
      <c r="D4" s="110" t="inlineStr">
        <is>
          <t>Loại Chịu Lực Bánh Xe</t>
        </is>
      </c>
      <c r="E4" s="110" t="inlineStr">
        <is>
          <t>Tải Trọng Max (kg/cánh)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IF(ISNUMBER(SEARCH("quay",'01_MASTER_DATABASE'!G2)), "Bản lề 3D/4D rãnh C", "N/A")</f>
        <v/>
      </c>
      <c r="D5" s="114">
        <f>IF(ISNUMBER(SEARCH("lùa",'01_MASTER_DATABASE'!G2)), "Bánh xe trượt chịu lực", "N/A")</f>
        <v/>
      </c>
      <c r="E5" s="113">
        <f>'01_MASTER_DATABASE'!P2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IF(ISNUMBER(SEARCH("quay",'01_MASTER_DATABASE'!G3)), "Bản lề 3D/4D rãnh C", "N/A")</f>
        <v/>
      </c>
      <c r="D6" s="114">
        <f>IF(ISNUMBER(SEARCH("lùa",'01_MASTER_DATABASE'!G3)), "Bánh xe trượt chịu lực", "N/A")</f>
        <v/>
      </c>
      <c r="E6" s="113">
        <f>'01_MASTER_DATABASE'!P3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IF(ISNUMBER(SEARCH("quay",'01_MASTER_DATABASE'!G4)), "Bản lề 3D/4D rãnh C", "N/A")</f>
        <v/>
      </c>
      <c r="D7" s="114">
        <f>IF(ISNUMBER(SEARCH("lùa",'01_MASTER_DATABASE'!G4)), "Bánh xe trượt chịu lực", "N/A")</f>
        <v/>
      </c>
      <c r="E7" s="113">
        <f>'01_MASTER_DATABASE'!P4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IF(ISNUMBER(SEARCH("quay",'01_MASTER_DATABASE'!G5)), "Bản lề 3D/4D rãnh C", "N/A")</f>
        <v/>
      </c>
      <c r="D8" s="114">
        <f>IF(ISNUMBER(SEARCH("lùa",'01_MASTER_DATABASE'!G5)), "Bánh xe trượt chịu lực", "N/A")</f>
        <v/>
      </c>
      <c r="E8" s="113">
        <f>'01_MASTER_DATABASE'!P5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IF(ISNUMBER(SEARCH("quay",'01_MASTER_DATABASE'!G6)), "Bản lề 3D/4D rãnh C", "N/A")</f>
        <v/>
      </c>
      <c r="D9" s="114">
        <f>IF(ISNUMBER(SEARCH("lùa",'01_MASTER_DATABASE'!G6)), "Bánh xe trượt chịu lực", "N/A")</f>
        <v/>
      </c>
      <c r="E9" s="113">
        <f>'01_MASTER_DATABASE'!P6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IF(ISNUMBER(SEARCH("quay",'01_MASTER_DATABASE'!G7)), "Bản lề 3D/4D rãnh C", "N/A")</f>
        <v/>
      </c>
      <c r="D10" s="114">
        <f>IF(ISNUMBER(SEARCH("lùa",'01_MASTER_DATABASE'!G7)), "Bánh xe trượt chịu lực", "N/A")</f>
        <v/>
      </c>
      <c r="E10" s="113">
        <f>'01_MASTER_DATABASE'!P7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IF(ISNUMBER(SEARCH("quay",'01_MASTER_DATABASE'!G8)), "Bản lề 3D/4D rãnh C", "N/A")</f>
        <v/>
      </c>
      <c r="D11" s="114">
        <f>IF(ISNUMBER(SEARCH("lùa",'01_MASTER_DATABASE'!G8)), "Bánh xe trượt chịu lực", "N/A")</f>
        <v/>
      </c>
      <c r="E11" s="113">
        <f>'01_MASTER_DATABASE'!P8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IF(ISNUMBER(SEARCH("quay",'01_MASTER_DATABASE'!G9)), "Bản lề 3D/4D rãnh C", "N/A")</f>
        <v/>
      </c>
      <c r="D12" s="114">
        <f>IF(ISNUMBER(SEARCH("lùa",'01_MASTER_DATABASE'!G9)), "Bánh xe trượt chịu lực", "N/A")</f>
        <v/>
      </c>
      <c r="E12" s="113">
        <f>'01_MASTER_DATABASE'!P9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IF(ISNUMBER(SEARCH("quay",'01_MASTER_DATABASE'!G10)), "Bản lề 3D/4D rãnh C", "N/A")</f>
        <v/>
      </c>
      <c r="D13" s="114">
        <f>IF(ISNUMBER(SEARCH("lùa",'01_MASTER_DATABASE'!G10)), "Bánh xe trượt chịu lực", "N/A")</f>
        <v/>
      </c>
      <c r="E13" s="113">
        <f>'01_MASTER_DATABASE'!P10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IF(ISNUMBER(SEARCH("quay",'01_MASTER_DATABASE'!G11)), "Bản lề 3D/4D rãnh C", "N/A")</f>
        <v/>
      </c>
      <c r="D14" s="114">
        <f>IF(ISNUMBER(SEARCH("lùa",'01_MASTER_DATABASE'!G11)), "Bánh xe trượt chịu lực", "N/A")</f>
        <v/>
      </c>
      <c r="E14" s="113">
        <f>'01_MASTER_DATABASE'!P11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IF(ISNUMBER(SEARCH("quay",'01_MASTER_DATABASE'!G12)), "Bản lề 3D/4D rãnh C", "N/A")</f>
        <v/>
      </c>
      <c r="D15" s="114">
        <f>IF(ISNUMBER(SEARCH("lùa",'01_MASTER_DATABASE'!G12)), "Bánh xe trượt chịu lực", "N/A")</f>
        <v/>
      </c>
      <c r="E15" s="113">
        <f>'01_MASTER_DATABASE'!P12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IF(ISNUMBER(SEARCH("quay",'01_MASTER_DATABASE'!G13)), "Bản lề 3D/4D rãnh C", "N/A")</f>
        <v/>
      </c>
      <c r="D16" s="114">
        <f>IF(ISNUMBER(SEARCH("lùa",'01_MASTER_DATABASE'!G13)), "Bánh xe trượt chịu lực", "N/A")</f>
        <v/>
      </c>
      <c r="E16" s="113">
        <f>'01_MASTER_DATABASE'!P13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IF(ISNUMBER(SEARCH("quay",'01_MASTER_DATABASE'!G14)), "Bản lề 3D/4D rãnh C", "N/A")</f>
        <v/>
      </c>
      <c r="D17" s="114">
        <f>IF(ISNUMBER(SEARCH("lùa",'01_MASTER_DATABASE'!G14)), "Bánh xe trượt chịu lực", "N/A")</f>
        <v/>
      </c>
      <c r="E17" s="113">
        <f>'01_MASTER_DATABASE'!P14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IF(ISNUMBER(SEARCH("quay",'01_MASTER_DATABASE'!G15)), "Bản lề 3D/4D rãnh C", "N/A")</f>
        <v/>
      </c>
      <c r="D18" s="114">
        <f>IF(ISNUMBER(SEARCH("lùa",'01_MASTER_DATABASE'!G15)), "Bánh xe trượt chịu lực", "N/A")</f>
        <v/>
      </c>
      <c r="E18" s="113">
        <f>'01_MASTER_DATABASE'!P15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IF(ISNUMBER(SEARCH("quay",'01_MASTER_DATABASE'!G16)), "Bản lề 3D/4D rãnh C", "N/A")</f>
        <v/>
      </c>
      <c r="D19" s="114">
        <f>IF(ISNUMBER(SEARCH("lùa",'01_MASTER_DATABASE'!G16)), "Bánh xe trượt chịu lực", "N/A")</f>
        <v/>
      </c>
      <c r="E19" s="113">
        <f>'01_MASTER_DATABASE'!P16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IF(ISNUMBER(SEARCH("quay",'01_MASTER_DATABASE'!G17)), "Bản lề 3D/4D rãnh C", "N/A")</f>
        <v/>
      </c>
      <c r="D20" s="114">
        <f>IF(ISNUMBER(SEARCH("lùa",'01_MASTER_DATABASE'!G17)), "Bánh xe trượt chịu lực", "N/A")</f>
        <v/>
      </c>
      <c r="E20" s="113">
        <f>'01_MASTER_DATABASE'!P17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IF(ISNUMBER(SEARCH("quay",'01_MASTER_DATABASE'!G18)), "Bản lề 3D/4D rãnh C", "N/A")</f>
        <v/>
      </c>
      <c r="D21" s="114">
        <f>IF(ISNUMBER(SEARCH("lùa",'01_MASTER_DATABASE'!G18)), "Bánh xe trượt chịu lực", "N/A")</f>
        <v/>
      </c>
      <c r="E21" s="113">
        <f>'01_MASTER_DATABASE'!P18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IF(ISNUMBER(SEARCH("quay",'01_MASTER_DATABASE'!G19)), "Bản lề 3D/4D rãnh C", "N/A")</f>
        <v/>
      </c>
      <c r="D22" s="114">
        <f>IF(ISNUMBER(SEARCH("lùa",'01_MASTER_DATABASE'!G19)), "Bánh xe trượt chịu lực", "N/A")</f>
        <v/>
      </c>
      <c r="E22" s="113">
        <f>'01_MASTER_DATABASE'!P19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IF(ISNUMBER(SEARCH("quay",'01_MASTER_DATABASE'!G20)), "Bản lề 3D/4D rãnh C", "N/A")</f>
        <v/>
      </c>
      <c r="D23" s="114">
        <f>IF(ISNUMBER(SEARCH("lùa",'01_MASTER_DATABASE'!G20)), "Bánh xe trượt chịu lực", "N/A")</f>
        <v/>
      </c>
      <c r="E23" s="113">
        <f>'01_MASTER_DATABASE'!P20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IF(ISNUMBER(SEARCH("quay",'01_MASTER_DATABASE'!G21)), "Bản lề 3D/4D rãnh C", "N/A")</f>
        <v/>
      </c>
      <c r="D24" s="114">
        <f>IF(ISNUMBER(SEARCH("lùa",'01_MASTER_DATABASE'!G21)), "Bánh xe trượt chịu lực", "N/A")</f>
        <v/>
      </c>
      <c r="E24" s="113">
        <f>'01_MASTER_DATABASE'!P21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IF(ISNUMBER(SEARCH("quay",'01_MASTER_DATABASE'!G22)), "Bản lề 3D/4D rãnh C", "N/A")</f>
        <v/>
      </c>
      <c r="D25" s="114">
        <f>IF(ISNUMBER(SEARCH("lùa",'01_MASTER_DATABASE'!G22)), "Bánh xe trượt chịu lực", "N/A")</f>
        <v/>
      </c>
      <c r="E25" s="113">
        <f>'01_MASTER_DATABASE'!P22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IF(ISNUMBER(SEARCH("quay",'01_MASTER_DATABASE'!G23)), "Bản lề 3D/4D rãnh C", "N/A")</f>
        <v/>
      </c>
      <c r="D26" s="114">
        <f>IF(ISNUMBER(SEARCH("lùa",'01_MASTER_DATABASE'!G23)), "Bánh xe trượt chịu lực", "N/A")</f>
        <v/>
      </c>
      <c r="E26" s="113">
        <f>'01_MASTER_DATABASE'!P23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IF(ISNUMBER(SEARCH("quay",'01_MASTER_DATABASE'!G24)), "Bản lề 3D/4D rãnh C", "N/A")</f>
        <v/>
      </c>
      <c r="D27" s="114">
        <f>IF(ISNUMBER(SEARCH("lùa",'01_MASTER_DATABASE'!G24)), "Bánh xe trượt chịu lực", "N/A")</f>
        <v/>
      </c>
      <c r="E27" s="113">
        <f>'01_MASTER_DATABASE'!P24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IF(ISNUMBER(SEARCH("quay",'01_MASTER_DATABASE'!G25)), "Bản lề 3D/4D rãnh C", "N/A")</f>
        <v/>
      </c>
      <c r="D28" s="114">
        <f>IF(ISNUMBER(SEARCH("lùa",'01_MASTER_DATABASE'!G25)), "Bánh xe trượt chịu lực", "N/A")</f>
        <v/>
      </c>
      <c r="E28" s="113">
        <f>'01_MASTER_DATABASE'!P25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IF(ISNUMBER(SEARCH("quay",'01_MASTER_DATABASE'!G26)), "Bản lề 3D/4D rãnh C", "N/A")</f>
        <v/>
      </c>
      <c r="D29" s="114">
        <f>IF(ISNUMBER(SEARCH("lùa",'01_MASTER_DATABASE'!G26)), "Bánh xe trượt chịu lực", "N/A")</f>
        <v/>
      </c>
      <c r="E29" s="113">
        <f>'01_MASTER_DATABASE'!P26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IF(ISNUMBER(SEARCH("quay",'01_MASTER_DATABASE'!G27)), "Bản lề 3D/4D rãnh C", "N/A")</f>
        <v/>
      </c>
      <c r="D30" s="114">
        <f>IF(ISNUMBER(SEARCH("lùa",'01_MASTER_DATABASE'!G27)), "Bánh xe trượt chịu lực", "N/A")</f>
        <v/>
      </c>
      <c r="E30" s="113">
        <f>'01_MASTER_DATABASE'!P27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IF(ISNUMBER(SEARCH("quay",'01_MASTER_DATABASE'!G28)), "Bản lề 3D/4D rãnh C", "N/A")</f>
        <v/>
      </c>
      <c r="D31" s="114">
        <f>IF(ISNUMBER(SEARCH("lùa",'01_MASTER_DATABASE'!G28)), "Bánh xe trượt chịu lực", "N/A")</f>
        <v/>
      </c>
      <c r="E31" s="113">
        <f>'01_MASTER_DATABASE'!P28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IF(ISNUMBER(SEARCH("quay",'01_MASTER_DATABASE'!G29)), "Bản lề 3D/4D rãnh C", "N/A")</f>
        <v/>
      </c>
      <c r="D32" s="114">
        <f>IF(ISNUMBER(SEARCH("lùa",'01_MASTER_DATABASE'!G29)), "Bánh xe trượt chịu lực", "N/A")</f>
        <v/>
      </c>
      <c r="E32" s="113">
        <f>'01_MASTER_DATABASE'!P29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IF(ISNUMBER(SEARCH("quay",'01_MASTER_DATABASE'!G30)), "Bản lề 3D/4D rãnh C", "N/A")</f>
        <v/>
      </c>
      <c r="D33" s="114">
        <f>IF(ISNUMBER(SEARCH("lùa",'01_MASTER_DATABASE'!G30)), "Bánh xe trượt chịu lực", "N/A")</f>
        <v/>
      </c>
      <c r="E33" s="113">
        <f>'01_MASTER_DATABASE'!P30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IF(ISNUMBER(SEARCH("quay",'01_MASTER_DATABASE'!G31)), "Bản lề 3D/4D rãnh C", "N/A")</f>
        <v/>
      </c>
      <c r="D34" s="114">
        <f>IF(ISNUMBER(SEARCH("lùa",'01_MASTER_DATABASE'!G31)), "Bánh xe trượt chịu lực", "N/A")</f>
        <v/>
      </c>
      <c r="E34" s="113">
        <f>'01_MASTER_DATABASE'!P31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IF(ISNUMBER(SEARCH("quay",'01_MASTER_DATABASE'!G32)), "Bản lề 3D/4D rãnh C", "N/A")</f>
        <v/>
      </c>
      <c r="D35" s="114">
        <f>IF(ISNUMBER(SEARCH("lùa",'01_MASTER_DATABASE'!G32)), "Bánh xe trượt chịu lực", "N/A")</f>
        <v/>
      </c>
      <c r="E35" s="113">
        <f>'01_MASTER_DATABASE'!P32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IF(ISNUMBER(SEARCH("quay",'01_MASTER_DATABASE'!G33)), "Bản lề 3D/4D rãnh C", "N/A")</f>
        <v/>
      </c>
      <c r="D36" s="114">
        <f>IF(ISNUMBER(SEARCH("lùa",'01_MASTER_DATABASE'!G33)), "Bánh xe trượt chịu lực", "N/A")</f>
        <v/>
      </c>
      <c r="E36" s="113">
        <f>'01_MASTER_DATABASE'!P33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IF(ISNUMBER(SEARCH("quay",'01_MASTER_DATABASE'!G34)), "Bản lề 3D/4D rãnh C", "N/A")</f>
        <v/>
      </c>
      <c r="D37" s="114">
        <f>IF(ISNUMBER(SEARCH("lùa",'01_MASTER_DATABASE'!G34)), "Bánh xe trượt chịu lực", "N/A")</f>
        <v/>
      </c>
      <c r="E37" s="113">
        <f>'01_MASTER_DATABASE'!P34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IF(ISNUMBER(SEARCH("quay",'01_MASTER_DATABASE'!G35)), "Bản lề 3D/4D rãnh C", "N/A")</f>
        <v/>
      </c>
      <c r="D38" s="114">
        <f>IF(ISNUMBER(SEARCH("lùa",'01_MASTER_DATABASE'!G35)), "Bánh xe trượt chịu lực", "N/A")</f>
        <v/>
      </c>
      <c r="E38" s="113">
        <f>'01_MASTER_DATABASE'!P35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IF(ISNUMBER(SEARCH("quay",'01_MASTER_DATABASE'!G36)), "Bản lề 3D/4D rãnh C", "N/A")</f>
        <v/>
      </c>
      <c r="D39" s="114">
        <f>IF(ISNUMBER(SEARCH("lùa",'01_MASTER_DATABASE'!G36)), "Bánh xe trượt chịu lực", "N/A")</f>
        <v/>
      </c>
      <c r="E39" s="113">
        <f>'01_MASTER_DATABASE'!P36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IF(ISNUMBER(SEARCH("quay",'01_MASTER_DATABASE'!G37)), "Bản lề 3D/4D rãnh C", "N/A")</f>
        <v/>
      </c>
      <c r="D40" s="114">
        <f>IF(ISNUMBER(SEARCH("lùa",'01_MASTER_DATABASE'!G37)), "Bánh xe trượt chịu lực", "N/A")</f>
        <v/>
      </c>
      <c r="E40" s="113">
        <f>'01_MASTER_DATABASE'!P37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IF(ISNUMBER(SEARCH("quay",'01_MASTER_DATABASE'!G38)), "Bản lề 3D/4D rãnh C", "N/A")</f>
        <v/>
      </c>
      <c r="D41" s="114">
        <f>IF(ISNUMBER(SEARCH("lùa",'01_MASTER_DATABASE'!G38)), "Bánh xe trượt chịu lực", "N/A")</f>
        <v/>
      </c>
      <c r="E41" s="113">
        <f>'01_MASTER_DATABASE'!P38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IF(ISNUMBER(SEARCH("quay",'01_MASTER_DATABASE'!G39)), "Bản lề 3D/4D rãnh C", "N/A")</f>
        <v/>
      </c>
      <c r="D42" s="114">
        <f>IF(ISNUMBER(SEARCH("lùa",'01_MASTER_DATABASE'!G39)), "Bánh xe trượt chịu lực", "N/A")</f>
        <v/>
      </c>
      <c r="E42" s="113">
        <f>'01_MASTER_DATABASE'!P39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IF(ISNUMBER(SEARCH("quay",'01_MASTER_DATABASE'!G40)), "Bản lề 3D/4D rãnh C", "N/A")</f>
        <v/>
      </c>
      <c r="D43" s="114">
        <f>IF(ISNUMBER(SEARCH("lùa",'01_MASTER_DATABASE'!G40)), "Bánh xe trượt chịu lực", "N/A")</f>
        <v/>
      </c>
      <c r="E43" s="113">
        <f>'01_MASTER_DATABASE'!P40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IF(ISNUMBER(SEARCH("quay",'01_MASTER_DATABASE'!G41)), "Bản lề 3D/4D rãnh C", "N/A")</f>
        <v/>
      </c>
      <c r="D44" s="114">
        <f>IF(ISNUMBER(SEARCH("lùa",'01_MASTER_DATABASE'!G41)), "Bánh xe trượt chịu lực", "N/A")</f>
        <v/>
      </c>
      <c r="E44" s="113">
        <f>'01_MASTER_DATABASE'!P41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IF(ISNUMBER(SEARCH("quay",'01_MASTER_DATABASE'!G42)), "Bản lề 3D/4D rãnh C", "N/A")</f>
        <v/>
      </c>
      <c r="D45" s="114">
        <f>IF(ISNUMBER(SEARCH("lùa",'01_MASTER_DATABASE'!G42)), "Bánh xe trượt chịu lực", "N/A")</f>
        <v/>
      </c>
      <c r="E45" s="113">
        <f>'01_MASTER_DATABASE'!P42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IF(ISNUMBER(SEARCH("quay",'01_MASTER_DATABASE'!G43)), "Bản lề 3D/4D rãnh C", "N/A")</f>
        <v/>
      </c>
      <c r="D46" s="114">
        <f>IF(ISNUMBER(SEARCH("lùa",'01_MASTER_DATABASE'!G43)), "Bánh xe trượt chịu lực", "N/A")</f>
        <v/>
      </c>
      <c r="E46" s="113">
        <f>'01_MASTER_DATABASE'!P43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IF(ISNUMBER(SEARCH("quay",'01_MASTER_DATABASE'!G44)), "Bản lề 3D/4D rãnh C", "N/A")</f>
        <v/>
      </c>
      <c r="D47" s="114">
        <f>IF(ISNUMBER(SEARCH("lùa",'01_MASTER_DATABASE'!G44)), "Bánh xe trượt chịu lực", "N/A")</f>
        <v/>
      </c>
      <c r="E47" s="113">
        <f>'01_MASTER_DATABASE'!P44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IF(ISNUMBER(SEARCH("quay",'01_MASTER_DATABASE'!G45)), "Bản lề 3D/4D rãnh C", "N/A")</f>
        <v/>
      </c>
      <c r="D48" s="114">
        <f>IF(ISNUMBER(SEARCH("lùa",'01_MASTER_DATABASE'!G45)), "Bánh xe trượt chịu lực", "N/A")</f>
        <v/>
      </c>
      <c r="E48" s="113">
        <f>'01_MASTER_DATABASE'!P45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IF(ISNUMBER(SEARCH("quay",'01_MASTER_DATABASE'!G46)), "Bản lề 3D/4D rãnh C", "N/A")</f>
        <v/>
      </c>
      <c r="D49" s="114">
        <f>IF(ISNUMBER(SEARCH("lùa",'01_MASTER_DATABASE'!G46)), "Bánh xe trượt chịu lực", "N/A")</f>
        <v/>
      </c>
      <c r="E49" s="113">
        <f>'01_MASTER_DATABASE'!P46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IF(ISNUMBER(SEARCH("quay",'01_MASTER_DATABASE'!G47)), "Bản lề 3D/4D rãnh C", "N/A")</f>
        <v/>
      </c>
      <c r="D50" s="114">
        <f>IF(ISNUMBER(SEARCH("lùa",'01_MASTER_DATABASE'!G47)), "Bánh xe trượt chịu lực", "N/A")</f>
        <v/>
      </c>
      <c r="E50" s="113">
        <f>'01_MASTER_DATABASE'!P47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IF(ISNUMBER(SEARCH("quay",'01_MASTER_DATABASE'!G48)), "Bản lề 3D/4D rãnh C", "N/A")</f>
        <v/>
      </c>
      <c r="D51" s="114">
        <f>IF(ISNUMBER(SEARCH("lùa",'01_MASTER_DATABASE'!G48)), "Bánh xe trượt chịu lực", "N/A")</f>
        <v/>
      </c>
      <c r="E51" s="113">
        <f>'01_MASTER_DATABASE'!P48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IF(ISNUMBER(SEARCH("quay",'01_MASTER_DATABASE'!G49)), "Bản lề 3D/4D rãnh C", "N/A")</f>
        <v/>
      </c>
      <c r="D52" s="114">
        <f>IF(ISNUMBER(SEARCH("lùa",'01_MASTER_DATABASE'!G49)), "Bánh xe trượt chịu lực", "N/A")</f>
        <v/>
      </c>
      <c r="E52" s="113">
        <f>'01_MASTER_DATABASE'!P49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IF(ISNUMBER(SEARCH("quay",'01_MASTER_DATABASE'!G50)), "Bản lề 3D/4D rãnh C", "N/A")</f>
        <v/>
      </c>
      <c r="D53" s="114">
        <f>IF(ISNUMBER(SEARCH("lùa",'01_MASTER_DATABASE'!G50)), "Bánh xe trượt chịu lực", "N/A")</f>
        <v/>
      </c>
      <c r="E53" s="113">
        <f>'01_MASTER_DATABASE'!P50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IF(ISNUMBER(SEARCH("quay",'01_MASTER_DATABASE'!G51)), "Bản lề 3D/4D rãnh C", "N/A")</f>
        <v/>
      </c>
      <c r="D54" s="114">
        <f>IF(ISNUMBER(SEARCH("lùa",'01_MASTER_DATABASE'!G51)), "Bánh xe trượt chịu lực", "N/A")</f>
        <v/>
      </c>
      <c r="E54" s="113">
        <f>'01_MASTER_DATABASE'!P51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IF(ISNUMBER(SEARCH("quay",'01_MASTER_DATABASE'!G52)), "Bản lề 3D/4D rãnh C", "N/A")</f>
        <v/>
      </c>
      <c r="D55" s="114">
        <f>IF(ISNUMBER(SEARCH("lùa",'01_MASTER_DATABASE'!G52)), "Bánh xe trượt chịu lực", "N/A")</f>
        <v/>
      </c>
      <c r="E55" s="113">
        <f>'01_MASTER_DATABASE'!P52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IF(ISNUMBER(SEARCH("quay",'01_MASTER_DATABASE'!G53)), "Bản lề 3D/4D rãnh C", "N/A")</f>
        <v/>
      </c>
      <c r="D56" s="114">
        <f>IF(ISNUMBER(SEARCH("lùa",'01_MASTER_DATABASE'!G53)), "Bánh xe trượt chịu lực", "N/A")</f>
        <v/>
      </c>
      <c r="E56" s="113">
        <f>'01_MASTER_DATABASE'!P53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IF(ISNUMBER(SEARCH("quay",'01_MASTER_DATABASE'!G54)), "Bản lề 3D/4D rãnh C", "N/A")</f>
        <v/>
      </c>
      <c r="D57" s="114">
        <f>IF(ISNUMBER(SEARCH("lùa",'01_MASTER_DATABASE'!G54)), "Bánh xe trượt chịu lực", "N/A")</f>
        <v/>
      </c>
      <c r="E57" s="113">
        <f>'01_MASTER_DATABASE'!P54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IF(ISNUMBER(SEARCH("quay",'01_MASTER_DATABASE'!G55)), "Bản lề 3D/4D rãnh C", "N/A")</f>
        <v/>
      </c>
      <c r="D58" s="114">
        <f>IF(ISNUMBER(SEARCH("lùa",'01_MASTER_DATABASE'!G55)), "Bánh xe trượt chịu lực", "N/A")</f>
        <v/>
      </c>
      <c r="E58" s="113">
        <f>'01_MASTER_DATABASE'!P55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IF(ISNUMBER(SEARCH("quay",'01_MASTER_DATABASE'!G56)), "Bản lề 3D/4D rãnh C", "N/A")</f>
        <v/>
      </c>
      <c r="D59" s="114">
        <f>IF(ISNUMBER(SEARCH("lùa",'01_MASTER_DATABASE'!G56)), "Bánh xe trượt chịu lực", "N/A")</f>
        <v/>
      </c>
      <c r="E59" s="113">
        <f>'01_MASTER_DATABASE'!P56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IF(ISNUMBER(SEARCH("quay",'01_MASTER_DATABASE'!G57)), "Bản lề 3D/4D rãnh C", "N/A")</f>
        <v/>
      </c>
      <c r="D60" s="114">
        <f>IF(ISNUMBER(SEARCH("lùa",'01_MASTER_DATABASE'!G57)), "Bánh xe trượt chịu lực", "N/A")</f>
        <v/>
      </c>
      <c r="E60" s="113">
        <f>'01_MASTER_DATABASE'!P57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IF(ISNUMBER(SEARCH("quay",'01_MASTER_DATABASE'!G58)), "Bản lề 3D/4D rãnh C", "N/A")</f>
        <v/>
      </c>
      <c r="D61" s="114">
        <f>IF(ISNUMBER(SEARCH("lùa",'01_MASTER_DATABASE'!G58)), "Bánh xe trượt chịu lực", "N/A")</f>
        <v/>
      </c>
      <c r="E61" s="113">
        <f>'01_MASTER_DATABASE'!P58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IF(ISNUMBER(SEARCH("quay",'01_MASTER_DATABASE'!G59)), "Bản lề 3D/4D rãnh C", "N/A")</f>
        <v/>
      </c>
      <c r="D62" s="114">
        <f>IF(ISNUMBER(SEARCH("lùa",'01_MASTER_DATABASE'!G59)), "Bánh xe trượt chịu lực", "N/A")</f>
        <v/>
      </c>
      <c r="E62" s="113">
        <f>'01_MASTER_DATABASE'!P59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IF(ISNUMBER(SEARCH("quay",'01_MASTER_DATABASE'!G60)), "Bản lề 3D/4D rãnh C", "N/A")</f>
        <v/>
      </c>
      <c r="D63" s="114">
        <f>IF(ISNUMBER(SEARCH("lùa",'01_MASTER_DATABASE'!G60)), "Bánh xe trượt chịu lực", "N/A")</f>
        <v/>
      </c>
      <c r="E63" s="113">
        <f>'01_MASTER_DATABASE'!P60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IF(ISNUMBER(SEARCH("quay",'01_MASTER_DATABASE'!G61)), "Bản lề 3D/4D rãnh C", "N/A")</f>
        <v/>
      </c>
      <c r="D64" s="114">
        <f>IF(ISNUMBER(SEARCH("lùa",'01_MASTER_DATABASE'!G61)), "Bánh xe trượt chịu lực", "N/A")</f>
        <v/>
      </c>
      <c r="E64" s="113">
        <f>'01_MASTER_DATABASE'!P61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IF(ISNUMBER(SEARCH("quay",'01_MASTER_DATABASE'!G62)), "Bản lề 3D/4D rãnh C", "N/A")</f>
        <v/>
      </c>
      <c r="D65" s="114">
        <f>IF(ISNUMBER(SEARCH("lùa",'01_MASTER_DATABASE'!G62)), "Bánh xe trượt chịu lực", "N/A")</f>
        <v/>
      </c>
      <c r="E65" s="113">
        <f>'01_MASTER_DATABASE'!P62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IF(ISNUMBER(SEARCH("quay",'01_MASTER_DATABASE'!G63)), "Bản lề 3D/4D rãnh C", "N/A")</f>
        <v/>
      </c>
      <c r="D66" s="114">
        <f>IF(ISNUMBER(SEARCH("lùa",'01_MASTER_DATABASE'!G63)), "Bánh xe trượt chịu lực", "N/A")</f>
        <v/>
      </c>
      <c r="E66" s="113">
        <f>'01_MASTER_DATABASE'!P63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IF(ISNUMBER(SEARCH("quay",'01_MASTER_DATABASE'!G64)), "Bản lề 3D/4D rãnh C", "N/A")</f>
        <v/>
      </c>
      <c r="D67" s="114">
        <f>IF(ISNUMBER(SEARCH("lùa",'01_MASTER_DATABASE'!G64)), "Bánh xe trượt chịu lực", "N/A")</f>
        <v/>
      </c>
      <c r="E67" s="113">
        <f>'01_MASTER_DATABASE'!P64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IF(ISNUMBER(SEARCH("quay",'01_MASTER_DATABASE'!G65)), "Bản lề 3D/4D rãnh C", "N/A")</f>
        <v/>
      </c>
      <c r="D68" s="114">
        <f>IF(ISNUMBER(SEARCH("lùa",'01_MASTER_DATABASE'!G65)), "Bánh xe trượt chịu lực", "N/A")</f>
        <v/>
      </c>
      <c r="E68" s="113">
        <f>'01_MASTER_DATABASE'!P65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IF(ISNUMBER(SEARCH("quay",'01_MASTER_DATABASE'!G66)), "Bản lề 3D/4D rãnh C", "N/A")</f>
        <v/>
      </c>
      <c r="D69" s="114">
        <f>IF(ISNUMBER(SEARCH("lùa",'01_MASTER_DATABASE'!G66)), "Bánh xe trượt chịu lực", "N/A")</f>
        <v/>
      </c>
      <c r="E69" s="113">
        <f>'01_MASTER_DATABASE'!P66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IF(ISNUMBER(SEARCH("quay",'01_MASTER_DATABASE'!G67)), "Bản lề 3D/4D rãnh C", "N/A")</f>
        <v/>
      </c>
      <c r="D70" s="114">
        <f>IF(ISNUMBER(SEARCH("lùa",'01_MASTER_DATABASE'!G67)), "Bánh xe trượt chịu lực", "N/A")</f>
        <v/>
      </c>
      <c r="E70" s="113">
        <f>'01_MASTER_DATABASE'!P67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IF(ISNUMBER(SEARCH("quay",'01_MASTER_DATABASE'!G68)), "Bản lề 3D/4D rãnh C", "N/A")</f>
        <v/>
      </c>
      <c r="D71" s="114">
        <f>IF(ISNUMBER(SEARCH("lùa",'01_MASTER_DATABASE'!G68)), "Bánh xe trượt chịu lực", "N/A")</f>
        <v/>
      </c>
      <c r="E71" s="113">
        <f>'01_MASTER_DATABASE'!P68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IF(ISNUMBER(SEARCH("quay",'01_MASTER_DATABASE'!G69)), "Bản lề 3D/4D rãnh C", "N/A")</f>
        <v/>
      </c>
      <c r="D72" s="114">
        <f>IF(ISNUMBER(SEARCH("lùa",'01_MASTER_DATABASE'!G69)), "Bánh xe trượt chịu lực", "N/A")</f>
        <v/>
      </c>
      <c r="E72" s="113">
        <f>'01_MASTER_DATABASE'!P69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IF(ISNUMBER(SEARCH("quay",'01_MASTER_DATABASE'!G70)), "Bản lề 3D/4D rãnh C", "N/A")</f>
        <v/>
      </c>
      <c r="D73" s="114">
        <f>IF(ISNUMBER(SEARCH("lùa",'01_MASTER_DATABASE'!G70)), "Bánh xe trượt chịu lực", "N/A")</f>
        <v/>
      </c>
      <c r="E73" s="113">
        <f>'01_MASTER_DATABASE'!P70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IF(ISNUMBER(SEARCH("quay",'01_MASTER_DATABASE'!G71)), "Bản lề 3D/4D rãnh C", "N/A")</f>
        <v/>
      </c>
      <c r="D74" s="114">
        <f>IF(ISNUMBER(SEARCH("lùa",'01_MASTER_DATABASE'!G71)), "Bánh xe trượt chịu lực", "N/A")</f>
        <v/>
      </c>
      <c r="E74" s="113">
        <f>'01_MASTER_DATABASE'!P71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IF(ISNUMBER(SEARCH("quay",'01_MASTER_DATABASE'!G72)), "Bản lề 3D/4D rãnh C", "N/A")</f>
        <v/>
      </c>
      <c r="D75" s="114">
        <f>IF(ISNUMBER(SEARCH("lùa",'01_MASTER_DATABASE'!G72)), "Bánh xe trượt chịu lực", "N/A")</f>
        <v/>
      </c>
      <c r="E75" s="113">
        <f>'01_MASTER_DATABASE'!P72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IF(ISNUMBER(SEARCH("quay",'01_MASTER_DATABASE'!G73)), "Bản lề 3D/4D rãnh C", "N/A")</f>
        <v/>
      </c>
      <c r="D76" s="114">
        <f>IF(ISNUMBER(SEARCH("lùa",'01_MASTER_DATABASE'!G73)), "Bánh xe trượt chịu lực", "N/A")</f>
        <v/>
      </c>
      <c r="E76" s="113">
        <f>'01_MASTER_DATABASE'!P73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IF(ISNUMBER(SEARCH("quay",'01_MASTER_DATABASE'!G74)), "Bản lề 3D/4D rãnh C", "N/A")</f>
        <v/>
      </c>
      <c r="D77" s="114">
        <f>IF(ISNUMBER(SEARCH("lùa",'01_MASTER_DATABASE'!G74)), "Bánh xe trượt chịu lực", "N/A")</f>
        <v/>
      </c>
      <c r="E77" s="113">
        <f>'01_MASTER_DATABASE'!P74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IF(ISNUMBER(SEARCH("quay",'01_MASTER_DATABASE'!G75)), "Bản lề 3D/4D rãnh C", "N/A")</f>
        <v/>
      </c>
      <c r="D78" s="114">
        <f>IF(ISNUMBER(SEARCH("lùa",'01_MASTER_DATABASE'!G75)), "Bánh xe trượt chịu lực", "N/A")</f>
        <v/>
      </c>
      <c r="E78" s="113">
        <f>'01_MASTER_DATABASE'!P75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IF(ISNUMBER(SEARCH("quay",'01_MASTER_DATABASE'!G76)), "Bản lề 3D/4D rãnh C", "N/A")</f>
        <v/>
      </c>
      <c r="D79" s="114">
        <f>IF(ISNUMBER(SEARCH("lùa",'01_MASTER_DATABASE'!G76)), "Bánh xe trượt chịu lực", "N/A")</f>
        <v/>
      </c>
      <c r="E79" s="113">
        <f>'01_MASTER_DATABASE'!P76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IF(ISNUMBER(SEARCH("quay",'01_MASTER_DATABASE'!G77)), "Bản lề 3D/4D rãnh C", "N/A")</f>
        <v/>
      </c>
      <c r="D80" s="114">
        <f>IF(ISNUMBER(SEARCH("lùa",'01_MASTER_DATABASE'!G77)), "Bánh xe trượt chịu lực", "N/A")</f>
        <v/>
      </c>
      <c r="E80" s="113">
        <f>'01_MASTER_DATABASE'!P77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IF(ISNUMBER(SEARCH("quay",'01_MASTER_DATABASE'!G78)), "Bản lề 3D/4D rãnh C", "N/A")</f>
        <v/>
      </c>
      <c r="D81" s="114">
        <f>IF(ISNUMBER(SEARCH("lùa",'01_MASTER_DATABASE'!G78)), "Bánh xe trượt chịu lực", "N/A")</f>
        <v/>
      </c>
      <c r="E81" s="113">
        <f>'01_MASTER_DATABASE'!P78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IF(ISNUMBER(SEARCH("quay",'01_MASTER_DATABASE'!G79)), "Bản lề 3D/4D rãnh C", "N/A")</f>
        <v/>
      </c>
      <c r="D82" s="114">
        <f>IF(ISNUMBER(SEARCH("lùa",'01_MASTER_DATABASE'!G79)), "Bánh xe trượt chịu lực", "N/A")</f>
        <v/>
      </c>
      <c r="E82" s="113">
        <f>'01_MASTER_DATABASE'!P79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IF(ISNUMBER(SEARCH("quay",'01_MASTER_DATABASE'!G80)), "Bản lề 3D/4D rãnh C", "N/A")</f>
        <v/>
      </c>
      <c r="D83" s="114">
        <f>IF(ISNUMBER(SEARCH("lùa",'01_MASTER_DATABASE'!G80)), "Bánh xe trượt chịu lực", "N/A")</f>
        <v/>
      </c>
      <c r="E83" s="113">
        <f>'01_MASTER_DATABASE'!P80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IF(ISNUMBER(SEARCH("quay",'01_MASTER_DATABASE'!G81)), "Bản lề 3D/4D rãnh C", "N/A")</f>
        <v/>
      </c>
      <c r="D84" s="114">
        <f>IF(ISNUMBER(SEARCH("lùa",'01_MASTER_DATABASE'!G81)), "Bánh xe trượt chịu lực", "N/A")</f>
        <v/>
      </c>
      <c r="E84" s="113">
        <f>'01_MASTER_DATABASE'!P81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IF(ISNUMBER(SEARCH("quay",'01_MASTER_DATABASE'!G82)), "Bản lề 3D/4D rãnh C", "N/A")</f>
        <v/>
      </c>
      <c r="D85" s="114">
        <f>IF(ISNUMBER(SEARCH("lùa",'01_MASTER_DATABASE'!G82)), "Bánh xe trượt chịu lực", "N/A")</f>
        <v/>
      </c>
      <c r="E85" s="113">
        <f>'01_MASTER_DATABASE'!P82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IF(ISNUMBER(SEARCH("quay",'01_MASTER_DATABASE'!G83)), "Bản lề 3D/4D rãnh C", "N/A")</f>
        <v/>
      </c>
      <c r="D86" s="114">
        <f>IF(ISNUMBER(SEARCH("lùa",'01_MASTER_DATABASE'!G83)), "Bánh xe trượt chịu lực", "N/A")</f>
        <v/>
      </c>
      <c r="E86" s="113">
        <f>'01_MASTER_DATABASE'!P83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IF(ISNUMBER(SEARCH("quay",'01_MASTER_DATABASE'!G84)), "Bản lề 3D/4D rãnh C", "N/A")</f>
        <v/>
      </c>
      <c r="D87" s="114">
        <f>IF(ISNUMBER(SEARCH("lùa",'01_MASTER_DATABASE'!G84)), "Bánh xe trượt chịu lực", "N/A")</f>
        <v/>
      </c>
      <c r="E87" s="113">
        <f>'01_MASTER_DATABASE'!P84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IF(ISNUMBER(SEARCH("quay",'01_MASTER_DATABASE'!G85)), "Bản lề 3D/4D rãnh C", "N/A")</f>
        <v/>
      </c>
      <c r="D88" s="114">
        <f>IF(ISNUMBER(SEARCH("lùa",'01_MASTER_DATABASE'!G85)), "Bánh xe trượt chịu lực", "N/A")</f>
        <v/>
      </c>
      <c r="E88" s="113">
        <f>'01_MASTER_DATABASE'!P85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IF(ISNUMBER(SEARCH("quay",'01_MASTER_DATABASE'!G86)), "Bản lề 3D/4D rãnh C", "N/A")</f>
        <v/>
      </c>
      <c r="D89" s="114">
        <f>IF(ISNUMBER(SEARCH("lùa",'01_MASTER_DATABASE'!G86)), "Bánh xe trượt chịu lực", "N/A")</f>
        <v/>
      </c>
      <c r="E89" s="113">
        <f>'01_MASTER_DATABASE'!P86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IF(ISNUMBER(SEARCH("quay",'01_MASTER_DATABASE'!G87)), "Bản lề 3D/4D rãnh C", "N/A")</f>
        <v/>
      </c>
      <c r="D90" s="114">
        <f>IF(ISNUMBER(SEARCH("lùa",'01_MASTER_DATABASE'!G87)), "Bánh xe trượt chịu lực", "N/A")</f>
        <v/>
      </c>
      <c r="E90" s="113">
        <f>'01_MASTER_DATABASE'!P87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IF(ISNUMBER(SEARCH("quay",'01_MASTER_DATABASE'!G88)), "Bản lề 3D/4D rãnh C", "N/A")</f>
        <v/>
      </c>
      <c r="D91" s="114">
        <f>IF(ISNUMBER(SEARCH("lùa",'01_MASTER_DATABASE'!G88)), "Bánh xe trượt chịu lực", "N/A")</f>
        <v/>
      </c>
      <c r="E91" s="113">
        <f>'01_MASTER_DATABASE'!P88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IF(ISNUMBER(SEARCH("quay",'01_MASTER_DATABASE'!G89)), "Bản lề 3D/4D rãnh C", "N/A")</f>
        <v/>
      </c>
      <c r="D92" s="114">
        <f>IF(ISNUMBER(SEARCH("lùa",'01_MASTER_DATABASE'!G89)), "Bánh xe trượt chịu lực", "N/A")</f>
        <v/>
      </c>
      <c r="E92" s="113">
        <f>'01_MASTER_DATABASE'!P89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IF(ISNUMBER(SEARCH("quay",'01_MASTER_DATABASE'!G90)), "Bản lề 3D/4D rãnh C", "N/A")</f>
        <v/>
      </c>
      <c r="D93" s="114">
        <f>IF(ISNUMBER(SEARCH("lùa",'01_MASTER_DATABASE'!G90)), "Bánh xe trượt chịu lực", "N/A")</f>
        <v/>
      </c>
      <c r="E93" s="113">
        <f>'01_MASTER_DATABASE'!P90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IF(ISNUMBER(SEARCH("quay",'01_MASTER_DATABASE'!G91)), "Bản lề 3D/4D rãnh C", "N/A")</f>
        <v/>
      </c>
      <c r="D94" s="114">
        <f>IF(ISNUMBER(SEARCH("lùa",'01_MASTER_DATABASE'!G91)), "Bánh xe trượt chịu lực", "N/A")</f>
        <v/>
      </c>
      <c r="E94" s="113">
        <f>'01_MASTER_DATABASE'!P91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IF(ISNUMBER(SEARCH("quay",'01_MASTER_DATABASE'!G92)), "Bản lề 3D/4D rãnh C", "N/A")</f>
        <v/>
      </c>
      <c r="D95" s="114">
        <f>IF(ISNUMBER(SEARCH("lùa",'01_MASTER_DATABASE'!G92)), "Bánh xe trượt chịu lực", "N/A")</f>
        <v/>
      </c>
      <c r="E95" s="113">
        <f>'01_MASTER_DATABASE'!P92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IF(ISNUMBER(SEARCH("quay",'01_MASTER_DATABASE'!G93)), "Bản lề 3D/4D rãnh C", "N/A")</f>
        <v/>
      </c>
      <c r="D96" s="114">
        <f>IF(ISNUMBER(SEARCH("lùa",'01_MASTER_DATABASE'!G93)), "Bánh xe trượt chịu lực", "N/A")</f>
        <v/>
      </c>
      <c r="E96" s="113">
        <f>'01_MASTER_DATABASE'!P93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IF(ISNUMBER(SEARCH("quay",'01_MASTER_DATABASE'!G94)), "Bản lề 3D/4D rãnh C", "N/A")</f>
        <v/>
      </c>
      <c r="D97" s="114">
        <f>IF(ISNUMBER(SEARCH("lùa",'01_MASTER_DATABASE'!G94)), "Bánh xe trượt chịu lực", "N/A")</f>
        <v/>
      </c>
      <c r="E97" s="113">
        <f>'01_MASTER_DATABASE'!P94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IF(ISNUMBER(SEARCH("quay",'01_MASTER_DATABASE'!G95)), "Bản lề 3D/4D rãnh C", "N/A")</f>
        <v/>
      </c>
      <c r="D98" s="114">
        <f>IF(ISNUMBER(SEARCH("lùa",'01_MASTER_DATABASE'!G95)), "Bánh xe trượt chịu lực", "N/A")</f>
        <v/>
      </c>
      <c r="E98" s="113">
        <f>'01_MASTER_DATABASE'!P95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IF(ISNUMBER(SEARCH("quay",'01_MASTER_DATABASE'!G96)), "Bản lề 3D/4D rãnh C", "N/A")</f>
        <v/>
      </c>
      <c r="D99" s="114">
        <f>IF(ISNUMBER(SEARCH("lùa",'01_MASTER_DATABASE'!G96)), "Bánh xe trượt chịu lực", "N/A")</f>
        <v/>
      </c>
      <c r="E99" s="113">
        <f>'01_MASTER_DATABASE'!P96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IF(ISNUMBER(SEARCH("quay",'01_MASTER_DATABASE'!G97)), "Bản lề 3D/4D rãnh C", "N/A")</f>
        <v/>
      </c>
      <c r="D100" s="114">
        <f>IF(ISNUMBER(SEARCH("lùa",'01_MASTER_DATABASE'!G97)), "Bánh xe trượt chịu lực", "N/A")</f>
        <v/>
      </c>
      <c r="E100" s="113">
        <f>'01_MASTER_DATABASE'!P97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IF(ISNUMBER(SEARCH("quay",'01_MASTER_DATABASE'!G98)), "Bản lề 3D/4D rãnh C", "N/A")</f>
        <v/>
      </c>
      <c r="D101" s="114">
        <f>IF(ISNUMBER(SEARCH("lùa",'01_MASTER_DATABASE'!G98)), "Bánh xe trượt chịu lực", "N/A")</f>
        <v/>
      </c>
      <c r="E101" s="113">
        <f>'01_MASTER_DATABASE'!P98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IF(ISNUMBER(SEARCH("quay",'01_MASTER_DATABASE'!G99)), "Bản lề 3D/4D rãnh C", "N/A")</f>
        <v/>
      </c>
      <c r="D102" s="114">
        <f>IF(ISNUMBER(SEARCH("lùa",'01_MASTER_DATABASE'!G99)), "Bánh xe trượt chịu lực", "N/A")</f>
        <v/>
      </c>
      <c r="E102" s="113">
        <f>'01_MASTER_DATABASE'!P99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IF(ISNUMBER(SEARCH("quay",'01_MASTER_DATABASE'!G100)), "Bản lề 3D/4D rãnh C", "N/A")</f>
        <v/>
      </c>
      <c r="D103" s="114">
        <f>IF(ISNUMBER(SEARCH("lùa",'01_MASTER_DATABASE'!G100)), "Bánh xe trượt chịu lực", "N/A")</f>
        <v/>
      </c>
      <c r="E103" s="113">
        <f>'01_MASTER_DATABASE'!P100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IF(ISNUMBER(SEARCH("quay",'01_MASTER_DATABASE'!G101)), "Bản lề 3D/4D rãnh C", "N/A")</f>
        <v/>
      </c>
      <c r="D104" s="114">
        <f>IF(ISNUMBER(SEARCH("lùa",'01_MASTER_DATABASE'!G101)), "Bánh xe trượt chịu lực", "N/A")</f>
        <v/>
      </c>
      <c r="E104" s="113">
        <f>'01_MASTER_DATABASE'!P101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IF(ISNUMBER(SEARCH("quay",'01_MASTER_DATABASE'!G102)), "Bản lề 3D/4D rãnh C", "N/A")</f>
        <v/>
      </c>
      <c r="D105" s="114">
        <f>IF(ISNUMBER(SEARCH("lùa",'01_MASTER_DATABASE'!G102)), "Bánh xe trượt chịu lực", "N/A")</f>
        <v/>
      </c>
      <c r="E105" s="113">
        <f>'01_MASTER_DATABASE'!P102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IF(ISNUMBER(SEARCH("quay",'01_MASTER_DATABASE'!G103)), "Bản lề 3D/4D rãnh C", "N/A")</f>
        <v/>
      </c>
      <c r="D106" s="114">
        <f>IF(ISNUMBER(SEARCH("lùa",'01_MASTER_DATABASE'!G103)), "Bánh xe trượt chịu lực", "N/A")</f>
        <v/>
      </c>
      <c r="E106" s="113">
        <f>'01_MASTER_DATABASE'!P103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IF(ISNUMBER(SEARCH("quay",'01_MASTER_DATABASE'!G104)), "Bản lề 3D/4D rãnh C", "N/A")</f>
        <v/>
      </c>
      <c r="D107" s="114">
        <f>IF(ISNUMBER(SEARCH("lùa",'01_MASTER_DATABASE'!G104)), "Bánh xe trượt chịu lực", "N/A")</f>
        <v/>
      </c>
      <c r="E107" s="113">
        <f>'01_MASTER_DATABASE'!P104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IF(ISNUMBER(SEARCH("quay",'01_MASTER_DATABASE'!G105)), "Bản lề 3D/4D rãnh C", "N/A")</f>
        <v/>
      </c>
      <c r="D108" s="114">
        <f>IF(ISNUMBER(SEARCH("lùa",'01_MASTER_DATABASE'!G105)), "Bánh xe trượt chịu lực", "N/A")</f>
        <v/>
      </c>
      <c r="E108" s="113">
        <f>'01_MASTER_DATABASE'!P105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IF(ISNUMBER(SEARCH("quay",'01_MASTER_DATABASE'!G106)), "Bản lề 3D/4D rãnh C", "N/A")</f>
        <v/>
      </c>
      <c r="D109" s="114">
        <f>IF(ISNUMBER(SEARCH("lùa",'01_MASTER_DATABASE'!G106)), "Bánh xe trượt chịu lực", "N/A")</f>
        <v/>
      </c>
      <c r="E109" s="113">
        <f>'01_MASTER_DATABASE'!P106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IF(ISNUMBER(SEARCH("quay",'01_MASTER_DATABASE'!G107)), "Bản lề 3D/4D rãnh C", "N/A")</f>
        <v/>
      </c>
      <c r="D110" s="114">
        <f>IF(ISNUMBER(SEARCH("lùa",'01_MASTER_DATABASE'!G107)), "Bánh xe trượt chịu lực", "N/A")</f>
        <v/>
      </c>
      <c r="E110" s="113">
        <f>'01_MASTER_DATABASE'!P107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IF(ISNUMBER(SEARCH("quay",'01_MASTER_DATABASE'!G108)), "Bản lề 3D/4D rãnh C", "N/A")</f>
        <v/>
      </c>
      <c r="D111" s="114">
        <f>IF(ISNUMBER(SEARCH("lùa",'01_MASTER_DATABASE'!G108)), "Bánh xe trượt chịu lực", "N/A")</f>
        <v/>
      </c>
      <c r="E111" s="113">
        <f>'01_MASTER_DATABASE'!P108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IF(ISNUMBER(SEARCH("quay",'01_MASTER_DATABASE'!G109)), "Bản lề 3D/4D rãnh C", "N/A")</f>
        <v/>
      </c>
      <c r="D112" s="114">
        <f>IF(ISNUMBER(SEARCH("lùa",'01_MASTER_DATABASE'!G109)), "Bánh xe trượt chịu lực", "N/A")</f>
        <v/>
      </c>
      <c r="E112" s="113">
        <f>'01_MASTER_DATABASE'!P109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IF(ISNUMBER(SEARCH("quay",'01_MASTER_DATABASE'!G110)), "Bản lề 3D/4D rãnh C", "N/A")</f>
        <v/>
      </c>
      <c r="D113" s="114">
        <f>IF(ISNUMBER(SEARCH("lùa",'01_MASTER_DATABASE'!G110)), "Bánh xe trượt chịu lực", "N/A")</f>
        <v/>
      </c>
      <c r="E113" s="113">
        <f>'01_MASTER_DATABASE'!P110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IF(ISNUMBER(SEARCH("quay",'01_MASTER_DATABASE'!G111)), "Bản lề 3D/4D rãnh C", "N/A")</f>
        <v/>
      </c>
      <c r="D114" s="114">
        <f>IF(ISNUMBER(SEARCH("lùa",'01_MASTER_DATABASE'!G111)), "Bánh xe trượt chịu lực", "N/A")</f>
        <v/>
      </c>
      <c r="E114" s="113">
        <f>'01_MASTER_DATABASE'!P111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IF(ISNUMBER(SEARCH("quay",'01_MASTER_DATABASE'!G112)), "Bản lề 3D/4D rãnh C", "N/A")</f>
        <v/>
      </c>
      <c r="D115" s="114">
        <f>IF(ISNUMBER(SEARCH("lùa",'01_MASTER_DATABASE'!G112)), "Bánh xe trượt chịu lực", "N/A")</f>
        <v/>
      </c>
      <c r="E115" s="113">
        <f>'01_MASTER_DATABASE'!P112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IF(ISNUMBER(SEARCH("quay",'01_MASTER_DATABASE'!G113)), "Bản lề 3D/4D rãnh C", "N/A")</f>
        <v/>
      </c>
      <c r="D116" s="114">
        <f>IF(ISNUMBER(SEARCH("lùa",'01_MASTER_DATABASE'!G113)), "Bánh xe trượt chịu lực", "N/A")</f>
        <v/>
      </c>
      <c r="E116" s="113">
        <f>'01_MASTER_DATABASE'!P113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IF(ISNUMBER(SEARCH("quay",'01_MASTER_DATABASE'!G114)), "Bản lề 3D/4D rãnh C", "N/A")</f>
        <v/>
      </c>
      <c r="D117" s="114">
        <f>IF(ISNUMBER(SEARCH("lùa",'01_MASTER_DATABASE'!G114)), "Bánh xe trượt chịu lực", "N/A")</f>
        <v/>
      </c>
      <c r="E117" s="113">
        <f>'01_MASTER_DATABASE'!P114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IF(ISNUMBER(SEARCH("quay",'01_MASTER_DATABASE'!G115)), "Bản lề 3D/4D rãnh C", "N/A")</f>
        <v/>
      </c>
      <c r="D118" s="114">
        <f>IF(ISNUMBER(SEARCH("lùa",'01_MASTER_DATABASE'!G115)), "Bánh xe trượt chịu lực", "N/A")</f>
        <v/>
      </c>
      <c r="E118" s="113">
        <f>'01_MASTER_DATABASE'!P115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IF(ISNUMBER(SEARCH("quay",'01_MASTER_DATABASE'!G116)), "Bản lề 3D/4D rãnh C", "N/A")</f>
        <v/>
      </c>
      <c r="D119" s="114">
        <f>IF(ISNUMBER(SEARCH("lùa",'01_MASTER_DATABASE'!G116)), "Bánh xe trượt chịu lực", "N/A")</f>
        <v/>
      </c>
      <c r="E119" s="113">
        <f>'01_MASTER_DATABASE'!P116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IF(ISNUMBER(SEARCH("quay",'01_MASTER_DATABASE'!G117)), "Bản lề 3D/4D rãnh C", "N/A")</f>
        <v/>
      </c>
      <c r="D120" s="114">
        <f>IF(ISNUMBER(SEARCH("lùa",'01_MASTER_DATABASE'!G117)), "Bánh xe trượt chịu lực", "N/A")</f>
        <v/>
      </c>
      <c r="E120" s="113">
        <f>'01_MASTER_DATABASE'!P117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IF(ISNUMBER(SEARCH("quay",'01_MASTER_DATABASE'!G118)), "Bản lề 3D/4D rãnh C", "N/A")</f>
        <v/>
      </c>
      <c r="D121" s="114">
        <f>IF(ISNUMBER(SEARCH("lùa",'01_MASTER_DATABASE'!G118)), "Bánh xe trượt chịu lực", "N/A")</f>
        <v/>
      </c>
      <c r="E121" s="113">
        <f>'01_MASTER_DATABASE'!P118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IF(ISNUMBER(SEARCH("quay",'01_MASTER_DATABASE'!G119)), "Bản lề 3D/4D rãnh C", "N/A")</f>
        <v/>
      </c>
      <c r="D122" s="114">
        <f>IF(ISNUMBER(SEARCH("lùa",'01_MASTER_DATABASE'!G119)), "Bánh xe trượt chịu lực", "N/A")</f>
        <v/>
      </c>
      <c r="E122" s="113">
        <f>'01_MASTER_DATABASE'!P119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IF(ISNUMBER(SEARCH("quay",'01_MASTER_DATABASE'!G120)), "Bản lề 3D/4D rãnh C", "N/A")</f>
        <v/>
      </c>
      <c r="D123" s="114">
        <f>IF(ISNUMBER(SEARCH("lùa",'01_MASTER_DATABASE'!G120)), "Bánh xe trượt chịu lực", "N/A")</f>
        <v/>
      </c>
      <c r="E123" s="113">
        <f>'01_MASTER_DATABASE'!P120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IF(ISNUMBER(SEARCH("quay",'01_MASTER_DATABASE'!G121)), "Bản lề 3D/4D rãnh C", "N/A")</f>
        <v/>
      </c>
      <c r="D124" s="114">
        <f>IF(ISNUMBER(SEARCH("lùa",'01_MASTER_DATABASE'!G121)), "Bánh xe trượt chịu lực", "N/A")</f>
        <v/>
      </c>
      <c r="E124" s="113">
        <f>'01_MASTER_DATABASE'!P121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IF(ISNUMBER(SEARCH("quay",'01_MASTER_DATABASE'!G122)), "Bản lề 3D/4D rãnh C", "N/A")</f>
        <v/>
      </c>
      <c r="D125" s="114">
        <f>IF(ISNUMBER(SEARCH("lùa",'01_MASTER_DATABASE'!G122)), "Bánh xe trượt chịu lực", "N/A")</f>
        <v/>
      </c>
      <c r="E125" s="113">
        <f>'01_MASTER_DATABASE'!P122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IF(ISNUMBER(SEARCH("quay",'01_MASTER_DATABASE'!G123)), "Bản lề 3D/4D rãnh C", "N/A")</f>
        <v/>
      </c>
      <c r="D126" s="114">
        <f>IF(ISNUMBER(SEARCH("lùa",'01_MASTER_DATABASE'!G123)), "Bánh xe trượt chịu lực", "N/A")</f>
        <v/>
      </c>
      <c r="E126" s="113">
        <f>'01_MASTER_DATABASE'!P123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IF(ISNUMBER(SEARCH("quay",'01_MASTER_DATABASE'!G124)), "Bản lề 3D/4D rãnh C", "N/A")</f>
        <v/>
      </c>
      <c r="D127" s="114">
        <f>IF(ISNUMBER(SEARCH("lùa",'01_MASTER_DATABASE'!G124)), "Bánh xe trượt chịu lực", "N/A")</f>
        <v/>
      </c>
      <c r="E127" s="113">
        <f>'01_MASTER_DATABASE'!P124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IF(ISNUMBER(SEARCH("quay",'01_MASTER_DATABASE'!G125)), "Bản lề 3D/4D rãnh C", "N/A")</f>
        <v/>
      </c>
      <c r="D128" s="114">
        <f>IF(ISNUMBER(SEARCH("lùa",'01_MASTER_DATABASE'!G125)), "Bánh xe trượt chịu lực", "N/A")</f>
        <v/>
      </c>
      <c r="E128" s="113">
        <f>'01_MASTER_DATABASE'!P125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IF(ISNUMBER(SEARCH("quay",'01_MASTER_DATABASE'!G126)), "Bản lề 3D/4D rãnh C", "N/A")</f>
        <v/>
      </c>
      <c r="D129" s="114">
        <f>IF(ISNUMBER(SEARCH("lùa",'01_MASTER_DATABASE'!G126)), "Bánh xe trượt chịu lực", "N/A")</f>
        <v/>
      </c>
      <c r="E129" s="113">
        <f>'01_MASTER_DATABASE'!P126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IF(ISNUMBER(SEARCH("quay",'01_MASTER_DATABASE'!G127)), "Bản lề 3D/4D rãnh C", "N/A")</f>
        <v/>
      </c>
      <c r="D130" s="114">
        <f>IF(ISNUMBER(SEARCH("lùa",'01_MASTER_DATABASE'!G127)), "Bánh xe trượt chịu lực", "N/A")</f>
        <v/>
      </c>
      <c r="E130" s="113">
        <f>'01_MASTER_DATABASE'!P127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IF(ISNUMBER(SEARCH("quay",'01_MASTER_DATABASE'!G128)), "Bản lề 3D/4D rãnh C", "N/A")</f>
        <v/>
      </c>
      <c r="D131" s="114">
        <f>IF(ISNUMBER(SEARCH("lùa",'01_MASTER_DATABASE'!G128)), "Bánh xe trượt chịu lực", "N/A")</f>
        <v/>
      </c>
      <c r="E131" s="113">
        <f>'01_MASTER_DATABASE'!P128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IF(ISNUMBER(SEARCH("quay",'01_MASTER_DATABASE'!G129)), "Bản lề 3D/4D rãnh C", "N/A")</f>
        <v/>
      </c>
      <c r="D132" s="114">
        <f>IF(ISNUMBER(SEARCH("lùa",'01_MASTER_DATABASE'!G129)), "Bánh xe trượt chịu lực", "N/A")</f>
        <v/>
      </c>
      <c r="E132" s="113">
        <f>'01_MASTER_DATABASE'!P129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IF(ISNUMBER(SEARCH("quay",'01_MASTER_DATABASE'!G130)), "Bản lề 3D/4D rãnh C", "N/A")</f>
        <v/>
      </c>
      <c r="D133" s="114">
        <f>IF(ISNUMBER(SEARCH("lùa",'01_MASTER_DATABASE'!G130)), "Bánh xe trượt chịu lực", "N/A")</f>
        <v/>
      </c>
      <c r="E133" s="113">
        <f>'01_MASTER_DATABASE'!P130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IF(ISNUMBER(SEARCH("quay",'01_MASTER_DATABASE'!G131)), "Bản lề 3D/4D rãnh C", "N/A")</f>
        <v/>
      </c>
      <c r="D134" s="114">
        <f>IF(ISNUMBER(SEARCH("lùa",'01_MASTER_DATABASE'!G131)), "Bánh xe trượt chịu lực", "N/A")</f>
        <v/>
      </c>
      <c r="E134" s="113">
        <f>'01_MASTER_DATABASE'!P131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IF(ISNUMBER(SEARCH("quay",'01_MASTER_DATABASE'!G132)), "Bản lề 3D/4D rãnh C", "N/A")</f>
        <v/>
      </c>
      <c r="D135" s="114">
        <f>IF(ISNUMBER(SEARCH("lùa",'01_MASTER_DATABASE'!G132)), "Bánh xe trượt chịu lực", "N/A")</f>
        <v/>
      </c>
      <c r="E135" s="113">
        <f>'01_MASTER_DATABASE'!P132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IF(ISNUMBER(SEARCH("quay",'01_MASTER_DATABASE'!G133)), "Bản lề 3D/4D rãnh C", "N/A")</f>
        <v/>
      </c>
      <c r="D136" s="114">
        <f>IF(ISNUMBER(SEARCH("lùa",'01_MASTER_DATABASE'!G133)), "Bánh xe trượt chịu lực", "N/A")</f>
        <v/>
      </c>
      <c r="E136" s="113">
        <f>'01_MASTER_DATABASE'!P133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IF(ISNUMBER(SEARCH("quay",'01_MASTER_DATABASE'!G134)), "Bản lề 3D/4D rãnh C", "N/A")</f>
        <v/>
      </c>
      <c r="D137" s="114">
        <f>IF(ISNUMBER(SEARCH("lùa",'01_MASTER_DATABASE'!G134)), "Bánh xe trượt chịu lực", "N/A")</f>
        <v/>
      </c>
      <c r="E137" s="113">
        <f>'01_MASTER_DATABASE'!P134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IF(ISNUMBER(SEARCH("quay",'01_MASTER_DATABASE'!G135)), "Bản lề 3D/4D rãnh C", "N/A")</f>
        <v/>
      </c>
      <c r="D138" s="114">
        <f>IF(ISNUMBER(SEARCH("lùa",'01_MASTER_DATABASE'!G135)), "Bánh xe trượt chịu lực", "N/A")</f>
        <v/>
      </c>
      <c r="E138" s="113">
        <f>'01_MASTER_DATABASE'!P135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IF(ISNUMBER(SEARCH("quay",'01_MASTER_DATABASE'!G136)), "Bản lề 3D/4D rãnh C", "N/A")</f>
        <v/>
      </c>
      <c r="D139" s="114">
        <f>IF(ISNUMBER(SEARCH("lùa",'01_MASTER_DATABASE'!G136)), "Bánh xe trượt chịu lực", "N/A")</f>
        <v/>
      </c>
      <c r="E139" s="113">
        <f>'01_MASTER_DATABASE'!P136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IF(ISNUMBER(SEARCH("quay",'01_MASTER_DATABASE'!G137)), "Bản lề 3D/4D rãnh C", "N/A")</f>
        <v/>
      </c>
      <c r="D140" s="114">
        <f>IF(ISNUMBER(SEARCH("lùa",'01_MASTER_DATABASE'!G137)), "Bánh xe trượt chịu lực", "N/A")</f>
        <v/>
      </c>
      <c r="E140" s="113">
        <f>'01_MASTER_DATABASE'!P137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IF(ISNUMBER(SEARCH("quay",'01_MASTER_DATABASE'!G138)), "Bản lề 3D/4D rãnh C", "N/A")</f>
        <v/>
      </c>
      <c r="D141" s="114">
        <f>IF(ISNUMBER(SEARCH("lùa",'01_MASTER_DATABASE'!G138)), "Bánh xe trượt chịu lực", "N/A")</f>
        <v/>
      </c>
      <c r="E141" s="113">
        <f>'01_MASTER_DATABASE'!P138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IF(ISNUMBER(SEARCH("quay",'01_MASTER_DATABASE'!G139)), "Bản lề 3D/4D rãnh C", "N/A")</f>
        <v/>
      </c>
      <c r="D142" s="114">
        <f>IF(ISNUMBER(SEARCH("lùa",'01_MASTER_DATABASE'!G139)), "Bánh xe trượt chịu lực", "N/A")</f>
        <v/>
      </c>
      <c r="E142" s="113">
        <f>'01_MASTER_DATABASE'!P139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IF(ISNUMBER(SEARCH("quay",'01_MASTER_DATABASE'!G140)), "Bản lề 3D/4D rãnh C", "N/A")</f>
        <v/>
      </c>
      <c r="D143" s="114">
        <f>IF(ISNUMBER(SEARCH("lùa",'01_MASTER_DATABASE'!G140)), "Bánh xe trượt chịu lực", "N/A")</f>
        <v/>
      </c>
      <c r="E143" s="113">
        <f>'01_MASTER_DATABASE'!P140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IF(ISNUMBER(SEARCH("quay",'01_MASTER_DATABASE'!G141)), "Bản lề 3D/4D rãnh C", "N/A")</f>
        <v/>
      </c>
      <c r="D144" s="114">
        <f>IF(ISNUMBER(SEARCH("lùa",'01_MASTER_DATABASE'!G141)), "Bánh xe trượt chịu lực", "N/A")</f>
        <v/>
      </c>
      <c r="E144" s="113">
        <f>'01_MASTER_DATABASE'!P141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IF(ISNUMBER(SEARCH("quay",'01_MASTER_DATABASE'!G142)), "Bản lề 3D/4D rãnh C", "N/A")</f>
        <v/>
      </c>
      <c r="D145" s="114">
        <f>IF(ISNUMBER(SEARCH("lùa",'01_MASTER_DATABASE'!G142)), "Bánh xe trượt chịu lực", "N/A")</f>
        <v/>
      </c>
      <c r="E145" s="113">
        <f>'01_MASTER_DATABASE'!P142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IF(ISNUMBER(SEARCH("quay",'01_MASTER_DATABASE'!G143)), "Bản lề 3D/4D rãnh C", "N/A")</f>
        <v/>
      </c>
      <c r="D146" s="114">
        <f>IF(ISNUMBER(SEARCH("lùa",'01_MASTER_DATABASE'!G143)), "Bánh xe trượt chịu lực", "N/A")</f>
        <v/>
      </c>
      <c r="E146" s="113">
        <f>'01_MASTER_DATABASE'!P143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IF(ISNUMBER(SEARCH("quay",'01_MASTER_DATABASE'!G144)), "Bản lề 3D/4D rãnh C", "N/A")</f>
        <v/>
      </c>
      <c r="D147" s="114">
        <f>IF(ISNUMBER(SEARCH("lùa",'01_MASTER_DATABASE'!G144)), "Bánh xe trượt chịu lực", "N/A")</f>
        <v/>
      </c>
      <c r="E147" s="113">
        <f>'01_MASTER_DATABASE'!P144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IF(ISNUMBER(SEARCH("quay",'01_MASTER_DATABASE'!G145)), "Bản lề 3D/4D rãnh C", "N/A")</f>
        <v/>
      </c>
      <c r="D148" s="114">
        <f>IF(ISNUMBER(SEARCH("lùa",'01_MASTER_DATABASE'!G145)), "Bánh xe trượt chịu lực", "N/A")</f>
        <v/>
      </c>
      <c r="E148" s="113">
        <f>'01_MASTER_DATABASE'!P145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IF(ISNUMBER(SEARCH("quay",'01_MASTER_DATABASE'!G146)), "Bản lề 3D/4D rãnh C", "N/A")</f>
        <v/>
      </c>
      <c r="D149" s="114">
        <f>IF(ISNUMBER(SEARCH("lùa",'01_MASTER_DATABASE'!G146)), "Bánh xe trượt chịu lực", "N/A")</f>
        <v/>
      </c>
      <c r="E149" s="113">
        <f>'01_MASTER_DATABASE'!P146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IF(ISNUMBER(SEARCH("quay",'01_MASTER_DATABASE'!G147)), "Bản lề 3D/4D rãnh C", "N/A")</f>
        <v/>
      </c>
      <c r="D150" s="114">
        <f>IF(ISNUMBER(SEARCH("lùa",'01_MASTER_DATABASE'!G147)), "Bánh xe trượt chịu lực", "N/A")</f>
        <v/>
      </c>
      <c r="E150" s="113">
        <f>'01_MASTER_DATABASE'!P147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IF(ISNUMBER(SEARCH("quay",'01_MASTER_DATABASE'!G148)), "Bản lề 3D/4D rãnh C", "N/A")</f>
        <v/>
      </c>
      <c r="D151" s="114">
        <f>IF(ISNUMBER(SEARCH("lùa",'01_MASTER_DATABASE'!G148)), "Bánh xe trượt chịu lực", "N/A")</f>
        <v/>
      </c>
      <c r="E151" s="113">
        <f>'01_MASTER_DATABASE'!P148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IF(ISNUMBER(SEARCH("quay",'01_MASTER_DATABASE'!G149)), "Bản lề 3D/4D rãnh C", "N/A")</f>
        <v/>
      </c>
      <c r="D152" s="114">
        <f>IF(ISNUMBER(SEARCH("lùa",'01_MASTER_DATABASE'!G149)), "Bánh xe trượt chịu lực", "N/A")</f>
        <v/>
      </c>
      <c r="E152" s="113">
        <f>'01_MASTER_DATABASE'!P149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IF(ISNUMBER(SEARCH("quay",'01_MASTER_DATABASE'!G150)), "Bản lề 3D/4D rãnh C", "N/A")</f>
        <v/>
      </c>
      <c r="D153" s="114">
        <f>IF(ISNUMBER(SEARCH("lùa",'01_MASTER_DATABASE'!G150)), "Bánh xe trượt chịu lực", "N/A")</f>
        <v/>
      </c>
      <c r="E153" s="113">
        <f>'01_MASTER_DATABASE'!P150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IF(ISNUMBER(SEARCH("quay",'01_MASTER_DATABASE'!G151)), "Bản lề 3D/4D rãnh C", "N/A")</f>
        <v/>
      </c>
      <c r="D154" s="114">
        <f>IF(ISNUMBER(SEARCH("lùa",'01_MASTER_DATABASE'!G151)), "Bánh xe trượt chịu lực", "N/A")</f>
        <v/>
      </c>
      <c r="E154" s="113">
        <f>'01_MASTER_DATABASE'!P151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IF(ISNUMBER(SEARCH("quay",'01_MASTER_DATABASE'!G152)), "Bản lề 3D/4D rãnh C", "N/A")</f>
        <v/>
      </c>
      <c r="D155" s="114">
        <f>IF(ISNUMBER(SEARCH("lùa",'01_MASTER_DATABASE'!G152)), "Bánh xe trượt chịu lực", "N/A")</f>
        <v/>
      </c>
      <c r="E155" s="113">
        <f>'01_MASTER_DATABASE'!P152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IF(ISNUMBER(SEARCH("quay",'01_MASTER_DATABASE'!G153)), "Bản lề 3D/4D rãnh C", "N/A")</f>
        <v/>
      </c>
      <c r="D156" s="114">
        <f>IF(ISNUMBER(SEARCH("lùa",'01_MASTER_DATABASE'!G153)), "Bánh xe trượt chịu lực", "N/A")</f>
        <v/>
      </c>
      <c r="E156" s="113">
        <f>'01_MASTER_DATABASE'!P153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IF(ISNUMBER(SEARCH("quay",'01_MASTER_DATABASE'!G154)), "Bản lề 3D/4D rãnh C", "N/A")</f>
        <v/>
      </c>
      <c r="D157" s="114">
        <f>IF(ISNUMBER(SEARCH("lùa",'01_MASTER_DATABASE'!G154)), "Bánh xe trượt chịu lực", "N/A")</f>
        <v/>
      </c>
      <c r="E157" s="113">
        <f>'01_MASTER_DATABASE'!P154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IF(ISNUMBER(SEARCH("quay",'01_MASTER_DATABASE'!G155)), "Bản lề 3D/4D rãnh C", "N/A")</f>
        <v/>
      </c>
      <c r="D158" s="114">
        <f>IF(ISNUMBER(SEARCH("lùa",'01_MASTER_DATABASE'!G155)), "Bánh xe trượt chịu lực", "N/A")</f>
        <v/>
      </c>
      <c r="E158" s="113">
        <f>'01_MASTER_DATABASE'!P155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IF(ISNUMBER(SEARCH("quay",'01_MASTER_DATABASE'!G156)), "Bản lề 3D/4D rãnh C", "N/A")</f>
        <v/>
      </c>
      <c r="D159" s="114">
        <f>IF(ISNUMBER(SEARCH("lùa",'01_MASTER_DATABASE'!G156)), "Bánh xe trượt chịu lực", "N/A")</f>
        <v/>
      </c>
      <c r="E159" s="113">
        <f>'01_MASTER_DATABASE'!P156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IF(ISNUMBER(SEARCH("quay",'01_MASTER_DATABASE'!G157)), "Bản lề 3D/4D rãnh C", "N/A")</f>
        <v/>
      </c>
      <c r="D160" s="114">
        <f>IF(ISNUMBER(SEARCH("lùa",'01_MASTER_DATABASE'!G157)), "Bánh xe trượt chịu lực", "N/A")</f>
        <v/>
      </c>
      <c r="E160" s="113">
        <f>'01_MASTER_DATABASE'!P157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IF(ISNUMBER(SEARCH("quay",'01_MASTER_DATABASE'!G158)), "Bản lề 3D/4D rãnh C", "N/A")</f>
        <v/>
      </c>
      <c r="D161" s="114">
        <f>IF(ISNUMBER(SEARCH("lùa",'01_MASTER_DATABASE'!G158)), "Bánh xe trượt chịu lực", "N/A")</f>
        <v/>
      </c>
      <c r="E161" s="113">
        <f>'01_MASTER_DATABASE'!P158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IF(ISNUMBER(SEARCH("quay",'01_MASTER_DATABASE'!G159)), "Bản lề 3D/4D rãnh C", "N/A")</f>
        <v/>
      </c>
      <c r="D162" s="114">
        <f>IF(ISNUMBER(SEARCH("lùa",'01_MASTER_DATABASE'!G159)), "Bánh xe trượt chịu lực", "N/A")</f>
        <v/>
      </c>
      <c r="E162" s="113">
        <f>'01_MASTER_DATABASE'!P159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IF(ISNUMBER(SEARCH("quay",'01_MASTER_DATABASE'!G160)), "Bản lề 3D/4D rãnh C", "N/A")</f>
        <v/>
      </c>
      <c r="D163" s="114">
        <f>IF(ISNUMBER(SEARCH("lùa",'01_MASTER_DATABASE'!G160)), "Bánh xe trượt chịu lực", "N/A")</f>
        <v/>
      </c>
      <c r="E163" s="113">
        <f>'01_MASTER_DATABASE'!P160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IF(ISNUMBER(SEARCH("quay",'01_MASTER_DATABASE'!G161)), "Bản lề 3D/4D rãnh C", "N/A")</f>
        <v/>
      </c>
      <c r="D164" s="114">
        <f>IF(ISNUMBER(SEARCH("lùa",'01_MASTER_DATABASE'!G161)), "Bánh xe trượt chịu lực", "N/A")</f>
        <v/>
      </c>
      <c r="E164" s="113">
        <f>'01_MASTER_DATABASE'!P161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IF(ISNUMBER(SEARCH("quay",'01_MASTER_DATABASE'!G162)), "Bản lề 3D/4D rãnh C", "N/A")</f>
        <v/>
      </c>
      <c r="D165" s="114">
        <f>IF(ISNUMBER(SEARCH("lùa",'01_MASTER_DATABASE'!G162)), "Bánh xe trượt chịu lực", "N/A")</f>
        <v/>
      </c>
      <c r="E165" s="113">
        <f>'01_MASTER_DATABASE'!P162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IF(ISNUMBER(SEARCH("quay",'01_MASTER_DATABASE'!G163)), "Bản lề 3D/4D rãnh C", "N/A")</f>
        <v/>
      </c>
      <c r="D166" s="114">
        <f>IF(ISNUMBER(SEARCH("lùa",'01_MASTER_DATABASE'!G163)), "Bánh xe trượt chịu lực", "N/A")</f>
        <v/>
      </c>
      <c r="E166" s="113">
        <f>'01_MASTER_DATABASE'!P163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IF(ISNUMBER(SEARCH("quay",'01_MASTER_DATABASE'!G164)), "Bản lề 3D/4D rãnh C", "N/A")</f>
        <v/>
      </c>
      <c r="D167" s="114">
        <f>IF(ISNUMBER(SEARCH("lùa",'01_MASTER_DATABASE'!G164)), "Bánh xe trượt chịu lực", "N/A")</f>
        <v/>
      </c>
      <c r="E167" s="113">
        <f>'01_MASTER_DATABASE'!P164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IF(ISNUMBER(SEARCH("quay",'01_MASTER_DATABASE'!G165)), "Bản lề 3D/4D rãnh C", "N/A")</f>
        <v/>
      </c>
      <c r="D168" s="114">
        <f>IF(ISNUMBER(SEARCH("lùa",'01_MASTER_DATABASE'!G165)), "Bánh xe trượt chịu lực", "N/A")</f>
        <v/>
      </c>
      <c r="E168" s="113">
        <f>'01_MASTER_DATABASE'!P165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IF(ISNUMBER(SEARCH("quay",'01_MASTER_DATABASE'!G166)), "Bản lề 3D/4D rãnh C", "N/A")</f>
        <v/>
      </c>
      <c r="D169" s="114">
        <f>IF(ISNUMBER(SEARCH("lùa",'01_MASTER_DATABASE'!G166)), "Bánh xe trượt chịu lực", "N/A")</f>
        <v/>
      </c>
      <c r="E169" s="113">
        <f>'01_MASTER_DATABASE'!P166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IF(ISNUMBER(SEARCH("quay",'01_MASTER_DATABASE'!G167)), "Bản lề 3D/4D rãnh C", "N/A")</f>
        <v/>
      </c>
      <c r="D170" s="114">
        <f>IF(ISNUMBER(SEARCH("lùa",'01_MASTER_DATABASE'!G167)), "Bánh xe trượt chịu lực", "N/A")</f>
        <v/>
      </c>
      <c r="E170" s="113">
        <f>'01_MASTER_DATABASE'!P167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IF(ISNUMBER(SEARCH("quay",'01_MASTER_DATABASE'!G168)), "Bản lề 3D/4D rãnh C", "N/A")</f>
        <v/>
      </c>
      <c r="D171" s="114">
        <f>IF(ISNUMBER(SEARCH("lùa",'01_MASTER_DATABASE'!G168)), "Bánh xe trượt chịu lực", "N/A")</f>
        <v/>
      </c>
      <c r="E171" s="113">
        <f>'01_MASTER_DATABASE'!P168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IF(ISNUMBER(SEARCH("quay",'01_MASTER_DATABASE'!G169)), "Bản lề 3D/4D rãnh C", "N/A")</f>
        <v/>
      </c>
      <c r="D172" s="114">
        <f>IF(ISNUMBER(SEARCH("lùa",'01_MASTER_DATABASE'!G169)), "Bánh xe trượt chịu lực", "N/A")</f>
        <v/>
      </c>
      <c r="E172" s="113">
        <f>'01_MASTER_DATABASE'!P169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IF(ISNUMBER(SEARCH("quay",'01_MASTER_DATABASE'!G170)), "Bản lề 3D/4D rãnh C", "N/A")</f>
        <v/>
      </c>
      <c r="D173" s="114">
        <f>IF(ISNUMBER(SEARCH("lùa",'01_MASTER_DATABASE'!G170)), "Bánh xe trượt chịu lực", "N/A")</f>
        <v/>
      </c>
      <c r="E173" s="113">
        <f>'01_MASTER_DATABASE'!P170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IF(ISNUMBER(SEARCH("quay",'01_MASTER_DATABASE'!G171)), "Bản lề 3D/4D rãnh C", "N/A")</f>
        <v/>
      </c>
      <c r="D174" s="114">
        <f>IF(ISNUMBER(SEARCH("lùa",'01_MASTER_DATABASE'!G171)), "Bánh xe trượt chịu lực", "N/A")</f>
        <v/>
      </c>
      <c r="E174" s="113">
        <f>'01_MASTER_DATABASE'!P171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IF(ISNUMBER(SEARCH("quay",'01_MASTER_DATABASE'!G172)), "Bản lề 3D/4D rãnh C", "N/A")</f>
        <v/>
      </c>
      <c r="D175" s="114">
        <f>IF(ISNUMBER(SEARCH("lùa",'01_MASTER_DATABASE'!G172)), "Bánh xe trượt chịu lực", "N/A")</f>
        <v/>
      </c>
      <c r="E175" s="113">
        <f>'01_MASTER_DATABASE'!P172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IF(ISNUMBER(SEARCH("quay",'01_MASTER_DATABASE'!G173)), "Bản lề 3D/4D rãnh C", "N/A")</f>
        <v/>
      </c>
      <c r="D176" s="114">
        <f>IF(ISNUMBER(SEARCH("lùa",'01_MASTER_DATABASE'!G173)), "Bánh xe trượt chịu lực", "N/A")</f>
        <v/>
      </c>
      <c r="E176" s="113">
        <f>'01_MASTER_DATABASE'!P173</f>
        <v/>
      </c>
    </row>
  </sheetData>
  <mergeCells count="1">
    <mergeCell ref="A1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0" customHeight="1">
      <c r="A1" s="109" t="inlineStr">
        <is>
          <t>ĐÁNH GIÁ CHỈ SỐ HIỆU NĂNG (CÁCH ÂM, CÁCH NHIỆT, CHỐNG GIÓ, NƯỚC)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Khả Năng Cách Âm</t>
        </is>
      </c>
      <c r="D4" s="110" t="inlineStr">
        <is>
          <t>Khả Năng Cách Nhiệt</t>
        </is>
      </c>
      <c r="E4" s="110" t="inlineStr">
        <is>
          <t>Khả Năng Chống Gió</t>
        </is>
      </c>
      <c r="F4" s="110" t="inlineStr">
        <is>
          <t>Kín Nước</t>
        </is>
      </c>
      <c r="G4" s="110" t="inlineStr">
        <is>
          <t>Kín Khí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IF(OR(ISNUMBER(SEARCH("Thermal",'01_MASTER_DATABASE'!B2)),ISNUMBER(SEARCH("cầu",'01_MASTER_DATABASE'!B2)),ISNUMBER(SEARCH("uPVC",'01_MASTER_DATABASE'!B2))),"Xuất sắc (&gt;=40dB)","Tốt (&gt;=30dB)")</f>
        <v/>
      </c>
      <c r="D5" s="114">
        <f>IF(OR(ISNUMBER(SEARCH("Thermal",'01_MASTER_DATABASE'!B2)),ISNUMBER(SEARCH("cầu",'01_MASTER_DATABASE'!B2)),ISNUMBER(SEARCH("uPVC",'01_MASTER_DATABASE'!B2))),"Xuất sắc (Uf &lt;= 1.6)","Trung bình (Không cầu)")</f>
        <v/>
      </c>
      <c r="E5" s="114">
        <f>IF(OR(ISNUMBER(SEARCH("Thermal",'01_MASTER_DATABASE'!B2)),ISNUMBER(SEARCH("cầu",'01_MASTER_DATABASE'!B2)),ISNUMBER(SEARCH("uPVC",'01_MASTER_DATABASE'!B2))),"Class 4 (Đến 2000 Pa)","Class 3 (Đến 1500 Pa)")</f>
        <v/>
      </c>
      <c r="F5" s="114">
        <f>IF(OR(ISNUMBER(SEARCH("Thermal",'01_MASTER_DATABASE'!B2)),ISNUMBER(SEARCH("cầu",'01_MASTER_DATABASE'!B2)),ISNUMBER(SEARCH("uPVC",'01_MASTER_DATABASE'!B2))),"Tuyệt đối (Class 9A)","Tốt (Class 7A)")</f>
        <v/>
      </c>
      <c r="G5" s="114">
        <f>IF(OR(ISNUMBER(SEARCH("Thermal",'01_MASTER_DATABASE'!B2)),ISNUMBER(SEARCH("cầu",'01_MASTER_DATABASE'!B2)),ISNUMBER(SEARCH("uPVC",'01_MASTER_DATABASE'!B2))),"Tuyệt đối (Class 4)","Tốt (Class 3)")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IF(OR(ISNUMBER(SEARCH("Thermal",'01_MASTER_DATABASE'!B3)),ISNUMBER(SEARCH("cầu",'01_MASTER_DATABASE'!B3)),ISNUMBER(SEARCH("uPVC",'01_MASTER_DATABASE'!B3))),"Xuất sắc (&gt;=40dB)","Tốt (&gt;=30dB)")</f>
        <v/>
      </c>
      <c r="D6" s="114">
        <f>IF(OR(ISNUMBER(SEARCH("Thermal",'01_MASTER_DATABASE'!B3)),ISNUMBER(SEARCH("cầu",'01_MASTER_DATABASE'!B3)),ISNUMBER(SEARCH("uPVC",'01_MASTER_DATABASE'!B3))),"Xuất sắc (Uf &lt;= 1.6)","Trung bình (Không cầu)")</f>
        <v/>
      </c>
      <c r="E6" s="114">
        <f>IF(OR(ISNUMBER(SEARCH("Thermal",'01_MASTER_DATABASE'!B3)),ISNUMBER(SEARCH("cầu",'01_MASTER_DATABASE'!B3)),ISNUMBER(SEARCH("uPVC",'01_MASTER_DATABASE'!B3))),"Class 4 (Đến 2000 Pa)","Class 3 (Đến 1500 Pa)")</f>
        <v/>
      </c>
      <c r="F6" s="114">
        <f>IF(OR(ISNUMBER(SEARCH("Thermal",'01_MASTER_DATABASE'!B3)),ISNUMBER(SEARCH("cầu",'01_MASTER_DATABASE'!B3)),ISNUMBER(SEARCH("uPVC",'01_MASTER_DATABASE'!B3))),"Tuyệt đối (Class 9A)","Tốt (Class 7A)")</f>
        <v/>
      </c>
      <c r="G6" s="114">
        <f>IF(OR(ISNUMBER(SEARCH("Thermal",'01_MASTER_DATABASE'!B3)),ISNUMBER(SEARCH("cầu",'01_MASTER_DATABASE'!B3)),ISNUMBER(SEARCH("uPVC",'01_MASTER_DATABASE'!B3))),"Tuyệt đối (Class 4)","Tốt (Class 3)")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IF(OR(ISNUMBER(SEARCH("Thermal",'01_MASTER_DATABASE'!B4)),ISNUMBER(SEARCH("cầu",'01_MASTER_DATABASE'!B4)),ISNUMBER(SEARCH("uPVC",'01_MASTER_DATABASE'!B4))),"Xuất sắc (&gt;=40dB)","Tốt (&gt;=30dB)")</f>
        <v/>
      </c>
      <c r="D7" s="114">
        <f>IF(OR(ISNUMBER(SEARCH("Thermal",'01_MASTER_DATABASE'!B4)),ISNUMBER(SEARCH("cầu",'01_MASTER_DATABASE'!B4)),ISNUMBER(SEARCH("uPVC",'01_MASTER_DATABASE'!B4))),"Xuất sắc (Uf &lt;= 1.6)","Trung bình (Không cầu)")</f>
        <v/>
      </c>
      <c r="E7" s="114">
        <f>IF(OR(ISNUMBER(SEARCH("Thermal",'01_MASTER_DATABASE'!B4)),ISNUMBER(SEARCH("cầu",'01_MASTER_DATABASE'!B4)),ISNUMBER(SEARCH("uPVC",'01_MASTER_DATABASE'!B4))),"Class 4 (Đến 2000 Pa)","Class 3 (Đến 1500 Pa)")</f>
        <v/>
      </c>
      <c r="F7" s="114">
        <f>IF(OR(ISNUMBER(SEARCH("Thermal",'01_MASTER_DATABASE'!B4)),ISNUMBER(SEARCH("cầu",'01_MASTER_DATABASE'!B4)),ISNUMBER(SEARCH("uPVC",'01_MASTER_DATABASE'!B4))),"Tuyệt đối (Class 9A)","Tốt (Class 7A)")</f>
        <v/>
      </c>
      <c r="G7" s="114">
        <f>IF(OR(ISNUMBER(SEARCH("Thermal",'01_MASTER_DATABASE'!B4)),ISNUMBER(SEARCH("cầu",'01_MASTER_DATABASE'!B4)),ISNUMBER(SEARCH("uPVC",'01_MASTER_DATABASE'!B4))),"Tuyệt đối (Class 4)","Tốt (Class 3)")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IF(OR(ISNUMBER(SEARCH("Thermal",'01_MASTER_DATABASE'!B5)),ISNUMBER(SEARCH("cầu",'01_MASTER_DATABASE'!B5)),ISNUMBER(SEARCH("uPVC",'01_MASTER_DATABASE'!B5))),"Xuất sắc (&gt;=40dB)","Tốt (&gt;=30dB)")</f>
        <v/>
      </c>
      <c r="D8" s="114">
        <f>IF(OR(ISNUMBER(SEARCH("Thermal",'01_MASTER_DATABASE'!B5)),ISNUMBER(SEARCH("cầu",'01_MASTER_DATABASE'!B5)),ISNUMBER(SEARCH("uPVC",'01_MASTER_DATABASE'!B5))),"Xuất sắc (Uf &lt;= 1.6)","Trung bình (Không cầu)")</f>
        <v/>
      </c>
      <c r="E8" s="114">
        <f>IF(OR(ISNUMBER(SEARCH("Thermal",'01_MASTER_DATABASE'!B5)),ISNUMBER(SEARCH("cầu",'01_MASTER_DATABASE'!B5)),ISNUMBER(SEARCH("uPVC",'01_MASTER_DATABASE'!B5))),"Class 4 (Đến 2000 Pa)","Class 3 (Đến 1500 Pa)")</f>
        <v/>
      </c>
      <c r="F8" s="114">
        <f>IF(OR(ISNUMBER(SEARCH("Thermal",'01_MASTER_DATABASE'!B5)),ISNUMBER(SEARCH("cầu",'01_MASTER_DATABASE'!B5)),ISNUMBER(SEARCH("uPVC",'01_MASTER_DATABASE'!B5))),"Tuyệt đối (Class 9A)","Tốt (Class 7A)")</f>
        <v/>
      </c>
      <c r="G8" s="114">
        <f>IF(OR(ISNUMBER(SEARCH("Thermal",'01_MASTER_DATABASE'!B5)),ISNUMBER(SEARCH("cầu",'01_MASTER_DATABASE'!B5)),ISNUMBER(SEARCH("uPVC",'01_MASTER_DATABASE'!B5))),"Tuyệt đối (Class 4)","Tốt (Class 3)")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IF(OR(ISNUMBER(SEARCH("Thermal",'01_MASTER_DATABASE'!B6)),ISNUMBER(SEARCH("cầu",'01_MASTER_DATABASE'!B6)),ISNUMBER(SEARCH("uPVC",'01_MASTER_DATABASE'!B6))),"Xuất sắc (&gt;=40dB)","Tốt (&gt;=30dB)")</f>
        <v/>
      </c>
      <c r="D9" s="114">
        <f>IF(OR(ISNUMBER(SEARCH("Thermal",'01_MASTER_DATABASE'!B6)),ISNUMBER(SEARCH("cầu",'01_MASTER_DATABASE'!B6)),ISNUMBER(SEARCH("uPVC",'01_MASTER_DATABASE'!B6))),"Xuất sắc (Uf &lt;= 1.6)","Trung bình (Không cầu)")</f>
        <v/>
      </c>
      <c r="E9" s="114">
        <f>IF(OR(ISNUMBER(SEARCH("Thermal",'01_MASTER_DATABASE'!B6)),ISNUMBER(SEARCH("cầu",'01_MASTER_DATABASE'!B6)),ISNUMBER(SEARCH("uPVC",'01_MASTER_DATABASE'!B6))),"Class 4 (Đến 2000 Pa)","Class 3 (Đến 1500 Pa)")</f>
        <v/>
      </c>
      <c r="F9" s="114">
        <f>IF(OR(ISNUMBER(SEARCH("Thermal",'01_MASTER_DATABASE'!B6)),ISNUMBER(SEARCH("cầu",'01_MASTER_DATABASE'!B6)),ISNUMBER(SEARCH("uPVC",'01_MASTER_DATABASE'!B6))),"Tuyệt đối (Class 9A)","Tốt (Class 7A)")</f>
        <v/>
      </c>
      <c r="G9" s="114">
        <f>IF(OR(ISNUMBER(SEARCH("Thermal",'01_MASTER_DATABASE'!B6)),ISNUMBER(SEARCH("cầu",'01_MASTER_DATABASE'!B6)),ISNUMBER(SEARCH("uPVC",'01_MASTER_DATABASE'!B6))),"Tuyệt đối (Class 4)","Tốt (Class 3)")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IF(OR(ISNUMBER(SEARCH("Thermal",'01_MASTER_DATABASE'!B7)),ISNUMBER(SEARCH("cầu",'01_MASTER_DATABASE'!B7)),ISNUMBER(SEARCH("uPVC",'01_MASTER_DATABASE'!B7))),"Xuất sắc (&gt;=40dB)","Tốt (&gt;=30dB)")</f>
        <v/>
      </c>
      <c r="D10" s="114">
        <f>IF(OR(ISNUMBER(SEARCH("Thermal",'01_MASTER_DATABASE'!B7)),ISNUMBER(SEARCH("cầu",'01_MASTER_DATABASE'!B7)),ISNUMBER(SEARCH("uPVC",'01_MASTER_DATABASE'!B7))),"Xuất sắc (Uf &lt;= 1.6)","Trung bình (Không cầu)")</f>
        <v/>
      </c>
      <c r="E10" s="114">
        <f>IF(OR(ISNUMBER(SEARCH("Thermal",'01_MASTER_DATABASE'!B7)),ISNUMBER(SEARCH("cầu",'01_MASTER_DATABASE'!B7)),ISNUMBER(SEARCH("uPVC",'01_MASTER_DATABASE'!B7))),"Class 4 (Đến 2000 Pa)","Class 3 (Đến 1500 Pa)")</f>
        <v/>
      </c>
      <c r="F10" s="114">
        <f>IF(OR(ISNUMBER(SEARCH("Thermal",'01_MASTER_DATABASE'!B7)),ISNUMBER(SEARCH("cầu",'01_MASTER_DATABASE'!B7)),ISNUMBER(SEARCH("uPVC",'01_MASTER_DATABASE'!B7))),"Tuyệt đối (Class 9A)","Tốt (Class 7A)")</f>
        <v/>
      </c>
      <c r="G10" s="114">
        <f>IF(OR(ISNUMBER(SEARCH("Thermal",'01_MASTER_DATABASE'!B7)),ISNUMBER(SEARCH("cầu",'01_MASTER_DATABASE'!B7)),ISNUMBER(SEARCH("uPVC",'01_MASTER_DATABASE'!B7))),"Tuyệt đối (Class 4)","Tốt (Class 3)")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IF(OR(ISNUMBER(SEARCH("Thermal",'01_MASTER_DATABASE'!B8)),ISNUMBER(SEARCH("cầu",'01_MASTER_DATABASE'!B8)),ISNUMBER(SEARCH("uPVC",'01_MASTER_DATABASE'!B8))),"Xuất sắc (&gt;=40dB)","Tốt (&gt;=30dB)")</f>
        <v/>
      </c>
      <c r="D11" s="114">
        <f>IF(OR(ISNUMBER(SEARCH("Thermal",'01_MASTER_DATABASE'!B8)),ISNUMBER(SEARCH("cầu",'01_MASTER_DATABASE'!B8)),ISNUMBER(SEARCH("uPVC",'01_MASTER_DATABASE'!B8))),"Xuất sắc (Uf &lt;= 1.6)","Trung bình (Không cầu)")</f>
        <v/>
      </c>
      <c r="E11" s="114">
        <f>IF(OR(ISNUMBER(SEARCH("Thermal",'01_MASTER_DATABASE'!B8)),ISNUMBER(SEARCH("cầu",'01_MASTER_DATABASE'!B8)),ISNUMBER(SEARCH("uPVC",'01_MASTER_DATABASE'!B8))),"Class 4 (Đến 2000 Pa)","Class 3 (Đến 1500 Pa)")</f>
        <v/>
      </c>
      <c r="F11" s="114">
        <f>IF(OR(ISNUMBER(SEARCH("Thermal",'01_MASTER_DATABASE'!B8)),ISNUMBER(SEARCH("cầu",'01_MASTER_DATABASE'!B8)),ISNUMBER(SEARCH("uPVC",'01_MASTER_DATABASE'!B8))),"Tuyệt đối (Class 9A)","Tốt (Class 7A)")</f>
        <v/>
      </c>
      <c r="G11" s="114">
        <f>IF(OR(ISNUMBER(SEARCH("Thermal",'01_MASTER_DATABASE'!B8)),ISNUMBER(SEARCH("cầu",'01_MASTER_DATABASE'!B8)),ISNUMBER(SEARCH("uPVC",'01_MASTER_DATABASE'!B8))),"Tuyệt đối (Class 4)","Tốt (Class 3)")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IF(OR(ISNUMBER(SEARCH("Thermal",'01_MASTER_DATABASE'!B9)),ISNUMBER(SEARCH("cầu",'01_MASTER_DATABASE'!B9)),ISNUMBER(SEARCH("uPVC",'01_MASTER_DATABASE'!B9))),"Xuất sắc (&gt;=40dB)","Tốt (&gt;=30dB)")</f>
        <v/>
      </c>
      <c r="D12" s="114">
        <f>IF(OR(ISNUMBER(SEARCH("Thermal",'01_MASTER_DATABASE'!B9)),ISNUMBER(SEARCH("cầu",'01_MASTER_DATABASE'!B9)),ISNUMBER(SEARCH("uPVC",'01_MASTER_DATABASE'!B9))),"Xuất sắc (Uf &lt;= 1.6)","Trung bình (Không cầu)")</f>
        <v/>
      </c>
      <c r="E12" s="114">
        <f>IF(OR(ISNUMBER(SEARCH("Thermal",'01_MASTER_DATABASE'!B9)),ISNUMBER(SEARCH("cầu",'01_MASTER_DATABASE'!B9)),ISNUMBER(SEARCH("uPVC",'01_MASTER_DATABASE'!B9))),"Class 4 (Đến 2000 Pa)","Class 3 (Đến 1500 Pa)")</f>
        <v/>
      </c>
      <c r="F12" s="114">
        <f>IF(OR(ISNUMBER(SEARCH("Thermal",'01_MASTER_DATABASE'!B9)),ISNUMBER(SEARCH("cầu",'01_MASTER_DATABASE'!B9)),ISNUMBER(SEARCH("uPVC",'01_MASTER_DATABASE'!B9))),"Tuyệt đối (Class 9A)","Tốt (Class 7A)")</f>
        <v/>
      </c>
      <c r="G12" s="114">
        <f>IF(OR(ISNUMBER(SEARCH("Thermal",'01_MASTER_DATABASE'!B9)),ISNUMBER(SEARCH("cầu",'01_MASTER_DATABASE'!B9)),ISNUMBER(SEARCH("uPVC",'01_MASTER_DATABASE'!B9))),"Tuyệt đối (Class 4)","Tốt (Class 3)")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IF(OR(ISNUMBER(SEARCH("Thermal",'01_MASTER_DATABASE'!B10)),ISNUMBER(SEARCH("cầu",'01_MASTER_DATABASE'!B10)),ISNUMBER(SEARCH("uPVC",'01_MASTER_DATABASE'!B10))),"Xuất sắc (&gt;=40dB)","Tốt (&gt;=30dB)")</f>
        <v/>
      </c>
      <c r="D13" s="114">
        <f>IF(OR(ISNUMBER(SEARCH("Thermal",'01_MASTER_DATABASE'!B10)),ISNUMBER(SEARCH("cầu",'01_MASTER_DATABASE'!B10)),ISNUMBER(SEARCH("uPVC",'01_MASTER_DATABASE'!B10))),"Xuất sắc (Uf &lt;= 1.6)","Trung bình (Không cầu)")</f>
        <v/>
      </c>
      <c r="E13" s="114">
        <f>IF(OR(ISNUMBER(SEARCH("Thermal",'01_MASTER_DATABASE'!B10)),ISNUMBER(SEARCH("cầu",'01_MASTER_DATABASE'!B10)),ISNUMBER(SEARCH("uPVC",'01_MASTER_DATABASE'!B10))),"Class 4 (Đến 2000 Pa)","Class 3 (Đến 1500 Pa)")</f>
        <v/>
      </c>
      <c r="F13" s="114">
        <f>IF(OR(ISNUMBER(SEARCH("Thermal",'01_MASTER_DATABASE'!B10)),ISNUMBER(SEARCH("cầu",'01_MASTER_DATABASE'!B10)),ISNUMBER(SEARCH("uPVC",'01_MASTER_DATABASE'!B10))),"Tuyệt đối (Class 9A)","Tốt (Class 7A)")</f>
        <v/>
      </c>
      <c r="G13" s="114">
        <f>IF(OR(ISNUMBER(SEARCH("Thermal",'01_MASTER_DATABASE'!B10)),ISNUMBER(SEARCH("cầu",'01_MASTER_DATABASE'!B10)),ISNUMBER(SEARCH("uPVC",'01_MASTER_DATABASE'!B10))),"Tuyệt đối (Class 4)","Tốt (Class 3)")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IF(OR(ISNUMBER(SEARCH("Thermal",'01_MASTER_DATABASE'!B11)),ISNUMBER(SEARCH("cầu",'01_MASTER_DATABASE'!B11)),ISNUMBER(SEARCH("uPVC",'01_MASTER_DATABASE'!B11))),"Xuất sắc (&gt;=40dB)","Tốt (&gt;=30dB)")</f>
        <v/>
      </c>
      <c r="D14" s="114">
        <f>IF(OR(ISNUMBER(SEARCH("Thermal",'01_MASTER_DATABASE'!B11)),ISNUMBER(SEARCH("cầu",'01_MASTER_DATABASE'!B11)),ISNUMBER(SEARCH("uPVC",'01_MASTER_DATABASE'!B11))),"Xuất sắc (Uf &lt;= 1.6)","Trung bình (Không cầu)")</f>
        <v/>
      </c>
      <c r="E14" s="114">
        <f>IF(OR(ISNUMBER(SEARCH("Thermal",'01_MASTER_DATABASE'!B11)),ISNUMBER(SEARCH("cầu",'01_MASTER_DATABASE'!B11)),ISNUMBER(SEARCH("uPVC",'01_MASTER_DATABASE'!B11))),"Class 4 (Đến 2000 Pa)","Class 3 (Đến 1500 Pa)")</f>
        <v/>
      </c>
      <c r="F14" s="114">
        <f>IF(OR(ISNUMBER(SEARCH("Thermal",'01_MASTER_DATABASE'!B11)),ISNUMBER(SEARCH("cầu",'01_MASTER_DATABASE'!B11)),ISNUMBER(SEARCH("uPVC",'01_MASTER_DATABASE'!B11))),"Tuyệt đối (Class 9A)","Tốt (Class 7A)")</f>
        <v/>
      </c>
      <c r="G14" s="114">
        <f>IF(OR(ISNUMBER(SEARCH("Thermal",'01_MASTER_DATABASE'!B11)),ISNUMBER(SEARCH("cầu",'01_MASTER_DATABASE'!B11)),ISNUMBER(SEARCH("uPVC",'01_MASTER_DATABASE'!B11))),"Tuyệt đối (Class 4)","Tốt (Class 3)")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IF(OR(ISNUMBER(SEARCH("Thermal",'01_MASTER_DATABASE'!B12)),ISNUMBER(SEARCH("cầu",'01_MASTER_DATABASE'!B12)),ISNUMBER(SEARCH("uPVC",'01_MASTER_DATABASE'!B12))),"Xuất sắc (&gt;=40dB)","Tốt (&gt;=30dB)")</f>
        <v/>
      </c>
      <c r="D15" s="114">
        <f>IF(OR(ISNUMBER(SEARCH("Thermal",'01_MASTER_DATABASE'!B12)),ISNUMBER(SEARCH("cầu",'01_MASTER_DATABASE'!B12)),ISNUMBER(SEARCH("uPVC",'01_MASTER_DATABASE'!B12))),"Xuất sắc (Uf &lt;= 1.6)","Trung bình (Không cầu)")</f>
        <v/>
      </c>
      <c r="E15" s="114">
        <f>IF(OR(ISNUMBER(SEARCH("Thermal",'01_MASTER_DATABASE'!B12)),ISNUMBER(SEARCH("cầu",'01_MASTER_DATABASE'!B12)),ISNUMBER(SEARCH("uPVC",'01_MASTER_DATABASE'!B12))),"Class 4 (Đến 2000 Pa)","Class 3 (Đến 1500 Pa)")</f>
        <v/>
      </c>
      <c r="F15" s="114">
        <f>IF(OR(ISNUMBER(SEARCH("Thermal",'01_MASTER_DATABASE'!B12)),ISNUMBER(SEARCH("cầu",'01_MASTER_DATABASE'!B12)),ISNUMBER(SEARCH("uPVC",'01_MASTER_DATABASE'!B12))),"Tuyệt đối (Class 9A)","Tốt (Class 7A)")</f>
        <v/>
      </c>
      <c r="G15" s="114">
        <f>IF(OR(ISNUMBER(SEARCH("Thermal",'01_MASTER_DATABASE'!B12)),ISNUMBER(SEARCH("cầu",'01_MASTER_DATABASE'!B12)),ISNUMBER(SEARCH("uPVC",'01_MASTER_DATABASE'!B12))),"Tuyệt đối (Class 4)","Tốt (Class 3)")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IF(OR(ISNUMBER(SEARCH("Thermal",'01_MASTER_DATABASE'!B13)),ISNUMBER(SEARCH("cầu",'01_MASTER_DATABASE'!B13)),ISNUMBER(SEARCH("uPVC",'01_MASTER_DATABASE'!B13))),"Xuất sắc (&gt;=40dB)","Tốt (&gt;=30dB)")</f>
        <v/>
      </c>
      <c r="D16" s="114">
        <f>IF(OR(ISNUMBER(SEARCH("Thermal",'01_MASTER_DATABASE'!B13)),ISNUMBER(SEARCH("cầu",'01_MASTER_DATABASE'!B13)),ISNUMBER(SEARCH("uPVC",'01_MASTER_DATABASE'!B13))),"Xuất sắc (Uf &lt;= 1.6)","Trung bình (Không cầu)")</f>
        <v/>
      </c>
      <c r="E16" s="114">
        <f>IF(OR(ISNUMBER(SEARCH("Thermal",'01_MASTER_DATABASE'!B13)),ISNUMBER(SEARCH("cầu",'01_MASTER_DATABASE'!B13)),ISNUMBER(SEARCH("uPVC",'01_MASTER_DATABASE'!B13))),"Class 4 (Đến 2000 Pa)","Class 3 (Đến 1500 Pa)")</f>
        <v/>
      </c>
      <c r="F16" s="114">
        <f>IF(OR(ISNUMBER(SEARCH("Thermal",'01_MASTER_DATABASE'!B13)),ISNUMBER(SEARCH("cầu",'01_MASTER_DATABASE'!B13)),ISNUMBER(SEARCH("uPVC",'01_MASTER_DATABASE'!B13))),"Tuyệt đối (Class 9A)","Tốt (Class 7A)")</f>
        <v/>
      </c>
      <c r="G16" s="114">
        <f>IF(OR(ISNUMBER(SEARCH("Thermal",'01_MASTER_DATABASE'!B13)),ISNUMBER(SEARCH("cầu",'01_MASTER_DATABASE'!B13)),ISNUMBER(SEARCH("uPVC",'01_MASTER_DATABASE'!B13))),"Tuyệt đối (Class 4)","Tốt (Class 3)")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IF(OR(ISNUMBER(SEARCH("Thermal",'01_MASTER_DATABASE'!B14)),ISNUMBER(SEARCH("cầu",'01_MASTER_DATABASE'!B14)),ISNUMBER(SEARCH("uPVC",'01_MASTER_DATABASE'!B14))),"Xuất sắc (&gt;=40dB)","Tốt (&gt;=30dB)")</f>
        <v/>
      </c>
      <c r="D17" s="114">
        <f>IF(OR(ISNUMBER(SEARCH("Thermal",'01_MASTER_DATABASE'!B14)),ISNUMBER(SEARCH("cầu",'01_MASTER_DATABASE'!B14)),ISNUMBER(SEARCH("uPVC",'01_MASTER_DATABASE'!B14))),"Xuất sắc (Uf &lt;= 1.6)","Trung bình (Không cầu)")</f>
        <v/>
      </c>
      <c r="E17" s="114">
        <f>IF(OR(ISNUMBER(SEARCH("Thermal",'01_MASTER_DATABASE'!B14)),ISNUMBER(SEARCH("cầu",'01_MASTER_DATABASE'!B14)),ISNUMBER(SEARCH("uPVC",'01_MASTER_DATABASE'!B14))),"Class 4 (Đến 2000 Pa)","Class 3 (Đến 1500 Pa)")</f>
        <v/>
      </c>
      <c r="F17" s="114">
        <f>IF(OR(ISNUMBER(SEARCH("Thermal",'01_MASTER_DATABASE'!B14)),ISNUMBER(SEARCH("cầu",'01_MASTER_DATABASE'!B14)),ISNUMBER(SEARCH("uPVC",'01_MASTER_DATABASE'!B14))),"Tuyệt đối (Class 9A)","Tốt (Class 7A)")</f>
        <v/>
      </c>
      <c r="G17" s="114">
        <f>IF(OR(ISNUMBER(SEARCH("Thermal",'01_MASTER_DATABASE'!B14)),ISNUMBER(SEARCH("cầu",'01_MASTER_DATABASE'!B14)),ISNUMBER(SEARCH("uPVC",'01_MASTER_DATABASE'!B14))),"Tuyệt đối (Class 4)","Tốt (Class 3)")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IF(OR(ISNUMBER(SEARCH("Thermal",'01_MASTER_DATABASE'!B15)),ISNUMBER(SEARCH("cầu",'01_MASTER_DATABASE'!B15)),ISNUMBER(SEARCH("uPVC",'01_MASTER_DATABASE'!B15))),"Xuất sắc (&gt;=40dB)","Tốt (&gt;=30dB)")</f>
        <v/>
      </c>
      <c r="D18" s="114">
        <f>IF(OR(ISNUMBER(SEARCH("Thermal",'01_MASTER_DATABASE'!B15)),ISNUMBER(SEARCH("cầu",'01_MASTER_DATABASE'!B15)),ISNUMBER(SEARCH("uPVC",'01_MASTER_DATABASE'!B15))),"Xuất sắc (Uf &lt;= 1.6)","Trung bình (Không cầu)")</f>
        <v/>
      </c>
      <c r="E18" s="114">
        <f>IF(OR(ISNUMBER(SEARCH("Thermal",'01_MASTER_DATABASE'!B15)),ISNUMBER(SEARCH("cầu",'01_MASTER_DATABASE'!B15)),ISNUMBER(SEARCH("uPVC",'01_MASTER_DATABASE'!B15))),"Class 4 (Đến 2000 Pa)","Class 3 (Đến 1500 Pa)")</f>
        <v/>
      </c>
      <c r="F18" s="114">
        <f>IF(OR(ISNUMBER(SEARCH("Thermal",'01_MASTER_DATABASE'!B15)),ISNUMBER(SEARCH("cầu",'01_MASTER_DATABASE'!B15)),ISNUMBER(SEARCH("uPVC",'01_MASTER_DATABASE'!B15))),"Tuyệt đối (Class 9A)","Tốt (Class 7A)")</f>
        <v/>
      </c>
      <c r="G18" s="114">
        <f>IF(OR(ISNUMBER(SEARCH("Thermal",'01_MASTER_DATABASE'!B15)),ISNUMBER(SEARCH("cầu",'01_MASTER_DATABASE'!B15)),ISNUMBER(SEARCH("uPVC",'01_MASTER_DATABASE'!B15))),"Tuyệt đối (Class 4)","Tốt (Class 3)")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IF(OR(ISNUMBER(SEARCH("Thermal",'01_MASTER_DATABASE'!B16)),ISNUMBER(SEARCH("cầu",'01_MASTER_DATABASE'!B16)),ISNUMBER(SEARCH("uPVC",'01_MASTER_DATABASE'!B16))),"Xuất sắc (&gt;=40dB)","Tốt (&gt;=30dB)")</f>
        <v/>
      </c>
      <c r="D19" s="114">
        <f>IF(OR(ISNUMBER(SEARCH("Thermal",'01_MASTER_DATABASE'!B16)),ISNUMBER(SEARCH("cầu",'01_MASTER_DATABASE'!B16)),ISNUMBER(SEARCH("uPVC",'01_MASTER_DATABASE'!B16))),"Xuất sắc (Uf &lt;= 1.6)","Trung bình (Không cầu)")</f>
        <v/>
      </c>
      <c r="E19" s="114">
        <f>IF(OR(ISNUMBER(SEARCH("Thermal",'01_MASTER_DATABASE'!B16)),ISNUMBER(SEARCH("cầu",'01_MASTER_DATABASE'!B16)),ISNUMBER(SEARCH("uPVC",'01_MASTER_DATABASE'!B16))),"Class 4 (Đến 2000 Pa)","Class 3 (Đến 1500 Pa)")</f>
        <v/>
      </c>
      <c r="F19" s="114">
        <f>IF(OR(ISNUMBER(SEARCH("Thermal",'01_MASTER_DATABASE'!B16)),ISNUMBER(SEARCH("cầu",'01_MASTER_DATABASE'!B16)),ISNUMBER(SEARCH("uPVC",'01_MASTER_DATABASE'!B16))),"Tuyệt đối (Class 9A)","Tốt (Class 7A)")</f>
        <v/>
      </c>
      <c r="G19" s="114">
        <f>IF(OR(ISNUMBER(SEARCH("Thermal",'01_MASTER_DATABASE'!B16)),ISNUMBER(SEARCH("cầu",'01_MASTER_DATABASE'!B16)),ISNUMBER(SEARCH("uPVC",'01_MASTER_DATABASE'!B16))),"Tuyệt đối (Class 4)","Tốt (Class 3)")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IF(OR(ISNUMBER(SEARCH("Thermal",'01_MASTER_DATABASE'!B17)),ISNUMBER(SEARCH("cầu",'01_MASTER_DATABASE'!B17)),ISNUMBER(SEARCH("uPVC",'01_MASTER_DATABASE'!B17))),"Xuất sắc (&gt;=40dB)","Tốt (&gt;=30dB)")</f>
        <v/>
      </c>
      <c r="D20" s="114">
        <f>IF(OR(ISNUMBER(SEARCH("Thermal",'01_MASTER_DATABASE'!B17)),ISNUMBER(SEARCH("cầu",'01_MASTER_DATABASE'!B17)),ISNUMBER(SEARCH("uPVC",'01_MASTER_DATABASE'!B17))),"Xuất sắc (Uf &lt;= 1.6)","Trung bình (Không cầu)")</f>
        <v/>
      </c>
      <c r="E20" s="114">
        <f>IF(OR(ISNUMBER(SEARCH("Thermal",'01_MASTER_DATABASE'!B17)),ISNUMBER(SEARCH("cầu",'01_MASTER_DATABASE'!B17)),ISNUMBER(SEARCH("uPVC",'01_MASTER_DATABASE'!B17))),"Class 4 (Đến 2000 Pa)","Class 3 (Đến 1500 Pa)")</f>
        <v/>
      </c>
      <c r="F20" s="114">
        <f>IF(OR(ISNUMBER(SEARCH("Thermal",'01_MASTER_DATABASE'!B17)),ISNUMBER(SEARCH("cầu",'01_MASTER_DATABASE'!B17)),ISNUMBER(SEARCH("uPVC",'01_MASTER_DATABASE'!B17))),"Tuyệt đối (Class 9A)","Tốt (Class 7A)")</f>
        <v/>
      </c>
      <c r="G20" s="114">
        <f>IF(OR(ISNUMBER(SEARCH("Thermal",'01_MASTER_DATABASE'!B17)),ISNUMBER(SEARCH("cầu",'01_MASTER_DATABASE'!B17)),ISNUMBER(SEARCH("uPVC",'01_MASTER_DATABASE'!B17))),"Tuyệt đối (Class 4)","Tốt (Class 3)")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IF(OR(ISNUMBER(SEARCH("Thermal",'01_MASTER_DATABASE'!B18)),ISNUMBER(SEARCH("cầu",'01_MASTER_DATABASE'!B18)),ISNUMBER(SEARCH("uPVC",'01_MASTER_DATABASE'!B18))),"Xuất sắc (&gt;=40dB)","Tốt (&gt;=30dB)")</f>
        <v/>
      </c>
      <c r="D21" s="114">
        <f>IF(OR(ISNUMBER(SEARCH("Thermal",'01_MASTER_DATABASE'!B18)),ISNUMBER(SEARCH("cầu",'01_MASTER_DATABASE'!B18)),ISNUMBER(SEARCH("uPVC",'01_MASTER_DATABASE'!B18))),"Xuất sắc (Uf &lt;= 1.6)","Trung bình (Không cầu)")</f>
        <v/>
      </c>
      <c r="E21" s="114">
        <f>IF(OR(ISNUMBER(SEARCH("Thermal",'01_MASTER_DATABASE'!B18)),ISNUMBER(SEARCH("cầu",'01_MASTER_DATABASE'!B18)),ISNUMBER(SEARCH("uPVC",'01_MASTER_DATABASE'!B18))),"Class 4 (Đến 2000 Pa)","Class 3 (Đến 1500 Pa)")</f>
        <v/>
      </c>
      <c r="F21" s="114">
        <f>IF(OR(ISNUMBER(SEARCH("Thermal",'01_MASTER_DATABASE'!B18)),ISNUMBER(SEARCH("cầu",'01_MASTER_DATABASE'!B18)),ISNUMBER(SEARCH("uPVC",'01_MASTER_DATABASE'!B18))),"Tuyệt đối (Class 9A)","Tốt (Class 7A)")</f>
        <v/>
      </c>
      <c r="G21" s="114">
        <f>IF(OR(ISNUMBER(SEARCH("Thermal",'01_MASTER_DATABASE'!B18)),ISNUMBER(SEARCH("cầu",'01_MASTER_DATABASE'!B18)),ISNUMBER(SEARCH("uPVC",'01_MASTER_DATABASE'!B18))),"Tuyệt đối (Class 4)","Tốt (Class 3)")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IF(OR(ISNUMBER(SEARCH("Thermal",'01_MASTER_DATABASE'!B19)),ISNUMBER(SEARCH("cầu",'01_MASTER_DATABASE'!B19)),ISNUMBER(SEARCH("uPVC",'01_MASTER_DATABASE'!B19))),"Xuất sắc (&gt;=40dB)","Tốt (&gt;=30dB)")</f>
        <v/>
      </c>
      <c r="D22" s="114">
        <f>IF(OR(ISNUMBER(SEARCH("Thermal",'01_MASTER_DATABASE'!B19)),ISNUMBER(SEARCH("cầu",'01_MASTER_DATABASE'!B19)),ISNUMBER(SEARCH("uPVC",'01_MASTER_DATABASE'!B19))),"Xuất sắc (Uf &lt;= 1.6)","Trung bình (Không cầu)")</f>
        <v/>
      </c>
      <c r="E22" s="114">
        <f>IF(OR(ISNUMBER(SEARCH("Thermal",'01_MASTER_DATABASE'!B19)),ISNUMBER(SEARCH("cầu",'01_MASTER_DATABASE'!B19)),ISNUMBER(SEARCH("uPVC",'01_MASTER_DATABASE'!B19))),"Class 4 (Đến 2000 Pa)","Class 3 (Đến 1500 Pa)")</f>
        <v/>
      </c>
      <c r="F22" s="114">
        <f>IF(OR(ISNUMBER(SEARCH("Thermal",'01_MASTER_DATABASE'!B19)),ISNUMBER(SEARCH("cầu",'01_MASTER_DATABASE'!B19)),ISNUMBER(SEARCH("uPVC",'01_MASTER_DATABASE'!B19))),"Tuyệt đối (Class 9A)","Tốt (Class 7A)")</f>
        <v/>
      </c>
      <c r="G22" s="114">
        <f>IF(OR(ISNUMBER(SEARCH("Thermal",'01_MASTER_DATABASE'!B19)),ISNUMBER(SEARCH("cầu",'01_MASTER_DATABASE'!B19)),ISNUMBER(SEARCH("uPVC",'01_MASTER_DATABASE'!B19))),"Tuyệt đối (Class 4)","Tốt (Class 3)")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IF(OR(ISNUMBER(SEARCH("Thermal",'01_MASTER_DATABASE'!B20)),ISNUMBER(SEARCH("cầu",'01_MASTER_DATABASE'!B20)),ISNUMBER(SEARCH("uPVC",'01_MASTER_DATABASE'!B20))),"Xuất sắc (&gt;=40dB)","Tốt (&gt;=30dB)")</f>
        <v/>
      </c>
      <c r="D23" s="114">
        <f>IF(OR(ISNUMBER(SEARCH("Thermal",'01_MASTER_DATABASE'!B20)),ISNUMBER(SEARCH("cầu",'01_MASTER_DATABASE'!B20)),ISNUMBER(SEARCH("uPVC",'01_MASTER_DATABASE'!B20))),"Xuất sắc (Uf &lt;= 1.6)","Trung bình (Không cầu)")</f>
        <v/>
      </c>
      <c r="E23" s="114">
        <f>IF(OR(ISNUMBER(SEARCH("Thermal",'01_MASTER_DATABASE'!B20)),ISNUMBER(SEARCH("cầu",'01_MASTER_DATABASE'!B20)),ISNUMBER(SEARCH("uPVC",'01_MASTER_DATABASE'!B20))),"Class 4 (Đến 2000 Pa)","Class 3 (Đến 1500 Pa)")</f>
        <v/>
      </c>
      <c r="F23" s="114">
        <f>IF(OR(ISNUMBER(SEARCH("Thermal",'01_MASTER_DATABASE'!B20)),ISNUMBER(SEARCH("cầu",'01_MASTER_DATABASE'!B20)),ISNUMBER(SEARCH("uPVC",'01_MASTER_DATABASE'!B20))),"Tuyệt đối (Class 9A)","Tốt (Class 7A)")</f>
        <v/>
      </c>
      <c r="G23" s="114">
        <f>IF(OR(ISNUMBER(SEARCH("Thermal",'01_MASTER_DATABASE'!B20)),ISNUMBER(SEARCH("cầu",'01_MASTER_DATABASE'!B20)),ISNUMBER(SEARCH("uPVC",'01_MASTER_DATABASE'!B20))),"Tuyệt đối (Class 4)","Tốt (Class 3)")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IF(OR(ISNUMBER(SEARCH("Thermal",'01_MASTER_DATABASE'!B21)),ISNUMBER(SEARCH("cầu",'01_MASTER_DATABASE'!B21)),ISNUMBER(SEARCH("uPVC",'01_MASTER_DATABASE'!B21))),"Xuất sắc (&gt;=40dB)","Tốt (&gt;=30dB)")</f>
        <v/>
      </c>
      <c r="D24" s="114">
        <f>IF(OR(ISNUMBER(SEARCH("Thermal",'01_MASTER_DATABASE'!B21)),ISNUMBER(SEARCH("cầu",'01_MASTER_DATABASE'!B21)),ISNUMBER(SEARCH("uPVC",'01_MASTER_DATABASE'!B21))),"Xuất sắc (Uf &lt;= 1.6)","Trung bình (Không cầu)")</f>
        <v/>
      </c>
      <c r="E24" s="114">
        <f>IF(OR(ISNUMBER(SEARCH("Thermal",'01_MASTER_DATABASE'!B21)),ISNUMBER(SEARCH("cầu",'01_MASTER_DATABASE'!B21)),ISNUMBER(SEARCH("uPVC",'01_MASTER_DATABASE'!B21))),"Class 4 (Đến 2000 Pa)","Class 3 (Đến 1500 Pa)")</f>
        <v/>
      </c>
      <c r="F24" s="114">
        <f>IF(OR(ISNUMBER(SEARCH("Thermal",'01_MASTER_DATABASE'!B21)),ISNUMBER(SEARCH("cầu",'01_MASTER_DATABASE'!B21)),ISNUMBER(SEARCH("uPVC",'01_MASTER_DATABASE'!B21))),"Tuyệt đối (Class 9A)","Tốt (Class 7A)")</f>
        <v/>
      </c>
      <c r="G24" s="114">
        <f>IF(OR(ISNUMBER(SEARCH("Thermal",'01_MASTER_DATABASE'!B21)),ISNUMBER(SEARCH("cầu",'01_MASTER_DATABASE'!B21)),ISNUMBER(SEARCH("uPVC",'01_MASTER_DATABASE'!B21))),"Tuyệt đối (Class 4)","Tốt (Class 3)")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IF(OR(ISNUMBER(SEARCH("Thermal",'01_MASTER_DATABASE'!B22)),ISNUMBER(SEARCH("cầu",'01_MASTER_DATABASE'!B22)),ISNUMBER(SEARCH("uPVC",'01_MASTER_DATABASE'!B22))),"Xuất sắc (&gt;=40dB)","Tốt (&gt;=30dB)")</f>
        <v/>
      </c>
      <c r="D25" s="114">
        <f>IF(OR(ISNUMBER(SEARCH("Thermal",'01_MASTER_DATABASE'!B22)),ISNUMBER(SEARCH("cầu",'01_MASTER_DATABASE'!B22)),ISNUMBER(SEARCH("uPVC",'01_MASTER_DATABASE'!B22))),"Xuất sắc (Uf &lt;= 1.6)","Trung bình (Không cầu)")</f>
        <v/>
      </c>
      <c r="E25" s="114">
        <f>IF(OR(ISNUMBER(SEARCH("Thermal",'01_MASTER_DATABASE'!B22)),ISNUMBER(SEARCH("cầu",'01_MASTER_DATABASE'!B22)),ISNUMBER(SEARCH("uPVC",'01_MASTER_DATABASE'!B22))),"Class 4 (Đến 2000 Pa)","Class 3 (Đến 1500 Pa)")</f>
        <v/>
      </c>
      <c r="F25" s="114">
        <f>IF(OR(ISNUMBER(SEARCH("Thermal",'01_MASTER_DATABASE'!B22)),ISNUMBER(SEARCH("cầu",'01_MASTER_DATABASE'!B22)),ISNUMBER(SEARCH("uPVC",'01_MASTER_DATABASE'!B22))),"Tuyệt đối (Class 9A)","Tốt (Class 7A)")</f>
        <v/>
      </c>
      <c r="G25" s="114">
        <f>IF(OR(ISNUMBER(SEARCH("Thermal",'01_MASTER_DATABASE'!B22)),ISNUMBER(SEARCH("cầu",'01_MASTER_DATABASE'!B22)),ISNUMBER(SEARCH("uPVC",'01_MASTER_DATABASE'!B22))),"Tuyệt đối (Class 4)","Tốt (Class 3)")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IF(OR(ISNUMBER(SEARCH("Thermal",'01_MASTER_DATABASE'!B23)),ISNUMBER(SEARCH("cầu",'01_MASTER_DATABASE'!B23)),ISNUMBER(SEARCH("uPVC",'01_MASTER_DATABASE'!B23))),"Xuất sắc (&gt;=40dB)","Tốt (&gt;=30dB)")</f>
        <v/>
      </c>
      <c r="D26" s="114">
        <f>IF(OR(ISNUMBER(SEARCH("Thermal",'01_MASTER_DATABASE'!B23)),ISNUMBER(SEARCH("cầu",'01_MASTER_DATABASE'!B23)),ISNUMBER(SEARCH("uPVC",'01_MASTER_DATABASE'!B23))),"Xuất sắc (Uf &lt;= 1.6)","Trung bình (Không cầu)")</f>
        <v/>
      </c>
      <c r="E26" s="114">
        <f>IF(OR(ISNUMBER(SEARCH("Thermal",'01_MASTER_DATABASE'!B23)),ISNUMBER(SEARCH("cầu",'01_MASTER_DATABASE'!B23)),ISNUMBER(SEARCH("uPVC",'01_MASTER_DATABASE'!B23))),"Class 4 (Đến 2000 Pa)","Class 3 (Đến 1500 Pa)")</f>
        <v/>
      </c>
      <c r="F26" s="114">
        <f>IF(OR(ISNUMBER(SEARCH("Thermal",'01_MASTER_DATABASE'!B23)),ISNUMBER(SEARCH("cầu",'01_MASTER_DATABASE'!B23)),ISNUMBER(SEARCH("uPVC",'01_MASTER_DATABASE'!B23))),"Tuyệt đối (Class 9A)","Tốt (Class 7A)")</f>
        <v/>
      </c>
      <c r="G26" s="114">
        <f>IF(OR(ISNUMBER(SEARCH("Thermal",'01_MASTER_DATABASE'!B23)),ISNUMBER(SEARCH("cầu",'01_MASTER_DATABASE'!B23)),ISNUMBER(SEARCH("uPVC",'01_MASTER_DATABASE'!B23))),"Tuyệt đối (Class 4)","Tốt (Class 3)")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IF(OR(ISNUMBER(SEARCH("Thermal",'01_MASTER_DATABASE'!B24)),ISNUMBER(SEARCH("cầu",'01_MASTER_DATABASE'!B24)),ISNUMBER(SEARCH("uPVC",'01_MASTER_DATABASE'!B24))),"Xuất sắc (&gt;=40dB)","Tốt (&gt;=30dB)")</f>
        <v/>
      </c>
      <c r="D27" s="114">
        <f>IF(OR(ISNUMBER(SEARCH("Thermal",'01_MASTER_DATABASE'!B24)),ISNUMBER(SEARCH("cầu",'01_MASTER_DATABASE'!B24)),ISNUMBER(SEARCH("uPVC",'01_MASTER_DATABASE'!B24))),"Xuất sắc (Uf &lt;= 1.6)","Trung bình (Không cầu)")</f>
        <v/>
      </c>
      <c r="E27" s="114">
        <f>IF(OR(ISNUMBER(SEARCH("Thermal",'01_MASTER_DATABASE'!B24)),ISNUMBER(SEARCH("cầu",'01_MASTER_DATABASE'!B24)),ISNUMBER(SEARCH("uPVC",'01_MASTER_DATABASE'!B24))),"Class 4 (Đến 2000 Pa)","Class 3 (Đến 1500 Pa)")</f>
        <v/>
      </c>
      <c r="F27" s="114">
        <f>IF(OR(ISNUMBER(SEARCH("Thermal",'01_MASTER_DATABASE'!B24)),ISNUMBER(SEARCH("cầu",'01_MASTER_DATABASE'!B24)),ISNUMBER(SEARCH("uPVC",'01_MASTER_DATABASE'!B24))),"Tuyệt đối (Class 9A)","Tốt (Class 7A)")</f>
        <v/>
      </c>
      <c r="G27" s="114">
        <f>IF(OR(ISNUMBER(SEARCH("Thermal",'01_MASTER_DATABASE'!B24)),ISNUMBER(SEARCH("cầu",'01_MASTER_DATABASE'!B24)),ISNUMBER(SEARCH("uPVC",'01_MASTER_DATABASE'!B24))),"Tuyệt đối (Class 4)","Tốt (Class 3)")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IF(OR(ISNUMBER(SEARCH("Thermal",'01_MASTER_DATABASE'!B25)),ISNUMBER(SEARCH("cầu",'01_MASTER_DATABASE'!B25)),ISNUMBER(SEARCH("uPVC",'01_MASTER_DATABASE'!B25))),"Xuất sắc (&gt;=40dB)","Tốt (&gt;=30dB)")</f>
        <v/>
      </c>
      <c r="D28" s="114">
        <f>IF(OR(ISNUMBER(SEARCH("Thermal",'01_MASTER_DATABASE'!B25)),ISNUMBER(SEARCH("cầu",'01_MASTER_DATABASE'!B25)),ISNUMBER(SEARCH("uPVC",'01_MASTER_DATABASE'!B25))),"Xuất sắc (Uf &lt;= 1.6)","Trung bình (Không cầu)")</f>
        <v/>
      </c>
      <c r="E28" s="114">
        <f>IF(OR(ISNUMBER(SEARCH("Thermal",'01_MASTER_DATABASE'!B25)),ISNUMBER(SEARCH("cầu",'01_MASTER_DATABASE'!B25)),ISNUMBER(SEARCH("uPVC",'01_MASTER_DATABASE'!B25))),"Class 4 (Đến 2000 Pa)","Class 3 (Đến 1500 Pa)")</f>
        <v/>
      </c>
      <c r="F28" s="114">
        <f>IF(OR(ISNUMBER(SEARCH("Thermal",'01_MASTER_DATABASE'!B25)),ISNUMBER(SEARCH("cầu",'01_MASTER_DATABASE'!B25)),ISNUMBER(SEARCH("uPVC",'01_MASTER_DATABASE'!B25))),"Tuyệt đối (Class 9A)","Tốt (Class 7A)")</f>
        <v/>
      </c>
      <c r="G28" s="114">
        <f>IF(OR(ISNUMBER(SEARCH("Thermal",'01_MASTER_DATABASE'!B25)),ISNUMBER(SEARCH("cầu",'01_MASTER_DATABASE'!B25)),ISNUMBER(SEARCH("uPVC",'01_MASTER_DATABASE'!B25))),"Tuyệt đối (Class 4)","Tốt (Class 3)")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IF(OR(ISNUMBER(SEARCH("Thermal",'01_MASTER_DATABASE'!B26)),ISNUMBER(SEARCH("cầu",'01_MASTER_DATABASE'!B26)),ISNUMBER(SEARCH("uPVC",'01_MASTER_DATABASE'!B26))),"Xuất sắc (&gt;=40dB)","Tốt (&gt;=30dB)")</f>
        <v/>
      </c>
      <c r="D29" s="114">
        <f>IF(OR(ISNUMBER(SEARCH("Thermal",'01_MASTER_DATABASE'!B26)),ISNUMBER(SEARCH("cầu",'01_MASTER_DATABASE'!B26)),ISNUMBER(SEARCH("uPVC",'01_MASTER_DATABASE'!B26))),"Xuất sắc (Uf &lt;= 1.6)","Trung bình (Không cầu)")</f>
        <v/>
      </c>
      <c r="E29" s="114">
        <f>IF(OR(ISNUMBER(SEARCH("Thermal",'01_MASTER_DATABASE'!B26)),ISNUMBER(SEARCH("cầu",'01_MASTER_DATABASE'!B26)),ISNUMBER(SEARCH("uPVC",'01_MASTER_DATABASE'!B26))),"Class 4 (Đến 2000 Pa)","Class 3 (Đến 1500 Pa)")</f>
        <v/>
      </c>
      <c r="F29" s="114">
        <f>IF(OR(ISNUMBER(SEARCH("Thermal",'01_MASTER_DATABASE'!B26)),ISNUMBER(SEARCH("cầu",'01_MASTER_DATABASE'!B26)),ISNUMBER(SEARCH("uPVC",'01_MASTER_DATABASE'!B26))),"Tuyệt đối (Class 9A)","Tốt (Class 7A)")</f>
        <v/>
      </c>
      <c r="G29" s="114">
        <f>IF(OR(ISNUMBER(SEARCH("Thermal",'01_MASTER_DATABASE'!B26)),ISNUMBER(SEARCH("cầu",'01_MASTER_DATABASE'!B26)),ISNUMBER(SEARCH("uPVC",'01_MASTER_DATABASE'!B26))),"Tuyệt đối (Class 4)","Tốt (Class 3)")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IF(OR(ISNUMBER(SEARCH("Thermal",'01_MASTER_DATABASE'!B27)),ISNUMBER(SEARCH("cầu",'01_MASTER_DATABASE'!B27)),ISNUMBER(SEARCH("uPVC",'01_MASTER_DATABASE'!B27))),"Xuất sắc (&gt;=40dB)","Tốt (&gt;=30dB)")</f>
        <v/>
      </c>
      <c r="D30" s="114">
        <f>IF(OR(ISNUMBER(SEARCH("Thermal",'01_MASTER_DATABASE'!B27)),ISNUMBER(SEARCH("cầu",'01_MASTER_DATABASE'!B27)),ISNUMBER(SEARCH("uPVC",'01_MASTER_DATABASE'!B27))),"Xuất sắc (Uf &lt;= 1.6)","Trung bình (Không cầu)")</f>
        <v/>
      </c>
      <c r="E30" s="114">
        <f>IF(OR(ISNUMBER(SEARCH("Thermal",'01_MASTER_DATABASE'!B27)),ISNUMBER(SEARCH("cầu",'01_MASTER_DATABASE'!B27)),ISNUMBER(SEARCH("uPVC",'01_MASTER_DATABASE'!B27))),"Class 4 (Đến 2000 Pa)","Class 3 (Đến 1500 Pa)")</f>
        <v/>
      </c>
      <c r="F30" s="114">
        <f>IF(OR(ISNUMBER(SEARCH("Thermal",'01_MASTER_DATABASE'!B27)),ISNUMBER(SEARCH("cầu",'01_MASTER_DATABASE'!B27)),ISNUMBER(SEARCH("uPVC",'01_MASTER_DATABASE'!B27))),"Tuyệt đối (Class 9A)","Tốt (Class 7A)")</f>
        <v/>
      </c>
      <c r="G30" s="114">
        <f>IF(OR(ISNUMBER(SEARCH("Thermal",'01_MASTER_DATABASE'!B27)),ISNUMBER(SEARCH("cầu",'01_MASTER_DATABASE'!B27)),ISNUMBER(SEARCH("uPVC",'01_MASTER_DATABASE'!B27))),"Tuyệt đối (Class 4)","Tốt (Class 3)")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IF(OR(ISNUMBER(SEARCH("Thermal",'01_MASTER_DATABASE'!B28)),ISNUMBER(SEARCH("cầu",'01_MASTER_DATABASE'!B28)),ISNUMBER(SEARCH("uPVC",'01_MASTER_DATABASE'!B28))),"Xuất sắc (&gt;=40dB)","Tốt (&gt;=30dB)")</f>
        <v/>
      </c>
      <c r="D31" s="114">
        <f>IF(OR(ISNUMBER(SEARCH("Thermal",'01_MASTER_DATABASE'!B28)),ISNUMBER(SEARCH("cầu",'01_MASTER_DATABASE'!B28)),ISNUMBER(SEARCH("uPVC",'01_MASTER_DATABASE'!B28))),"Xuất sắc (Uf &lt;= 1.6)","Trung bình (Không cầu)")</f>
        <v/>
      </c>
      <c r="E31" s="114">
        <f>IF(OR(ISNUMBER(SEARCH("Thermal",'01_MASTER_DATABASE'!B28)),ISNUMBER(SEARCH("cầu",'01_MASTER_DATABASE'!B28)),ISNUMBER(SEARCH("uPVC",'01_MASTER_DATABASE'!B28))),"Class 4 (Đến 2000 Pa)","Class 3 (Đến 1500 Pa)")</f>
        <v/>
      </c>
      <c r="F31" s="114">
        <f>IF(OR(ISNUMBER(SEARCH("Thermal",'01_MASTER_DATABASE'!B28)),ISNUMBER(SEARCH("cầu",'01_MASTER_DATABASE'!B28)),ISNUMBER(SEARCH("uPVC",'01_MASTER_DATABASE'!B28))),"Tuyệt đối (Class 9A)","Tốt (Class 7A)")</f>
        <v/>
      </c>
      <c r="G31" s="114">
        <f>IF(OR(ISNUMBER(SEARCH("Thermal",'01_MASTER_DATABASE'!B28)),ISNUMBER(SEARCH("cầu",'01_MASTER_DATABASE'!B28)),ISNUMBER(SEARCH("uPVC",'01_MASTER_DATABASE'!B28))),"Tuyệt đối (Class 4)","Tốt (Class 3)")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IF(OR(ISNUMBER(SEARCH("Thermal",'01_MASTER_DATABASE'!B29)),ISNUMBER(SEARCH("cầu",'01_MASTER_DATABASE'!B29)),ISNUMBER(SEARCH("uPVC",'01_MASTER_DATABASE'!B29))),"Xuất sắc (&gt;=40dB)","Tốt (&gt;=30dB)")</f>
        <v/>
      </c>
      <c r="D32" s="114">
        <f>IF(OR(ISNUMBER(SEARCH("Thermal",'01_MASTER_DATABASE'!B29)),ISNUMBER(SEARCH("cầu",'01_MASTER_DATABASE'!B29)),ISNUMBER(SEARCH("uPVC",'01_MASTER_DATABASE'!B29))),"Xuất sắc (Uf &lt;= 1.6)","Trung bình (Không cầu)")</f>
        <v/>
      </c>
      <c r="E32" s="114">
        <f>IF(OR(ISNUMBER(SEARCH("Thermal",'01_MASTER_DATABASE'!B29)),ISNUMBER(SEARCH("cầu",'01_MASTER_DATABASE'!B29)),ISNUMBER(SEARCH("uPVC",'01_MASTER_DATABASE'!B29))),"Class 4 (Đến 2000 Pa)","Class 3 (Đến 1500 Pa)")</f>
        <v/>
      </c>
      <c r="F32" s="114">
        <f>IF(OR(ISNUMBER(SEARCH("Thermal",'01_MASTER_DATABASE'!B29)),ISNUMBER(SEARCH("cầu",'01_MASTER_DATABASE'!B29)),ISNUMBER(SEARCH("uPVC",'01_MASTER_DATABASE'!B29))),"Tuyệt đối (Class 9A)","Tốt (Class 7A)")</f>
        <v/>
      </c>
      <c r="G32" s="114">
        <f>IF(OR(ISNUMBER(SEARCH("Thermal",'01_MASTER_DATABASE'!B29)),ISNUMBER(SEARCH("cầu",'01_MASTER_DATABASE'!B29)),ISNUMBER(SEARCH("uPVC",'01_MASTER_DATABASE'!B29))),"Tuyệt đối (Class 4)","Tốt (Class 3)")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IF(OR(ISNUMBER(SEARCH("Thermal",'01_MASTER_DATABASE'!B30)),ISNUMBER(SEARCH("cầu",'01_MASTER_DATABASE'!B30)),ISNUMBER(SEARCH("uPVC",'01_MASTER_DATABASE'!B30))),"Xuất sắc (&gt;=40dB)","Tốt (&gt;=30dB)")</f>
        <v/>
      </c>
      <c r="D33" s="114">
        <f>IF(OR(ISNUMBER(SEARCH("Thermal",'01_MASTER_DATABASE'!B30)),ISNUMBER(SEARCH("cầu",'01_MASTER_DATABASE'!B30)),ISNUMBER(SEARCH("uPVC",'01_MASTER_DATABASE'!B30))),"Xuất sắc (Uf &lt;= 1.6)","Trung bình (Không cầu)")</f>
        <v/>
      </c>
      <c r="E33" s="114">
        <f>IF(OR(ISNUMBER(SEARCH("Thermal",'01_MASTER_DATABASE'!B30)),ISNUMBER(SEARCH("cầu",'01_MASTER_DATABASE'!B30)),ISNUMBER(SEARCH("uPVC",'01_MASTER_DATABASE'!B30))),"Class 4 (Đến 2000 Pa)","Class 3 (Đến 1500 Pa)")</f>
        <v/>
      </c>
      <c r="F33" s="114">
        <f>IF(OR(ISNUMBER(SEARCH("Thermal",'01_MASTER_DATABASE'!B30)),ISNUMBER(SEARCH("cầu",'01_MASTER_DATABASE'!B30)),ISNUMBER(SEARCH("uPVC",'01_MASTER_DATABASE'!B30))),"Tuyệt đối (Class 9A)","Tốt (Class 7A)")</f>
        <v/>
      </c>
      <c r="G33" s="114">
        <f>IF(OR(ISNUMBER(SEARCH("Thermal",'01_MASTER_DATABASE'!B30)),ISNUMBER(SEARCH("cầu",'01_MASTER_DATABASE'!B30)),ISNUMBER(SEARCH("uPVC",'01_MASTER_DATABASE'!B30))),"Tuyệt đối (Class 4)","Tốt (Class 3)")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IF(OR(ISNUMBER(SEARCH("Thermal",'01_MASTER_DATABASE'!B31)),ISNUMBER(SEARCH("cầu",'01_MASTER_DATABASE'!B31)),ISNUMBER(SEARCH("uPVC",'01_MASTER_DATABASE'!B31))),"Xuất sắc (&gt;=40dB)","Tốt (&gt;=30dB)")</f>
        <v/>
      </c>
      <c r="D34" s="114">
        <f>IF(OR(ISNUMBER(SEARCH("Thermal",'01_MASTER_DATABASE'!B31)),ISNUMBER(SEARCH("cầu",'01_MASTER_DATABASE'!B31)),ISNUMBER(SEARCH("uPVC",'01_MASTER_DATABASE'!B31))),"Xuất sắc (Uf &lt;= 1.6)","Trung bình (Không cầu)")</f>
        <v/>
      </c>
      <c r="E34" s="114">
        <f>IF(OR(ISNUMBER(SEARCH("Thermal",'01_MASTER_DATABASE'!B31)),ISNUMBER(SEARCH("cầu",'01_MASTER_DATABASE'!B31)),ISNUMBER(SEARCH("uPVC",'01_MASTER_DATABASE'!B31))),"Class 4 (Đến 2000 Pa)","Class 3 (Đến 1500 Pa)")</f>
        <v/>
      </c>
      <c r="F34" s="114">
        <f>IF(OR(ISNUMBER(SEARCH("Thermal",'01_MASTER_DATABASE'!B31)),ISNUMBER(SEARCH("cầu",'01_MASTER_DATABASE'!B31)),ISNUMBER(SEARCH("uPVC",'01_MASTER_DATABASE'!B31))),"Tuyệt đối (Class 9A)","Tốt (Class 7A)")</f>
        <v/>
      </c>
      <c r="G34" s="114">
        <f>IF(OR(ISNUMBER(SEARCH("Thermal",'01_MASTER_DATABASE'!B31)),ISNUMBER(SEARCH("cầu",'01_MASTER_DATABASE'!B31)),ISNUMBER(SEARCH("uPVC",'01_MASTER_DATABASE'!B31))),"Tuyệt đối (Class 4)","Tốt (Class 3)")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IF(OR(ISNUMBER(SEARCH("Thermal",'01_MASTER_DATABASE'!B32)),ISNUMBER(SEARCH("cầu",'01_MASTER_DATABASE'!B32)),ISNUMBER(SEARCH("uPVC",'01_MASTER_DATABASE'!B32))),"Xuất sắc (&gt;=40dB)","Tốt (&gt;=30dB)")</f>
        <v/>
      </c>
      <c r="D35" s="114">
        <f>IF(OR(ISNUMBER(SEARCH("Thermal",'01_MASTER_DATABASE'!B32)),ISNUMBER(SEARCH("cầu",'01_MASTER_DATABASE'!B32)),ISNUMBER(SEARCH("uPVC",'01_MASTER_DATABASE'!B32))),"Xuất sắc (Uf &lt;= 1.6)","Trung bình (Không cầu)")</f>
        <v/>
      </c>
      <c r="E35" s="114">
        <f>IF(OR(ISNUMBER(SEARCH("Thermal",'01_MASTER_DATABASE'!B32)),ISNUMBER(SEARCH("cầu",'01_MASTER_DATABASE'!B32)),ISNUMBER(SEARCH("uPVC",'01_MASTER_DATABASE'!B32))),"Class 4 (Đến 2000 Pa)","Class 3 (Đến 1500 Pa)")</f>
        <v/>
      </c>
      <c r="F35" s="114">
        <f>IF(OR(ISNUMBER(SEARCH("Thermal",'01_MASTER_DATABASE'!B32)),ISNUMBER(SEARCH("cầu",'01_MASTER_DATABASE'!B32)),ISNUMBER(SEARCH("uPVC",'01_MASTER_DATABASE'!B32))),"Tuyệt đối (Class 9A)","Tốt (Class 7A)")</f>
        <v/>
      </c>
      <c r="G35" s="114">
        <f>IF(OR(ISNUMBER(SEARCH("Thermal",'01_MASTER_DATABASE'!B32)),ISNUMBER(SEARCH("cầu",'01_MASTER_DATABASE'!B32)),ISNUMBER(SEARCH("uPVC",'01_MASTER_DATABASE'!B32))),"Tuyệt đối (Class 4)","Tốt (Class 3)")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IF(OR(ISNUMBER(SEARCH("Thermal",'01_MASTER_DATABASE'!B33)),ISNUMBER(SEARCH("cầu",'01_MASTER_DATABASE'!B33)),ISNUMBER(SEARCH("uPVC",'01_MASTER_DATABASE'!B33))),"Xuất sắc (&gt;=40dB)","Tốt (&gt;=30dB)")</f>
        <v/>
      </c>
      <c r="D36" s="114">
        <f>IF(OR(ISNUMBER(SEARCH("Thermal",'01_MASTER_DATABASE'!B33)),ISNUMBER(SEARCH("cầu",'01_MASTER_DATABASE'!B33)),ISNUMBER(SEARCH("uPVC",'01_MASTER_DATABASE'!B33))),"Xuất sắc (Uf &lt;= 1.6)","Trung bình (Không cầu)")</f>
        <v/>
      </c>
      <c r="E36" s="114">
        <f>IF(OR(ISNUMBER(SEARCH("Thermal",'01_MASTER_DATABASE'!B33)),ISNUMBER(SEARCH("cầu",'01_MASTER_DATABASE'!B33)),ISNUMBER(SEARCH("uPVC",'01_MASTER_DATABASE'!B33))),"Class 4 (Đến 2000 Pa)","Class 3 (Đến 1500 Pa)")</f>
        <v/>
      </c>
      <c r="F36" s="114">
        <f>IF(OR(ISNUMBER(SEARCH("Thermal",'01_MASTER_DATABASE'!B33)),ISNUMBER(SEARCH("cầu",'01_MASTER_DATABASE'!B33)),ISNUMBER(SEARCH("uPVC",'01_MASTER_DATABASE'!B33))),"Tuyệt đối (Class 9A)","Tốt (Class 7A)")</f>
        <v/>
      </c>
      <c r="G36" s="114">
        <f>IF(OR(ISNUMBER(SEARCH("Thermal",'01_MASTER_DATABASE'!B33)),ISNUMBER(SEARCH("cầu",'01_MASTER_DATABASE'!B33)),ISNUMBER(SEARCH("uPVC",'01_MASTER_DATABASE'!B33))),"Tuyệt đối (Class 4)","Tốt (Class 3)")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IF(OR(ISNUMBER(SEARCH("Thermal",'01_MASTER_DATABASE'!B34)),ISNUMBER(SEARCH("cầu",'01_MASTER_DATABASE'!B34)),ISNUMBER(SEARCH("uPVC",'01_MASTER_DATABASE'!B34))),"Xuất sắc (&gt;=40dB)","Tốt (&gt;=30dB)")</f>
        <v/>
      </c>
      <c r="D37" s="114">
        <f>IF(OR(ISNUMBER(SEARCH("Thermal",'01_MASTER_DATABASE'!B34)),ISNUMBER(SEARCH("cầu",'01_MASTER_DATABASE'!B34)),ISNUMBER(SEARCH("uPVC",'01_MASTER_DATABASE'!B34))),"Xuất sắc (Uf &lt;= 1.6)","Trung bình (Không cầu)")</f>
        <v/>
      </c>
      <c r="E37" s="114">
        <f>IF(OR(ISNUMBER(SEARCH("Thermal",'01_MASTER_DATABASE'!B34)),ISNUMBER(SEARCH("cầu",'01_MASTER_DATABASE'!B34)),ISNUMBER(SEARCH("uPVC",'01_MASTER_DATABASE'!B34))),"Class 4 (Đến 2000 Pa)","Class 3 (Đến 1500 Pa)")</f>
        <v/>
      </c>
      <c r="F37" s="114">
        <f>IF(OR(ISNUMBER(SEARCH("Thermal",'01_MASTER_DATABASE'!B34)),ISNUMBER(SEARCH("cầu",'01_MASTER_DATABASE'!B34)),ISNUMBER(SEARCH("uPVC",'01_MASTER_DATABASE'!B34))),"Tuyệt đối (Class 9A)","Tốt (Class 7A)")</f>
        <v/>
      </c>
      <c r="G37" s="114">
        <f>IF(OR(ISNUMBER(SEARCH("Thermal",'01_MASTER_DATABASE'!B34)),ISNUMBER(SEARCH("cầu",'01_MASTER_DATABASE'!B34)),ISNUMBER(SEARCH("uPVC",'01_MASTER_DATABASE'!B34))),"Tuyệt đối (Class 4)","Tốt (Class 3)")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IF(OR(ISNUMBER(SEARCH("Thermal",'01_MASTER_DATABASE'!B35)),ISNUMBER(SEARCH("cầu",'01_MASTER_DATABASE'!B35)),ISNUMBER(SEARCH("uPVC",'01_MASTER_DATABASE'!B35))),"Xuất sắc (&gt;=40dB)","Tốt (&gt;=30dB)")</f>
        <v/>
      </c>
      <c r="D38" s="114">
        <f>IF(OR(ISNUMBER(SEARCH("Thermal",'01_MASTER_DATABASE'!B35)),ISNUMBER(SEARCH("cầu",'01_MASTER_DATABASE'!B35)),ISNUMBER(SEARCH("uPVC",'01_MASTER_DATABASE'!B35))),"Xuất sắc (Uf &lt;= 1.6)","Trung bình (Không cầu)")</f>
        <v/>
      </c>
      <c r="E38" s="114">
        <f>IF(OR(ISNUMBER(SEARCH("Thermal",'01_MASTER_DATABASE'!B35)),ISNUMBER(SEARCH("cầu",'01_MASTER_DATABASE'!B35)),ISNUMBER(SEARCH("uPVC",'01_MASTER_DATABASE'!B35))),"Class 4 (Đến 2000 Pa)","Class 3 (Đến 1500 Pa)")</f>
        <v/>
      </c>
      <c r="F38" s="114">
        <f>IF(OR(ISNUMBER(SEARCH("Thermal",'01_MASTER_DATABASE'!B35)),ISNUMBER(SEARCH("cầu",'01_MASTER_DATABASE'!B35)),ISNUMBER(SEARCH("uPVC",'01_MASTER_DATABASE'!B35))),"Tuyệt đối (Class 9A)","Tốt (Class 7A)")</f>
        <v/>
      </c>
      <c r="G38" s="114">
        <f>IF(OR(ISNUMBER(SEARCH("Thermal",'01_MASTER_DATABASE'!B35)),ISNUMBER(SEARCH("cầu",'01_MASTER_DATABASE'!B35)),ISNUMBER(SEARCH("uPVC",'01_MASTER_DATABASE'!B35))),"Tuyệt đối (Class 4)","Tốt (Class 3)")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IF(OR(ISNUMBER(SEARCH("Thermal",'01_MASTER_DATABASE'!B36)),ISNUMBER(SEARCH("cầu",'01_MASTER_DATABASE'!B36)),ISNUMBER(SEARCH("uPVC",'01_MASTER_DATABASE'!B36))),"Xuất sắc (&gt;=40dB)","Tốt (&gt;=30dB)")</f>
        <v/>
      </c>
      <c r="D39" s="114">
        <f>IF(OR(ISNUMBER(SEARCH("Thermal",'01_MASTER_DATABASE'!B36)),ISNUMBER(SEARCH("cầu",'01_MASTER_DATABASE'!B36)),ISNUMBER(SEARCH("uPVC",'01_MASTER_DATABASE'!B36))),"Xuất sắc (Uf &lt;= 1.6)","Trung bình (Không cầu)")</f>
        <v/>
      </c>
      <c r="E39" s="114">
        <f>IF(OR(ISNUMBER(SEARCH("Thermal",'01_MASTER_DATABASE'!B36)),ISNUMBER(SEARCH("cầu",'01_MASTER_DATABASE'!B36)),ISNUMBER(SEARCH("uPVC",'01_MASTER_DATABASE'!B36))),"Class 4 (Đến 2000 Pa)","Class 3 (Đến 1500 Pa)")</f>
        <v/>
      </c>
      <c r="F39" s="114">
        <f>IF(OR(ISNUMBER(SEARCH("Thermal",'01_MASTER_DATABASE'!B36)),ISNUMBER(SEARCH("cầu",'01_MASTER_DATABASE'!B36)),ISNUMBER(SEARCH("uPVC",'01_MASTER_DATABASE'!B36))),"Tuyệt đối (Class 9A)","Tốt (Class 7A)")</f>
        <v/>
      </c>
      <c r="G39" s="114">
        <f>IF(OR(ISNUMBER(SEARCH("Thermal",'01_MASTER_DATABASE'!B36)),ISNUMBER(SEARCH("cầu",'01_MASTER_DATABASE'!B36)),ISNUMBER(SEARCH("uPVC",'01_MASTER_DATABASE'!B36))),"Tuyệt đối (Class 4)","Tốt (Class 3)")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IF(OR(ISNUMBER(SEARCH("Thermal",'01_MASTER_DATABASE'!B37)),ISNUMBER(SEARCH("cầu",'01_MASTER_DATABASE'!B37)),ISNUMBER(SEARCH("uPVC",'01_MASTER_DATABASE'!B37))),"Xuất sắc (&gt;=40dB)","Tốt (&gt;=30dB)")</f>
        <v/>
      </c>
      <c r="D40" s="114">
        <f>IF(OR(ISNUMBER(SEARCH("Thermal",'01_MASTER_DATABASE'!B37)),ISNUMBER(SEARCH("cầu",'01_MASTER_DATABASE'!B37)),ISNUMBER(SEARCH("uPVC",'01_MASTER_DATABASE'!B37))),"Xuất sắc (Uf &lt;= 1.6)","Trung bình (Không cầu)")</f>
        <v/>
      </c>
      <c r="E40" s="114">
        <f>IF(OR(ISNUMBER(SEARCH("Thermal",'01_MASTER_DATABASE'!B37)),ISNUMBER(SEARCH("cầu",'01_MASTER_DATABASE'!B37)),ISNUMBER(SEARCH("uPVC",'01_MASTER_DATABASE'!B37))),"Class 4 (Đến 2000 Pa)","Class 3 (Đến 1500 Pa)")</f>
        <v/>
      </c>
      <c r="F40" s="114">
        <f>IF(OR(ISNUMBER(SEARCH("Thermal",'01_MASTER_DATABASE'!B37)),ISNUMBER(SEARCH("cầu",'01_MASTER_DATABASE'!B37)),ISNUMBER(SEARCH("uPVC",'01_MASTER_DATABASE'!B37))),"Tuyệt đối (Class 9A)","Tốt (Class 7A)")</f>
        <v/>
      </c>
      <c r="G40" s="114">
        <f>IF(OR(ISNUMBER(SEARCH("Thermal",'01_MASTER_DATABASE'!B37)),ISNUMBER(SEARCH("cầu",'01_MASTER_DATABASE'!B37)),ISNUMBER(SEARCH("uPVC",'01_MASTER_DATABASE'!B37))),"Tuyệt đối (Class 4)","Tốt (Class 3)")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IF(OR(ISNUMBER(SEARCH("Thermal",'01_MASTER_DATABASE'!B38)),ISNUMBER(SEARCH("cầu",'01_MASTER_DATABASE'!B38)),ISNUMBER(SEARCH("uPVC",'01_MASTER_DATABASE'!B38))),"Xuất sắc (&gt;=40dB)","Tốt (&gt;=30dB)")</f>
        <v/>
      </c>
      <c r="D41" s="114">
        <f>IF(OR(ISNUMBER(SEARCH("Thermal",'01_MASTER_DATABASE'!B38)),ISNUMBER(SEARCH("cầu",'01_MASTER_DATABASE'!B38)),ISNUMBER(SEARCH("uPVC",'01_MASTER_DATABASE'!B38))),"Xuất sắc (Uf &lt;= 1.6)","Trung bình (Không cầu)")</f>
        <v/>
      </c>
      <c r="E41" s="114">
        <f>IF(OR(ISNUMBER(SEARCH("Thermal",'01_MASTER_DATABASE'!B38)),ISNUMBER(SEARCH("cầu",'01_MASTER_DATABASE'!B38)),ISNUMBER(SEARCH("uPVC",'01_MASTER_DATABASE'!B38))),"Class 4 (Đến 2000 Pa)","Class 3 (Đến 1500 Pa)")</f>
        <v/>
      </c>
      <c r="F41" s="114">
        <f>IF(OR(ISNUMBER(SEARCH("Thermal",'01_MASTER_DATABASE'!B38)),ISNUMBER(SEARCH("cầu",'01_MASTER_DATABASE'!B38)),ISNUMBER(SEARCH("uPVC",'01_MASTER_DATABASE'!B38))),"Tuyệt đối (Class 9A)","Tốt (Class 7A)")</f>
        <v/>
      </c>
      <c r="G41" s="114">
        <f>IF(OR(ISNUMBER(SEARCH("Thermal",'01_MASTER_DATABASE'!B38)),ISNUMBER(SEARCH("cầu",'01_MASTER_DATABASE'!B38)),ISNUMBER(SEARCH("uPVC",'01_MASTER_DATABASE'!B38))),"Tuyệt đối (Class 4)","Tốt (Class 3)")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IF(OR(ISNUMBER(SEARCH("Thermal",'01_MASTER_DATABASE'!B39)),ISNUMBER(SEARCH("cầu",'01_MASTER_DATABASE'!B39)),ISNUMBER(SEARCH("uPVC",'01_MASTER_DATABASE'!B39))),"Xuất sắc (&gt;=40dB)","Tốt (&gt;=30dB)")</f>
        <v/>
      </c>
      <c r="D42" s="114">
        <f>IF(OR(ISNUMBER(SEARCH("Thermal",'01_MASTER_DATABASE'!B39)),ISNUMBER(SEARCH("cầu",'01_MASTER_DATABASE'!B39)),ISNUMBER(SEARCH("uPVC",'01_MASTER_DATABASE'!B39))),"Xuất sắc (Uf &lt;= 1.6)","Trung bình (Không cầu)")</f>
        <v/>
      </c>
      <c r="E42" s="114">
        <f>IF(OR(ISNUMBER(SEARCH("Thermal",'01_MASTER_DATABASE'!B39)),ISNUMBER(SEARCH("cầu",'01_MASTER_DATABASE'!B39)),ISNUMBER(SEARCH("uPVC",'01_MASTER_DATABASE'!B39))),"Class 4 (Đến 2000 Pa)","Class 3 (Đến 1500 Pa)")</f>
        <v/>
      </c>
      <c r="F42" s="114">
        <f>IF(OR(ISNUMBER(SEARCH("Thermal",'01_MASTER_DATABASE'!B39)),ISNUMBER(SEARCH("cầu",'01_MASTER_DATABASE'!B39)),ISNUMBER(SEARCH("uPVC",'01_MASTER_DATABASE'!B39))),"Tuyệt đối (Class 9A)","Tốt (Class 7A)")</f>
        <v/>
      </c>
      <c r="G42" s="114">
        <f>IF(OR(ISNUMBER(SEARCH("Thermal",'01_MASTER_DATABASE'!B39)),ISNUMBER(SEARCH("cầu",'01_MASTER_DATABASE'!B39)),ISNUMBER(SEARCH("uPVC",'01_MASTER_DATABASE'!B39))),"Tuyệt đối (Class 4)","Tốt (Class 3)")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IF(OR(ISNUMBER(SEARCH("Thermal",'01_MASTER_DATABASE'!B40)),ISNUMBER(SEARCH("cầu",'01_MASTER_DATABASE'!B40)),ISNUMBER(SEARCH("uPVC",'01_MASTER_DATABASE'!B40))),"Xuất sắc (&gt;=40dB)","Tốt (&gt;=30dB)")</f>
        <v/>
      </c>
      <c r="D43" s="114">
        <f>IF(OR(ISNUMBER(SEARCH("Thermal",'01_MASTER_DATABASE'!B40)),ISNUMBER(SEARCH("cầu",'01_MASTER_DATABASE'!B40)),ISNUMBER(SEARCH("uPVC",'01_MASTER_DATABASE'!B40))),"Xuất sắc (Uf &lt;= 1.6)","Trung bình (Không cầu)")</f>
        <v/>
      </c>
      <c r="E43" s="114">
        <f>IF(OR(ISNUMBER(SEARCH("Thermal",'01_MASTER_DATABASE'!B40)),ISNUMBER(SEARCH("cầu",'01_MASTER_DATABASE'!B40)),ISNUMBER(SEARCH("uPVC",'01_MASTER_DATABASE'!B40))),"Class 4 (Đến 2000 Pa)","Class 3 (Đến 1500 Pa)")</f>
        <v/>
      </c>
      <c r="F43" s="114">
        <f>IF(OR(ISNUMBER(SEARCH("Thermal",'01_MASTER_DATABASE'!B40)),ISNUMBER(SEARCH("cầu",'01_MASTER_DATABASE'!B40)),ISNUMBER(SEARCH("uPVC",'01_MASTER_DATABASE'!B40))),"Tuyệt đối (Class 9A)","Tốt (Class 7A)")</f>
        <v/>
      </c>
      <c r="G43" s="114">
        <f>IF(OR(ISNUMBER(SEARCH("Thermal",'01_MASTER_DATABASE'!B40)),ISNUMBER(SEARCH("cầu",'01_MASTER_DATABASE'!B40)),ISNUMBER(SEARCH("uPVC",'01_MASTER_DATABASE'!B40))),"Tuyệt đối (Class 4)","Tốt (Class 3)")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IF(OR(ISNUMBER(SEARCH("Thermal",'01_MASTER_DATABASE'!B41)),ISNUMBER(SEARCH("cầu",'01_MASTER_DATABASE'!B41)),ISNUMBER(SEARCH("uPVC",'01_MASTER_DATABASE'!B41))),"Xuất sắc (&gt;=40dB)","Tốt (&gt;=30dB)")</f>
        <v/>
      </c>
      <c r="D44" s="114">
        <f>IF(OR(ISNUMBER(SEARCH("Thermal",'01_MASTER_DATABASE'!B41)),ISNUMBER(SEARCH("cầu",'01_MASTER_DATABASE'!B41)),ISNUMBER(SEARCH("uPVC",'01_MASTER_DATABASE'!B41))),"Xuất sắc (Uf &lt;= 1.6)","Trung bình (Không cầu)")</f>
        <v/>
      </c>
      <c r="E44" s="114">
        <f>IF(OR(ISNUMBER(SEARCH("Thermal",'01_MASTER_DATABASE'!B41)),ISNUMBER(SEARCH("cầu",'01_MASTER_DATABASE'!B41)),ISNUMBER(SEARCH("uPVC",'01_MASTER_DATABASE'!B41))),"Class 4 (Đến 2000 Pa)","Class 3 (Đến 1500 Pa)")</f>
        <v/>
      </c>
      <c r="F44" s="114">
        <f>IF(OR(ISNUMBER(SEARCH("Thermal",'01_MASTER_DATABASE'!B41)),ISNUMBER(SEARCH("cầu",'01_MASTER_DATABASE'!B41)),ISNUMBER(SEARCH("uPVC",'01_MASTER_DATABASE'!B41))),"Tuyệt đối (Class 9A)","Tốt (Class 7A)")</f>
        <v/>
      </c>
      <c r="G44" s="114">
        <f>IF(OR(ISNUMBER(SEARCH("Thermal",'01_MASTER_DATABASE'!B41)),ISNUMBER(SEARCH("cầu",'01_MASTER_DATABASE'!B41)),ISNUMBER(SEARCH("uPVC",'01_MASTER_DATABASE'!B41))),"Tuyệt đối (Class 4)","Tốt (Class 3)")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IF(OR(ISNUMBER(SEARCH("Thermal",'01_MASTER_DATABASE'!B42)),ISNUMBER(SEARCH("cầu",'01_MASTER_DATABASE'!B42)),ISNUMBER(SEARCH("uPVC",'01_MASTER_DATABASE'!B42))),"Xuất sắc (&gt;=40dB)","Tốt (&gt;=30dB)")</f>
        <v/>
      </c>
      <c r="D45" s="114">
        <f>IF(OR(ISNUMBER(SEARCH("Thermal",'01_MASTER_DATABASE'!B42)),ISNUMBER(SEARCH("cầu",'01_MASTER_DATABASE'!B42)),ISNUMBER(SEARCH("uPVC",'01_MASTER_DATABASE'!B42))),"Xuất sắc (Uf &lt;= 1.6)","Trung bình (Không cầu)")</f>
        <v/>
      </c>
      <c r="E45" s="114">
        <f>IF(OR(ISNUMBER(SEARCH("Thermal",'01_MASTER_DATABASE'!B42)),ISNUMBER(SEARCH("cầu",'01_MASTER_DATABASE'!B42)),ISNUMBER(SEARCH("uPVC",'01_MASTER_DATABASE'!B42))),"Class 4 (Đến 2000 Pa)","Class 3 (Đến 1500 Pa)")</f>
        <v/>
      </c>
      <c r="F45" s="114">
        <f>IF(OR(ISNUMBER(SEARCH("Thermal",'01_MASTER_DATABASE'!B42)),ISNUMBER(SEARCH("cầu",'01_MASTER_DATABASE'!B42)),ISNUMBER(SEARCH("uPVC",'01_MASTER_DATABASE'!B42))),"Tuyệt đối (Class 9A)","Tốt (Class 7A)")</f>
        <v/>
      </c>
      <c r="G45" s="114">
        <f>IF(OR(ISNUMBER(SEARCH("Thermal",'01_MASTER_DATABASE'!B42)),ISNUMBER(SEARCH("cầu",'01_MASTER_DATABASE'!B42)),ISNUMBER(SEARCH("uPVC",'01_MASTER_DATABASE'!B42))),"Tuyệt đối (Class 4)","Tốt (Class 3)")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IF(OR(ISNUMBER(SEARCH("Thermal",'01_MASTER_DATABASE'!B43)),ISNUMBER(SEARCH("cầu",'01_MASTER_DATABASE'!B43)),ISNUMBER(SEARCH("uPVC",'01_MASTER_DATABASE'!B43))),"Xuất sắc (&gt;=40dB)","Tốt (&gt;=30dB)")</f>
        <v/>
      </c>
      <c r="D46" s="114">
        <f>IF(OR(ISNUMBER(SEARCH("Thermal",'01_MASTER_DATABASE'!B43)),ISNUMBER(SEARCH("cầu",'01_MASTER_DATABASE'!B43)),ISNUMBER(SEARCH("uPVC",'01_MASTER_DATABASE'!B43))),"Xuất sắc (Uf &lt;= 1.6)","Trung bình (Không cầu)")</f>
        <v/>
      </c>
      <c r="E46" s="114">
        <f>IF(OR(ISNUMBER(SEARCH("Thermal",'01_MASTER_DATABASE'!B43)),ISNUMBER(SEARCH("cầu",'01_MASTER_DATABASE'!B43)),ISNUMBER(SEARCH("uPVC",'01_MASTER_DATABASE'!B43))),"Class 4 (Đến 2000 Pa)","Class 3 (Đến 1500 Pa)")</f>
        <v/>
      </c>
      <c r="F46" s="114">
        <f>IF(OR(ISNUMBER(SEARCH("Thermal",'01_MASTER_DATABASE'!B43)),ISNUMBER(SEARCH("cầu",'01_MASTER_DATABASE'!B43)),ISNUMBER(SEARCH("uPVC",'01_MASTER_DATABASE'!B43))),"Tuyệt đối (Class 9A)","Tốt (Class 7A)")</f>
        <v/>
      </c>
      <c r="G46" s="114">
        <f>IF(OR(ISNUMBER(SEARCH("Thermal",'01_MASTER_DATABASE'!B43)),ISNUMBER(SEARCH("cầu",'01_MASTER_DATABASE'!B43)),ISNUMBER(SEARCH("uPVC",'01_MASTER_DATABASE'!B43))),"Tuyệt đối (Class 4)","Tốt (Class 3)")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IF(OR(ISNUMBER(SEARCH("Thermal",'01_MASTER_DATABASE'!B44)),ISNUMBER(SEARCH("cầu",'01_MASTER_DATABASE'!B44)),ISNUMBER(SEARCH("uPVC",'01_MASTER_DATABASE'!B44))),"Xuất sắc (&gt;=40dB)","Tốt (&gt;=30dB)")</f>
        <v/>
      </c>
      <c r="D47" s="114">
        <f>IF(OR(ISNUMBER(SEARCH("Thermal",'01_MASTER_DATABASE'!B44)),ISNUMBER(SEARCH("cầu",'01_MASTER_DATABASE'!B44)),ISNUMBER(SEARCH("uPVC",'01_MASTER_DATABASE'!B44))),"Xuất sắc (Uf &lt;= 1.6)","Trung bình (Không cầu)")</f>
        <v/>
      </c>
      <c r="E47" s="114">
        <f>IF(OR(ISNUMBER(SEARCH("Thermal",'01_MASTER_DATABASE'!B44)),ISNUMBER(SEARCH("cầu",'01_MASTER_DATABASE'!B44)),ISNUMBER(SEARCH("uPVC",'01_MASTER_DATABASE'!B44))),"Class 4 (Đến 2000 Pa)","Class 3 (Đến 1500 Pa)")</f>
        <v/>
      </c>
      <c r="F47" s="114">
        <f>IF(OR(ISNUMBER(SEARCH("Thermal",'01_MASTER_DATABASE'!B44)),ISNUMBER(SEARCH("cầu",'01_MASTER_DATABASE'!B44)),ISNUMBER(SEARCH("uPVC",'01_MASTER_DATABASE'!B44))),"Tuyệt đối (Class 9A)","Tốt (Class 7A)")</f>
        <v/>
      </c>
      <c r="G47" s="114">
        <f>IF(OR(ISNUMBER(SEARCH("Thermal",'01_MASTER_DATABASE'!B44)),ISNUMBER(SEARCH("cầu",'01_MASTER_DATABASE'!B44)),ISNUMBER(SEARCH("uPVC",'01_MASTER_DATABASE'!B44))),"Tuyệt đối (Class 4)","Tốt (Class 3)")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IF(OR(ISNUMBER(SEARCH("Thermal",'01_MASTER_DATABASE'!B45)),ISNUMBER(SEARCH("cầu",'01_MASTER_DATABASE'!B45)),ISNUMBER(SEARCH("uPVC",'01_MASTER_DATABASE'!B45))),"Xuất sắc (&gt;=40dB)","Tốt (&gt;=30dB)")</f>
        <v/>
      </c>
      <c r="D48" s="114">
        <f>IF(OR(ISNUMBER(SEARCH("Thermal",'01_MASTER_DATABASE'!B45)),ISNUMBER(SEARCH("cầu",'01_MASTER_DATABASE'!B45)),ISNUMBER(SEARCH("uPVC",'01_MASTER_DATABASE'!B45))),"Xuất sắc (Uf &lt;= 1.6)","Trung bình (Không cầu)")</f>
        <v/>
      </c>
      <c r="E48" s="114">
        <f>IF(OR(ISNUMBER(SEARCH("Thermal",'01_MASTER_DATABASE'!B45)),ISNUMBER(SEARCH("cầu",'01_MASTER_DATABASE'!B45)),ISNUMBER(SEARCH("uPVC",'01_MASTER_DATABASE'!B45))),"Class 4 (Đến 2000 Pa)","Class 3 (Đến 1500 Pa)")</f>
        <v/>
      </c>
      <c r="F48" s="114">
        <f>IF(OR(ISNUMBER(SEARCH("Thermal",'01_MASTER_DATABASE'!B45)),ISNUMBER(SEARCH("cầu",'01_MASTER_DATABASE'!B45)),ISNUMBER(SEARCH("uPVC",'01_MASTER_DATABASE'!B45))),"Tuyệt đối (Class 9A)","Tốt (Class 7A)")</f>
        <v/>
      </c>
      <c r="G48" s="114">
        <f>IF(OR(ISNUMBER(SEARCH("Thermal",'01_MASTER_DATABASE'!B45)),ISNUMBER(SEARCH("cầu",'01_MASTER_DATABASE'!B45)),ISNUMBER(SEARCH("uPVC",'01_MASTER_DATABASE'!B45))),"Tuyệt đối (Class 4)","Tốt (Class 3)")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IF(OR(ISNUMBER(SEARCH("Thermal",'01_MASTER_DATABASE'!B46)),ISNUMBER(SEARCH("cầu",'01_MASTER_DATABASE'!B46)),ISNUMBER(SEARCH("uPVC",'01_MASTER_DATABASE'!B46))),"Xuất sắc (&gt;=40dB)","Tốt (&gt;=30dB)")</f>
        <v/>
      </c>
      <c r="D49" s="114">
        <f>IF(OR(ISNUMBER(SEARCH("Thermal",'01_MASTER_DATABASE'!B46)),ISNUMBER(SEARCH("cầu",'01_MASTER_DATABASE'!B46)),ISNUMBER(SEARCH("uPVC",'01_MASTER_DATABASE'!B46))),"Xuất sắc (Uf &lt;= 1.6)","Trung bình (Không cầu)")</f>
        <v/>
      </c>
      <c r="E49" s="114">
        <f>IF(OR(ISNUMBER(SEARCH("Thermal",'01_MASTER_DATABASE'!B46)),ISNUMBER(SEARCH("cầu",'01_MASTER_DATABASE'!B46)),ISNUMBER(SEARCH("uPVC",'01_MASTER_DATABASE'!B46))),"Class 4 (Đến 2000 Pa)","Class 3 (Đến 1500 Pa)")</f>
        <v/>
      </c>
      <c r="F49" s="114">
        <f>IF(OR(ISNUMBER(SEARCH("Thermal",'01_MASTER_DATABASE'!B46)),ISNUMBER(SEARCH("cầu",'01_MASTER_DATABASE'!B46)),ISNUMBER(SEARCH("uPVC",'01_MASTER_DATABASE'!B46))),"Tuyệt đối (Class 9A)","Tốt (Class 7A)")</f>
        <v/>
      </c>
      <c r="G49" s="114">
        <f>IF(OR(ISNUMBER(SEARCH("Thermal",'01_MASTER_DATABASE'!B46)),ISNUMBER(SEARCH("cầu",'01_MASTER_DATABASE'!B46)),ISNUMBER(SEARCH("uPVC",'01_MASTER_DATABASE'!B46))),"Tuyệt đối (Class 4)","Tốt (Class 3)")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IF(OR(ISNUMBER(SEARCH("Thermal",'01_MASTER_DATABASE'!B47)),ISNUMBER(SEARCH("cầu",'01_MASTER_DATABASE'!B47)),ISNUMBER(SEARCH("uPVC",'01_MASTER_DATABASE'!B47))),"Xuất sắc (&gt;=40dB)","Tốt (&gt;=30dB)")</f>
        <v/>
      </c>
      <c r="D50" s="114">
        <f>IF(OR(ISNUMBER(SEARCH("Thermal",'01_MASTER_DATABASE'!B47)),ISNUMBER(SEARCH("cầu",'01_MASTER_DATABASE'!B47)),ISNUMBER(SEARCH("uPVC",'01_MASTER_DATABASE'!B47))),"Xuất sắc (Uf &lt;= 1.6)","Trung bình (Không cầu)")</f>
        <v/>
      </c>
      <c r="E50" s="114">
        <f>IF(OR(ISNUMBER(SEARCH("Thermal",'01_MASTER_DATABASE'!B47)),ISNUMBER(SEARCH("cầu",'01_MASTER_DATABASE'!B47)),ISNUMBER(SEARCH("uPVC",'01_MASTER_DATABASE'!B47))),"Class 4 (Đến 2000 Pa)","Class 3 (Đến 1500 Pa)")</f>
        <v/>
      </c>
      <c r="F50" s="114">
        <f>IF(OR(ISNUMBER(SEARCH("Thermal",'01_MASTER_DATABASE'!B47)),ISNUMBER(SEARCH("cầu",'01_MASTER_DATABASE'!B47)),ISNUMBER(SEARCH("uPVC",'01_MASTER_DATABASE'!B47))),"Tuyệt đối (Class 9A)","Tốt (Class 7A)")</f>
        <v/>
      </c>
      <c r="G50" s="114">
        <f>IF(OR(ISNUMBER(SEARCH("Thermal",'01_MASTER_DATABASE'!B47)),ISNUMBER(SEARCH("cầu",'01_MASTER_DATABASE'!B47)),ISNUMBER(SEARCH("uPVC",'01_MASTER_DATABASE'!B47))),"Tuyệt đối (Class 4)","Tốt (Class 3)")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IF(OR(ISNUMBER(SEARCH("Thermal",'01_MASTER_DATABASE'!B48)),ISNUMBER(SEARCH("cầu",'01_MASTER_DATABASE'!B48)),ISNUMBER(SEARCH("uPVC",'01_MASTER_DATABASE'!B48))),"Xuất sắc (&gt;=40dB)","Tốt (&gt;=30dB)")</f>
        <v/>
      </c>
      <c r="D51" s="114">
        <f>IF(OR(ISNUMBER(SEARCH("Thermal",'01_MASTER_DATABASE'!B48)),ISNUMBER(SEARCH("cầu",'01_MASTER_DATABASE'!B48)),ISNUMBER(SEARCH("uPVC",'01_MASTER_DATABASE'!B48))),"Xuất sắc (Uf &lt;= 1.6)","Trung bình (Không cầu)")</f>
        <v/>
      </c>
      <c r="E51" s="114">
        <f>IF(OR(ISNUMBER(SEARCH("Thermal",'01_MASTER_DATABASE'!B48)),ISNUMBER(SEARCH("cầu",'01_MASTER_DATABASE'!B48)),ISNUMBER(SEARCH("uPVC",'01_MASTER_DATABASE'!B48))),"Class 4 (Đến 2000 Pa)","Class 3 (Đến 1500 Pa)")</f>
        <v/>
      </c>
      <c r="F51" s="114">
        <f>IF(OR(ISNUMBER(SEARCH("Thermal",'01_MASTER_DATABASE'!B48)),ISNUMBER(SEARCH("cầu",'01_MASTER_DATABASE'!B48)),ISNUMBER(SEARCH("uPVC",'01_MASTER_DATABASE'!B48))),"Tuyệt đối (Class 9A)","Tốt (Class 7A)")</f>
        <v/>
      </c>
      <c r="G51" s="114">
        <f>IF(OR(ISNUMBER(SEARCH("Thermal",'01_MASTER_DATABASE'!B48)),ISNUMBER(SEARCH("cầu",'01_MASTER_DATABASE'!B48)),ISNUMBER(SEARCH("uPVC",'01_MASTER_DATABASE'!B48))),"Tuyệt đối (Class 4)","Tốt (Class 3)")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IF(OR(ISNUMBER(SEARCH("Thermal",'01_MASTER_DATABASE'!B49)),ISNUMBER(SEARCH("cầu",'01_MASTER_DATABASE'!B49)),ISNUMBER(SEARCH("uPVC",'01_MASTER_DATABASE'!B49))),"Xuất sắc (&gt;=40dB)","Tốt (&gt;=30dB)")</f>
        <v/>
      </c>
      <c r="D52" s="114">
        <f>IF(OR(ISNUMBER(SEARCH("Thermal",'01_MASTER_DATABASE'!B49)),ISNUMBER(SEARCH("cầu",'01_MASTER_DATABASE'!B49)),ISNUMBER(SEARCH("uPVC",'01_MASTER_DATABASE'!B49))),"Xuất sắc (Uf &lt;= 1.6)","Trung bình (Không cầu)")</f>
        <v/>
      </c>
      <c r="E52" s="114">
        <f>IF(OR(ISNUMBER(SEARCH("Thermal",'01_MASTER_DATABASE'!B49)),ISNUMBER(SEARCH("cầu",'01_MASTER_DATABASE'!B49)),ISNUMBER(SEARCH("uPVC",'01_MASTER_DATABASE'!B49))),"Class 4 (Đến 2000 Pa)","Class 3 (Đến 1500 Pa)")</f>
        <v/>
      </c>
      <c r="F52" s="114">
        <f>IF(OR(ISNUMBER(SEARCH("Thermal",'01_MASTER_DATABASE'!B49)),ISNUMBER(SEARCH("cầu",'01_MASTER_DATABASE'!B49)),ISNUMBER(SEARCH("uPVC",'01_MASTER_DATABASE'!B49))),"Tuyệt đối (Class 9A)","Tốt (Class 7A)")</f>
        <v/>
      </c>
      <c r="G52" s="114">
        <f>IF(OR(ISNUMBER(SEARCH("Thermal",'01_MASTER_DATABASE'!B49)),ISNUMBER(SEARCH("cầu",'01_MASTER_DATABASE'!B49)),ISNUMBER(SEARCH("uPVC",'01_MASTER_DATABASE'!B49))),"Tuyệt đối (Class 4)","Tốt (Class 3)")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IF(OR(ISNUMBER(SEARCH("Thermal",'01_MASTER_DATABASE'!B50)),ISNUMBER(SEARCH("cầu",'01_MASTER_DATABASE'!B50)),ISNUMBER(SEARCH("uPVC",'01_MASTER_DATABASE'!B50))),"Xuất sắc (&gt;=40dB)","Tốt (&gt;=30dB)")</f>
        <v/>
      </c>
      <c r="D53" s="114">
        <f>IF(OR(ISNUMBER(SEARCH("Thermal",'01_MASTER_DATABASE'!B50)),ISNUMBER(SEARCH("cầu",'01_MASTER_DATABASE'!B50)),ISNUMBER(SEARCH("uPVC",'01_MASTER_DATABASE'!B50))),"Xuất sắc (Uf &lt;= 1.6)","Trung bình (Không cầu)")</f>
        <v/>
      </c>
      <c r="E53" s="114">
        <f>IF(OR(ISNUMBER(SEARCH("Thermal",'01_MASTER_DATABASE'!B50)),ISNUMBER(SEARCH("cầu",'01_MASTER_DATABASE'!B50)),ISNUMBER(SEARCH("uPVC",'01_MASTER_DATABASE'!B50))),"Class 4 (Đến 2000 Pa)","Class 3 (Đến 1500 Pa)")</f>
        <v/>
      </c>
      <c r="F53" s="114">
        <f>IF(OR(ISNUMBER(SEARCH("Thermal",'01_MASTER_DATABASE'!B50)),ISNUMBER(SEARCH("cầu",'01_MASTER_DATABASE'!B50)),ISNUMBER(SEARCH("uPVC",'01_MASTER_DATABASE'!B50))),"Tuyệt đối (Class 9A)","Tốt (Class 7A)")</f>
        <v/>
      </c>
      <c r="G53" s="114">
        <f>IF(OR(ISNUMBER(SEARCH("Thermal",'01_MASTER_DATABASE'!B50)),ISNUMBER(SEARCH("cầu",'01_MASTER_DATABASE'!B50)),ISNUMBER(SEARCH("uPVC",'01_MASTER_DATABASE'!B50))),"Tuyệt đối (Class 4)","Tốt (Class 3)")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IF(OR(ISNUMBER(SEARCH("Thermal",'01_MASTER_DATABASE'!B51)),ISNUMBER(SEARCH("cầu",'01_MASTER_DATABASE'!B51)),ISNUMBER(SEARCH("uPVC",'01_MASTER_DATABASE'!B51))),"Xuất sắc (&gt;=40dB)","Tốt (&gt;=30dB)")</f>
        <v/>
      </c>
      <c r="D54" s="114">
        <f>IF(OR(ISNUMBER(SEARCH("Thermal",'01_MASTER_DATABASE'!B51)),ISNUMBER(SEARCH("cầu",'01_MASTER_DATABASE'!B51)),ISNUMBER(SEARCH("uPVC",'01_MASTER_DATABASE'!B51))),"Xuất sắc (Uf &lt;= 1.6)","Trung bình (Không cầu)")</f>
        <v/>
      </c>
      <c r="E54" s="114">
        <f>IF(OR(ISNUMBER(SEARCH("Thermal",'01_MASTER_DATABASE'!B51)),ISNUMBER(SEARCH("cầu",'01_MASTER_DATABASE'!B51)),ISNUMBER(SEARCH("uPVC",'01_MASTER_DATABASE'!B51))),"Class 4 (Đến 2000 Pa)","Class 3 (Đến 1500 Pa)")</f>
        <v/>
      </c>
      <c r="F54" s="114">
        <f>IF(OR(ISNUMBER(SEARCH("Thermal",'01_MASTER_DATABASE'!B51)),ISNUMBER(SEARCH("cầu",'01_MASTER_DATABASE'!B51)),ISNUMBER(SEARCH("uPVC",'01_MASTER_DATABASE'!B51))),"Tuyệt đối (Class 9A)","Tốt (Class 7A)")</f>
        <v/>
      </c>
      <c r="G54" s="114">
        <f>IF(OR(ISNUMBER(SEARCH("Thermal",'01_MASTER_DATABASE'!B51)),ISNUMBER(SEARCH("cầu",'01_MASTER_DATABASE'!B51)),ISNUMBER(SEARCH("uPVC",'01_MASTER_DATABASE'!B51))),"Tuyệt đối (Class 4)","Tốt (Class 3)")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IF(OR(ISNUMBER(SEARCH("Thermal",'01_MASTER_DATABASE'!B52)),ISNUMBER(SEARCH("cầu",'01_MASTER_DATABASE'!B52)),ISNUMBER(SEARCH("uPVC",'01_MASTER_DATABASE'!B52))),"Xuất sắc (&gt;=40dB)","Tốt (&gt;=30dB)")</f>
        <v/>
      </c>
      <c r="D55" s="114">
        <f>IF(OR(ISNUMBER(SEARCH("Thermal",'01_MASTER_DATABASE'!B52)),ISNUMBER(SEARCH("cầu",'01_MASTER_DATABASE'!B52)),ISNUMBER(SEARCH("uPVC",'01_MASTER_DATABASE'!B52))),"Xuất sắc (Uf &lt;= 1.6)","Trung bình (Không cầu)")</f>
        <v/>
      </c>
      <c r="E55" s="114">
        <f>IF(OR(ISNUMBER(SEARCH("Thermal",'01_MASTER_DATABASE'!B52)),ISNUMBER(SEARCH("cầu",'01_MASTER_DATABASE'!B52)),ISNUMBER(SEARCH("uPVC",'01_MASTER_DATABASE'!B52))),"Class 4 (Đến 2000 Pa)","Class 3 (Đến 1500 Pa)")</f>
        <v/>
      </c>
      <c r="F55" s="114">
        <f>IF(OR(ISNUMBER(SEARCH("Thermal",'01_MASTER_DATABASE'!B52)),ISNUMBER(SEARCH("cầu",'01_MASTER_DATABASE'!B52)),ISNUMBER(SEARCH("uPVC",'01_MASTER_DATABASE'!B52))),"Tuyệt đối (Class 9A)","Tốt (Class 7A)")</f>
        <v/>
      </c>
      <c r="G55" s="114">
        <f>IF(OR(ISNUMBER(SEARCH("Thermal",'01_MASTER_DATABASE'!B52)),ISNUMBER(SEARCH("cầu",'01_MASTER_DATABASE'!B52)),ISNUMBER(SEARCH("uPVC",'01_MASTER_DATABASE'!B52))),"Tuyệt đối (Class 4)","Tốt (Class 3)")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IF(OR(ISNUMBER(SEARCH("Thermal",'01_MASTER_DATABASE'!B53)),ISNUMBER(SEARCH("cầu",'01_MASTER_DATABASE'!B53)),ISNUMBER(SEARCH("uPVC",'01_MASTER_DATABASE'!B53))),"Xuất sắc (&gt;=40dB)","Tốt (&gt;=30dB)")</f>
        <v/>
      </c>
      <c r="D56" s="114">
        <f>IF(OR(ISNUMBER(SEARCH("Thermal",'01_MASTER_DATABASE'!B53)),ISNUMBER(SEARCH("cầu",'01_MASTER_DATABASE'!B53)),ISNUMBER(SEARCH("uPVC",'01_MASTER_DATABASE'!B53))),"Xuất sắc (Uf &lt;= 1.6)","Trung bình (Không cầu)")</f>
        <v/>
      </c>
      <c r="E56" s="114">
        <f>IF(OR(ISNUMBER(SEARCH("Thermal",'01_MASTER_DATABASE'!B53)),ISNUMBER(SEARCH("cầu",'01_MASTER_DATABASE'!B53)),ISNUMBER(SEARCH("uPVC",'01_MASTER_DATABASE'!B53))),"Class 4 (Đến 2000 Pa)","Class 3 (Đến 1500 Pa)")</f>
        <v/>
      </c>
      <c r="F56" s="114">
        <f>IF(OR(ISNUMBER(SEARCH("Thermal",'01_MASTER_DATABASE'!B53)),ISNUMBER(SEARCH("cầu",'01_MASTER_DATABASE'!B53)),ISNUMBER(SEARCH("uPVC",'01_MASTER_DATABASE'!B53))),"Tuyệt đối (Class 9A)","Tốt (Class 7A)")</f>
        <v/>
      </c>
      <c r="G56" s="114">
        <f>IF(OR(ISNUMBER(SEARCH("Thermal",'01_MASTER_DATABASE'!B53)),ISNUMBER(SEARCH("cầu",'01_MASTER_DATABASE'!B53)),ISNUMBER(SEARCH("uPVC",'01_MASTER_DATABASE'!B53))),"Tuyệt đối (Class 4)","Tốt (Class 3)")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IF(OR(ISNUMBER(SEARCH("Thermal",'01_MASTER_DATABASE'!B54)),ISNUMBER(SEARCH("cầu",'01_MASTER_DATABASE'!B54)),ISNUMBER(SEARCH("uPVC",'01_MASTER_DATABASE'!B54))),"Xuất sắc (&gt;=40dB)","Tốt (&gt;=30dB)")</f>
        <v/>
      </c>
      <c r="D57" s="114">
        <f>IF(OR(ISNUMBER(SEARCH("Thermal",'01_MASTER_DATABASE'!B54)),ISNUMBER(SEARCH("cầu",'01_MASTER_DATABASE'!B54)),ISNUMBER(SEARCH("uPVC",'01_MASTER_DATABASE'!B54))),"Xuất sắc (Uf &lt;= 1.6)","Trung bình (Không cầu)")</f>
        <v/>
      </c>
      <c r="E57" s="114">
        <f>IF(OR(ISNUMBER(SEARCH("Thermal",'01_MASTER_DATABASE'!B54)),ISNUMBER(SEARCH("cầu",'01_MASTER_DATABASE'!B54)),ISNUMBER(SEARCH("uPVC",'01_MASTER_DATABASE'!B54))),"Class 4 (Đến 2000 Pa)","Class 3 (Đến 1500 Pa)")</f>
        <v/>
      </c>
      <c r="F57" s="114">
        <f>IF(OR(ISNUMBER(SEARCH("Thermal",'01_MASTER_DATABASE'!B54)),ISNUMBER(SEARCH("cầu",'01_MASTER_DATABASE'!B54)),ISNUMBER(SEARCH("uPVC",'01_MASTER_DATABASE'!B54))),"Tuyệt đối (Class 9A)","Tốt (Class 7A)")</f>
        <v/>
      </c>
      <c r="G57" s="114">
        <f>IF(OR(ISNUMBER(SEARCH("Thermal",'01_MASTER_DATABASE'!B54)),ISNUMBER(SEARCH("cầu",'01_MASTER_DATABASE'!B54)),ISNUMBER(SEARCH("uPVC",'01_MASTER_DATABASE'!B54))),"Tuyệt đối (Class 4)","Tốt (Class 3)")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IF(OR(ISNUMBER(SEARCH("Thermal",'01_MASTER_DATABASE'!B55)),ISNUMBER(SEARCH("cầu",'01_MASTER_DATABASE'!B55)),ISNUMBER(SEARCH("uPVC",'01_MASTER_DATABASE'!B55))),"Xuất sắc (&gt;=40dB)","Tốt (&gt;=30dB)")</f>
        <v/>
      </c>
      <c r="D58" s="114">
        <f>IF(OR(ISNUMBER(SEARCH("Thermal",'01_MASTER_DATABASE'!B55)),ISNUMBER(SEARCH("cầu",'01_MASTER_DATABASE'!B55)),ISNUMBER(SEARCH("uPVC",'01_MASTER_DATABASE'!B55))),"Xuất sắc (Uf &lt;= 1.6)","Trung bình (Không cầu)")</f>
        <v/>
      </c>
      <c r="E58" s="114">
        <f>IF(OR(ISNUMBER(SEARCH("Thermal",'01_MASTER_DATABASE'!B55)),ISNUMBER(SEARCH("cầu",'01_MASTER_DATABASE'!B55)),ISNUMBER(SEARCH("uPVC",'01_MASTER_DATABASE'!B55))),"Class 4 (Đến 2000 Pa)","Class 3 (Đến 1500 Pa)")</f>
        <v/>
      </c>
      <c r="F58" s="114">
        <f>IF(OR(ISNUMBER(SEARCH("Thermal",'01_MASTER_DATABASE'!B55)),ISNUMBER(SEARCH("cầu",'01_MASTER_DATABASE'!B55)),ISNUMBER(SEARCH("uPVC",'01_MASTER_DATABASE'!B55))),"Tuyệt đối (Class 9A)","Tốt (Class 7A)")</f>
        <v/>
      </c>
      <c r="G58" s="114">
        <f>IF(OR(ISNUMBER(SEARCH("Thermal",'01_MASTER_DATABASE'!B55)),ISNUMBER(SEARCH("cầu",'01_MASTER_DATABASE'!B55)),ISNUMBER(SEARCH("uPVC",'01_MASTER_DATABASE'!B55))),"Tuyệt đối (Class 4)","Tốt (Class 3)")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IF(OR(ISNUMBER(SEARCH("Thermal",'01_MASTER_DATABASE'!B56)),ISNUMBER(SEARCH("cầu",'01_MASTER_DATABASE'!B56)),ISNUMBER(SEARCH("uPVC",'01_MASTER_DATABASE'!B56))),"Xuất sắc (&gt;=40dB)","Tốt (&gt;=30dB)")</f>
        <v/>
      </c>
      <c r="D59" s="114">
        <f>IF(OR(ISNUMBER(SEARCH("Thermal",'01_MASTER_DATABASE'!B56)),ISNUMBER(SEARCH("cầu",'01_MASTER_DATABASE'!B56)),ISNUMBER(SEARCH("uPVC",'01_MASTER_DATABASE'!B56))),"Xuất sắc (Uf &lt;= 1.6)","Trung bình (Không cầu)")</f>
        <v/>
      </c>
      <c r="E59" s="114">
        <f>IF(OR(ISNUMBER(SEARCH("Thermal",'01_MASTER_DATABASE'!B56)),ISNUMBER(SEARCH("cầu",'01_MASTER_DATABASE'!B56)),ISNUMBER(SEARCH("uPVC",'01_MASTER_DATABASE'!B56))),"Class 4 (Đến 2000 Pa)","Class 3 (Đến 1500 Pa)")</f>
        <v/>
      </c>
      <c r="F59" s="114">
        <f>IF(OR(ISNUMBER(SEARCH("Thermal",'01_MASTER_DATABASE'!B56)),ISNUMBER(SEARCH("cầu",'01_MASTER_DATABASE'!B56)),ISNUMBER(SEARCH("uPVC",'01_MASTER_DATABASE'!B56))),"Tuyệt đối (Class 9A)","Tốt (Class 7A)")</f>
        <v/>
      </c>
      <c r="G59" s="114">
        <f>IF(OR(ISNUMBER(SEARCH("Thermal",'01_MASTER_DATABASE'!B56)),ISNUMBER(SEARCH("cầu",'01_MASTER_DATABASE'!B56)),ISNUMBER(SEARCH("uPVC",'01_MASTER_DATABASE'!B56))),"Tuyệt đối (Class 4)","Tốt (Class 3)")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IF(OR(ISNUMBER(SEARCH("Thermal",'01_MASTER_DATABASE'!B57)),ISNUMBER(SEARCH("cầu",'01_MASTER_DATABASE'!B57)),ISNUMBER(SEARCH("uPVC",'01_MASTER_DATABASE'!B57))),"Xuất sắc (&gt;=40dB)","Tốt (&gt;=30dB)")</f>
        <v/>
      </c>
      <c r="D60" s="114">
        <f>IF(OR(ISNUMBER(SEARCH("Thermal",'01_MASTER_DATABASE'!B57)),ISNUMBER(SEARCH("cầu",'01_MASTER_DATABASE'!B57)),ISNUMBER(SEARCH("uPVC",'01_MASTER_DATABASE'!B57))),"Xuất sắc (Uf &lt;= 1.6)","Trung bình (Không cầu)")</f>
        <v/>
      </c>
      <c r="E60" s="114">
        <f>IF(OR(ISNUMBER(SEARCH("Thermal",'01_MASTER_DATABASE'!B57)),ISNUMBER(SEARCH("cầu",'01_MASTER_DATABASE'!B57)),ISNUMBER(SEARCH("uPVC",'01_MASTER_DATABASE'!B57))),"Class 4 (Đến 2000 Pa)","Class 3 (Đến 1500 Pa)")</f>
        <v/>
      </c>
      <c r="F60" s="114">
        <f>IF(OR(ISNUMBER(SEARCH("Thermal",'01_MASTER_DATABASE'!B57)),ISNUMBER(SEARCH("cầu",'01_MASTER_DATABASE'!B57)),ISNUMBER(SEARCH("uPVC",'01_MASTER_DATABASE'!B57))),"Tuyệt đối (Class 9A)","Tốt (Class 7A)")</f>
        <v/>
      </c>
      <c r="G60" s="114">
        <f>IF(OR(ISNUMBER(SEARCH("Thermal",'01_MASTER_DATABASE'!B57)),ISNUMBER(SEARCH("cầu",'01_MASTER_DATABASE'!B57)),ISNUMBER(SEARCH("uPVC",'01_MASTER_DATABASE'!B57))),"Tuyệt đối (Class 4)","Tốt (Class 3)")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IF(OR(ISNUMBER(SEARCH("Thermal",'01_MASTER_DATABASE'!B58)),ISNUMBER(SEARCH("cầu",'01_MASTER_DATABASE'!B58)),ISNUMBER(SEARCH("uPVC",'01_MASTER_DATABASE'!B58))),"Xuất sắc (&gt;=40dB)","Tốt (&gt;=30dB)")</f>
        <v/>
      </c>
      <c r="D61" s="114">
        <f>IF(OR(ISNUMBER(SEARCH("Thermal",'01_MASTER_DATABASE'!B58)),ISNUMBER(SEARCH("cầu",'01_MASTER_DATABASE'!B58)),ISNUMBER(SEARCH("uPVC",'01_MASTER_DATABASE'!B58))),"Xuất sắc (Uf &lt;= 1.6)","Trung bình (Không cầu)")</f>
        <v/>
      </c>
      <c r="E61" s="114">
        <f>IF(OR(ISNUMBER(SEARCH("Thermal",'01_MASTER_DATABASE'!B58)),ISNUMBER(SEARCH("cầu",'01_MASTER_DATABASE'!B58)),ISNUMBER(SEARCH("uPVC",'01_MASTER_DATABASE'!B58))),"Class 4 (Đến 2000 Pa)","Class 3 (Đến 1500 Pa)")</f>
        <v/>
      </c>
      <c r="F61" s="114">
        <f>IF(OR(ISNUMBER(SEARCH("Thermal",'01_MASTER_DATABASE'!B58)),ISNUMBER(SEARCH("cầu",'01_MASTER_DATABASE'!B58)),ISNUMBER(SEARCH("uPVC",'01_MASTER_DATABASE'!B58))),"Tuyệt đối (Class 9A)","Tốt (Class 7A)")</f>
        <v/>
      </c>
      <c r="G61" s="114">
        <f>IF(OR(ISNUMBER(SEARCH("Thermal",'01_MASTER_DATABASE'!B58)),ISNUMBER(SEARCH("cầu",'01_MASTER_DATABASE'!B58)),ISNUMBER(SEARCH("uPVC",'01_MASTER_DATABASE'!B58))),"Tuyệt đối (Class 4)","Tốt (Class 3)")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IF(OR(ISNUMBER(SEARCH("Thermal",'01_MASTER_DATABASE'!B59)),ISNUMBER(SEARCH("cầu",'01_MASTER_DATABASE'!B59)),ISNUMBER(SEARCH("uPVC",'01_MASTER_DATABASE'!B59))),"Xuất sắc (&gt;=40dB)","Tốt (&gt;=30dB)")</f>
        <v/>
      </c>
      <c r="D62" s="114">
        <f>IF(OR(ISNUMBER(SEARCH("Thermal",'01_MASTER_DATABASE'!B59)),ISNUMBER(SEARCH("cầu",'01_MASTER_DATABASE'!B59)),ISNUMBER(SEARCH("uPVC",'01_MASTER_DATABASE'!B59))),"Xuất sắc (Uf &lt;= 1.6)","Trung bình (Không cầu)")</f>
        <v/>
      </c>
      <c r="E62" s="114">
        <f>IF(OR(ISNUMBER(SEARCH("Thermal",'01_MASTER_DATABASE'!B59)),ISNUMBER(SEARCH("cầu",'01_MASTER_DATABASE'!B59)),ISNUMBER(SEARCH("uPVC",'01_MASTER_DATABASE'!B59))),"Class 4 (Đến 2000 Pa)","Class 3 (Đến 1500 Pa)")</f>
        <v/>
      </c>
      <c r="F62" s="114">
        <f>IF(OR(ISNUMBER(SEARCH("Thermal",'01_MASTER_DATABASE'!B59)),ISNUMBER(SEARCH("cầu",'01_MASTER_DATABASE'!B59)),ISNUMBER(SEARCH("uPVC",'01_MASTER_DATABASE'!B59))),"Tuyệt đối (Class 9A)","Tốt (Class 7A)")</f>
        <v/>
      </c>
      <c r="G62" s="114">
        <f>IF(OR(ISNUMBER(SEARCH("Thermal",'01_MASTER_DATABASE'!B59)),ISNUMBER(SEARCH("cầu",'01_MASTER_DATABASE'!B59)),ISNUMBER(SEARCH("uPVC",'01_MASTER_DATABASE'!B59))),"Tuyệt đối (Class 4)","Tốt (Class 3)")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IF(OR(ISNUMBER(SEARCH("Thermal",'01_MASTER_DATABASE'!B60)),ISNUMBER(SEARCH("cầu",'01_MASTER_DATABASE'!B60)),ISNUMBER(SEARCH("uPVC",'01_MASTER_DATABASE'!B60))),"Xuất sắc (&gt;=40dB)","Tốt (&gt;=30dB)")</f>
        <v/>
      </c>
      <c r="D63" s="114">
        <f>IF(OR(ISNUMBER(SEARCH("Thermal",'01_MASTER_DATABASE'!B60)),ISNUMBER(SEARCH("cầu",'01_MASTER_DATABASE'!B60)),ISNUMBER(SEARCH("uPVC",'01_MASTER_DATABASE'!B60))),"Xuất sắc (Uf &lt;= 1.6)","Trung bình (Không cầu)")</f>
        <v/>
      </c>
      <c r="E63" s="114">
        <f>IF(OR(ISNUMBER(SEARCH("Thermal",'01_MASTER_DATABASE'!B60)),ISNUMBER(SEARCH("cầu",'01_MASTER_DATABASE'!B60)),ISNUMBER(SEARCH("uPVC",'01_MASTER_DATABASE'!B60))),"Class 4 (Đến 2000 Pa)","Class 3 (Đến 1500 Pa)")</f>
        <v/>
      </c>
      <c r="F63" s="114">
        <f>IF(OR(ISNUMBER(SEARCH("Thermal",'01_MASTER_DATABASE'!B60)),ISNUMBER(SEARCH("cầu",'01_MASTER_DATABASE'!B60)),ISNUMBER(SEARCH("uPVC",'01_MASTER_DATABASE'!B60))),"Tuyệt đối (Class 9A)","Tốt (Class 7A)")</f>
        <v/>
      </c>
      <c r="G63" s="114">
        <f>IF(OR(ISNUMBER(SEARCH("Thermal",'01_MASTER_DATABASE'!B60)),ISNUMBER(SEARCH("cầu",'01_MASTER_DATABASE'!B60)),ISNUMBER(SEARCH("uPVC",'01_MASTER_DATABASE'!B60))),"Tuyệt đối (Class 4)","Tốt (Class 3)")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IF(OR(ISNUMBER(SEARCH("Thermal",'01_MASTER_DATABASE'!B61)),ISNUMBER(SEARCH("cầu",'01_MASTER_DATABASE'!B61)),ISNUMBER(SEARCH("uPVC",'01_MASTER_DATABASE'!B61))),"Xuất sắc (&gt;=40dB)","Tốt (&gt;=30dB)")</f>
        <v/>
      </c>
      <c r="D64" s="114">
        <f>IF(OR(ISNUMBER(SEARCH("Thermal",'01_MASTER_DATABASE'!B61)),ISNUMBER(SEARCH("cầu",'01_MASTER_DATABASE'!B61)),ISNUMBER(SEARCH("uPVC",'01_MASTER_DATABASE'!B61))),"Xuất sắc (Uf &lt;= 1.6)","Trung bình (Không cầu)")</f>
        <v/>
      </c>
      <c r="E64" s="114">
        <f>IF(OR(ISNUMBER(SEARCH("Thermal",'01_MASTER_DATABASE'!B61)),ISNUMBER(SEARCH("cầu",'01_MASTER_DATABASE'!B61)),ISNUMBER(SEARCH("uPVC",'01_MASTER_DATABASE'!B61))),"Class 4 (Đến 2000 Pa)","Class 3 (Đến 1500 Pa)")</f>
        <v/>
      </c>
      <c r="F64" s="114">
        <f>IF(OR(ISNUMBER(SEARCH("Thermal",'01_MASTER_DATABASE'!B61)),ISNUMBER(SEARCH("cầu",'01_MASTER_DATABASE'!B61)),ISNUMBER(SEARCH("uPVC",'01_MASTER_DATABASE'!B61))),"Tuyệt đối (Class 9A)","Tốt (Class 7A)")</f>
        <v/>
      </c>
      <c r="G64" s="114">
        <f>IF(OR(ISNUMBER(SEARCH("Thermal",'01_MASTER_DATABASE'!B61)),ISNUMBER(SEARCH("cầu",'01_MASTER_DATABASE'!B61)),ISNUMBER(SEARCH("uPVC",'01_MASTER_DATABASE'!B61))),"Tuyệt đối (Class 4)","Tốt (Class 3)")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IF(OR(ISNUMBER(SEARCH("Thermal",'01_MASTER_DATABASE'!B62)),ISNUMBER(SEARCH("cầu",'01_MASTER_DATABASE'!B62)),ISNUMBER(SEARCH("uPVC",'01_MASTER_DATABASE'!B62))),"Xuất sắc (&gt;=40dB)","Tốt (&gt;=30dB)")</f>
        <v/>
      </c>
      <c r="D65" s="114">
        <f>IF(OR(ISNUMBER(SEARCH("Thermal",'01_MASTER_DATABASE'!B62)),ISNUMBER(SEARCH("cầu",'01_MASTER_DATABASE'!B62)),ISNUMBER(SEARCH("uPVC",'01_MASTER_DATABASE'!B62))),"Xuất sắc (Uf &lt;= 1.6)","Trung bình (Không cầu)")</f>
        <v/>
      </c>
      <c r="E65" s="114">
        <f>IF(OR(ISNUMBER(SEARCH("Thermal",'01_MASTER_DATABASE'!B62)),ISNUMBER(SEARCH("cầu",'01_MASTER_DATABASE'!B62)),ISNUMBER(SEARCH("uPVC",'01_MASTER_DATABASE'!B62))),"Class 4 (Đến 2000 Pa)","Class 3 (Đến 1500 Pa)")</f>
        <v/>
      </c>
      <c r="F65" s="114">
        <f>IF(OR(ISNUMBER(SEARCH("Thermal",'01_MASTER_DATABASE'!B62)),ISNUMBER(SEARCH("cầu",'01_MASTER_DATABASE'!B62)),ISNUMBER(SEARCH("uPVC",'01_MASTER_DATABASE'!B62))),"Tuyệt đối (Class 9A)","Tốt (Class 7A)")</f>
        <v/>
      </c>
      <c r="G65" s="114">
        <f>IF(OR(ISNUMBER(SEARCH("Thermal",'01_MASTER_DATABASE'!B62)),ISNUMBER(SEARCH("cầu",'01_MASTER_DATABASE'!B62)),ISNUMBER(SEARCH("uPVC",'01_MASTER_DATABASE'!B62))),"Tuyệt đối (Class 4)","Tốt (Class 3)")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IF(OR(ISNUMBER(SEARCH("Thermal",'01_MASTER_DATABASE'!B63)),ISNUMBER(SEARCH("cầu",'01_MASTER_DATABASE'!B63)),ISNUMBER(SEARCH("uPVC",'01_MASTER_DATABASE'!B63))),"Xuất sắc (&gt;=40dB)","Tốt (&gt;=30dB)")</f>
        <v/>
      </c>
      <c r="D66" s="114">
        <f>IF(OR(ISNUMBER(SEARCH("Thermal",'01_MASTER_DATABASE'!B63)),ISNUMBER(SEARCH("cầu",'01_MASTER_DATABASE'!B63)),ISNUMBER(SEARCH("uPVC",'01_MASTER_DATABASE'!B63))),"Xuất sắc (Uf &lt;= 1.6)","Trung bình (Không cầu)")</f>
        <v/>
      </c>
      <c r="E66" s="114">
        <f>IF(OR(ISNUMBER(SEARCH("Thermal",'01_MASTER_DATABASE'!B63)),ISNUMBER(SEARCH("cầu",'01_MASTER_DATABASE'!B63)),ISNUMBER(SEARCH("uPVC",'01_MASTER_DATABASE'!B63))),"Class 4 (Đến 2000 Pa)","Class 3 (Đến 1500 Pa)")</f>
        <v/>
      </c>
      <c r="F66" s="114">
        <f>IF(OR(ISNUMBER(SEARCH("Thermal",'01_MASTER_DATABASE'!B63)),ISNUMBER(SEARCH("cầu",'01_MASTER_DATABASE'!B63)),ISNUMBER(SEARCH("uPVC",'01_MASTER_DATABASE'!B63))),"Tuyệt đối (Class 9A)","Tốt (Class 7A)")</f>
        <v/>
      </c>
      <c r="G66" s="114">
        <f>IF(OR(ISNUMBER(SEARCH("Thermal",'01_MASTER_DATABASE'!B63)),ISNUMBER(SEARCH("cầu",'01_MASTER_DATABASE'!B63)),ISNUMBER(SEARCH("uPVC",'01_MASTER_DATABASE'!B63))),"Tuyệt đối (Class 4)","Tốt (Class 3)")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IF(OR(ISNUMBER(SEARCH("Thermal",'01_MASTER_DATABASE'!B64)),ISNUMBER(SEARCH("cầu",'01_MASTER_DATABASE'!B64)),ISNUMBER(SEARCH("uPVC",'01_MASTER_DATABASE'!B64))),"Xuất sắc (&gt;=40dB)","Tốt (&gt;=30dB)")</f>
        <v/>
      </c>
      <c r="D67" s="114">
        <f>IF(OR(ISNUMBER(SEARCH("Thermal",'01_MASTER_DATABASE'!B64)),ISNUMBER(SEARCH("cầu",'01_MASTER_DATABASE'!B64)),ISNUMBER(SEARCH("uPVC",'01_MASTER_DATABASE'!B64))),"Xuất sắc (Uf &lt;= 1.6)","Trung bình (Không cầu)")</f>
        <v/>
      </c>
      <c r="E67" s="114">
        <f>IF(OR(ISNUMBER(SEARCH("Thermal",'01_MASTER_DATABASE'!B64)),ISNUMBER(SEARCH("cầu",'01_MASTER_DATABASE'!B64)),ISNUMBER(SEARCH("uPVC",'01_MASTER_DATABASE'!B64))),"Class 4 (Đến 2000 Pa)","Class 3 (Đến 1500 Pa)")</f>
        <v/>
      </c>
      <c r="F67" s="114">
        <f>IF(OR(ISNUMBER(SEARCH("Thermal",'01_MASTER_DATABASE'!B64)),ISNUMBER(SEARCH("cầu",'01_MASTER_DATABASE'!B64)),ISNUMBER(SEARCH("uPVC",'01_MASTER_DATABASE'!B64))),"Tuyệt đối (Class 9A)","Tốt (Class 7A)")</f>
        <v/>
      </c>
      <c r="G67" s="114">
        <f>IF(OR(ISNUMBER(SEARCH("Thermal",'01_MASTER_DATABASE'!B64)),ISNUMBER(SEARCH("cầu",'01_MASTER_DATABASE'!B64)),ISNUMBER(SEARCH("uPVC",'01_MASTER_DATABASE'!B64))),"Tuyệt đối (Class 4)","Tốt (Class 3)")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IF(OR(ISNUMBER(SEARCH("Thermal",'01_MASTER_DATABASE'!B65)),ISNUMBER(SEARCH("cầu",'01_MASTER_DATABASE'!B65)),ISNUMBER(SEARCH("uPVC",'01_MASTER_DATABASE'!B65))),"Xuất sắc (&gt;=40dB)","Tốt (&gt;=30dB)")</f>
        <v/>
      </c>
      <c r="D68" s="114">
        <f>IF(OR(ISNUMBER(SEARCH("Thermal",'01_MASTER_DATABASE'!B65)),ISNUMBER(SEARCH("cầu",'01_MASTER_DATABASE'!B65)),ISNUMBER(SEARCH("uPVC",'01_MASTER_DATABASE'!B65))),"Xuất sắc (Uf &lt;= 1.6)","Trung bình (Không cầu)")</f>
        <v/>
      </c>
      <c r="E68" s="114">
        <f>IF(OR(ISNUMBER(SEARCH("Thermal",'01_MASTER_DATABASE'!B65)),ISNUMBER(SEARCH("cầu",'01_MASTER_DATABASE'!B65)),ISNUMBER(SEARCH("uPVC",'01_MASTER_DATABASE'!B65))),"Class 4 (Đến 2000 Pa)","Class 3 (Đến 1500 Pa)")</f>
        <v/>
      </c>
      <c r="F68" s="114">
        <f>IF(OR(ISNUMBER(SEARCH("Thermal",'01_MASTER_DATABASE'!B65)),ISNUMBER(SEARCH("cầu",'01_MASTER_DATABASE'!B65)),ISNUMBER(SEARCH("uPVC",'01_MASTER_DATABASE'!B65))),"Tuyệt đối (Class 9A)","Tốt (Class 7A)")</f>
        <v/>
      </c>
      <c r="G68" s="114">
        <f>IF(OR(ISNUMBER(SEARCH("Thermal",'01_MASTER_DATABASE'!B65)),ISNUMBER(SEARCH("cầu",'01_MASTER_DATABASE'!B65)),ISNUMBER(SEARCH("uPVC",'01_MASTER_DATABASE'!B65))),"Tuyệt đối (Class 4)","Tốt (Class 3)")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IF(OR(ISNUMBER(SEARCH("Thermal",'01_MASTER_DATABASE'!B66)),ISNUMBER(SEARCH("cầu",'01_MASTER_DATABASE'!B66)),ISNUMBER(SEARCH("uPVC",'01_MASTER_DATABASE'!B66))),"Xuất sắc (&gt;=40dB)","Tốt (&gt;=30dB)")</f>
        <v/>
      </c>
      <c r="D69" s="114">
        <f>IF(OR(ISNUMBER(SEARCH("Thermal",'01_MASTER_DATABASE'!B66)),ISNUMBER(SEARCH("cầu",'01_MASTER_DATABASE'!B66)),ISNUMBER(SEARCH("uPVC",'01_MASTER_DATABASE'!B66))),"Xuất sắc (Uf &lt;= 1.6)","Trung bình (Không cầu)")</f>
        <v/>
      </c>
      <c r="E69" s="114">
        <f>IF(OR(ISNUMBER(SEARCH("Thermal",'01_MASTER_DATABASE'!B66)),ISNUMBER(SEARCH("cầu",'01_MASTER_DATABASE'!B66)),ISNUMBER(SEARCH("uPVC",'01_MASTER_DATABASE'!B66))),"Class 4 (Đến 2000 Pa)","Class 3 (Đến 1500 Pa)")</f>
        <v/>
      </c>
      <c r="F69" s="114">
        <f>IF(OR(ISNUMBER(SEARCH("Thermal",'01_MASTER_DATABASE'!B66)),ISNUMBER(SEARCH("cầu",'01_MASTER_DATABASE'!B66)),ISNUMBER(SEARCH("uPVC",'01_MASTER_DATABASE'!B66))),"Tuyệt đối (Class 9A)","Tốt (Class 7A)")</f>
        <v/>
      </c>
      <c r="G69" s="114">
        <f>IF(OR(ISNUMBER(SEARCH("Thermal",'01_MASTER_DATABASE'!B66)),ISNUMBER(SEARCH("cầu",'01_MASTER_DATABASE'!B66)),ISNUMBER(SEARCH("uPVC",'01_MASTER_DATABASE'!B66))),"Tuyệt đối (Class 4)","Tốt (Class 3)")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IF(OR(ISNUMBER(SEARCH("Thermal",'01_MASTER_DATABASE'!B67)),ISNUMBER(SEARCH("cầu",'01_MASTER_DATABASE'!B67)),ISNUMBER(SEARCH("uPVC",'01_MASTER_DATABASE'!B67))),"Xuất sắc (&gt;=40dB)","Tốt (&gt;=30dB)")</f>
        <v/>
      </c>
      <c r="D70" s="114">
        <f>IF(OR(ISNUMBER(SEARCH("Thermal",'01_MASTER_DATABASE'!B67)),ISNUMBER(SEARCH("cầu",'01_MASTER_DATABASE'!B67)),ISNUMBER(SEARCH("uPVC",'01_MASTER_DATABASE'!B67))),"Xuất sắc (Uf &lt;= 1.6)","Trung bình (Không cầu)")</f>
        <v/>
      </c>
      <c r="E70" s="114">
        <f>IF(OR(ISNUMBER(SEARCH("Thermal",'01_MASTER_DATABASE'!B67)),ISNUMBER(SEARCH("cầu",'01_MASTER_DATABASE'!B67)),ISNUMBER(SEARCH("uPVC",'01_MASTER_DATABASE'!B67))),"Class 4 (Đến 2000 Pa)","Class 3 (Đến 1500 Pa)")</f>
        <v/>
      </c>
      <c r="F70" s="114">
        <f>IF(OR(ISNUMBER(SEARCH("Thermal",'01_MASTER_DATABASE'!B67)),ISNUMBER(SEARCH("cầu",'01_MASTER_DATABASE'!B67)),ISNUMBER(SEARCH("uPVC",'01_MASTER_DATABASE'!B67))),"Tuyệt đối (Class 9A)","Tốt (Class 7A)")</f>
        <v/>
      </c>
      <c r="G70" s="114">
        <f>IF(OR(ISNUMBER(SEARCH("Thermal",'01_MASTER_DATABASE'!B67)),ISNUMBER(SEARCH("cầu",'01_MASTER_DATABASE'!B67)),ISNUMBER(SEARCH("uPVC",'01_MASTER_DATABASE'!B67))),"Tuyệt đối (Class 4)","Tốt (Class 3)")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IF(OR(ISNUMBER(SEARCH("Thermal",'01_MASTER_DATABASE'!B68)),ISNUMBER(SEARCH("cầu",'01_MASTER_DATABASE'!B68)),ISNUMBER(SEARCH("uPVC",'01_MASTER_DATABASE'!B68))),"Xuất sắc (&gt;=40dB)","Tốt (&gt;=30dB)")</f>
        <v/>
      </c>
      <c r="D71" s="114">
        <f>IF(OR(ISNUMBER(SEARCH("Thermal",'01_MASTER_DATABASE'!B68)),ISNUMBER(SEARCH("cầu",'01_MASTER_DATABASE'!B68)),ISNUMBER(SEARCH("uPVC",'01_MASTER_DATABASE'!B68))),"Xuất sắc (Uf &lt;= 1.6)","Trung bình (Không cầu)")</f>
        <v/>
      </c>
      <c r="E71" s="114">
        <f>IF(OR(ISNUMBER(SEARCH("Thermal",'01_MASTER_DATABASE'!B68)),ISNUMBER(SEARCH("cầu",'01_MASTER_DATABASE'!B68)),ISNUMBER(SEARCH("uPVC",'01_MASTER_DATABASE'!B68))),"Class 4 (Đến 2000 Pa)","Class 3 (Đến 1500 Pa)")</f>
        <v/>
      </c>
      <c r="F71" s="114">
        <f>IF(OR(ISNUMBER(SEARCH("Thermal",'01_MASTER_DATABASE'!B68)),ISNUMBER(SEARCH("cầu",'01_MASTER_DATABASE'!B68)),ISNUMBER(SEARCH("uPVC",'01_MASTER_DATABASE'!B68))),"Tuyệt đối (Class 9A)","Tốt (Class 7A)")</f>
        <v/>
      </c>
      <c r="G71" s="114">
        <f>IF(OR(ISNUMBER(SEARCH("Thermal",'01_MASTER_DATABASE'!B68)),ISNUMBER(SEARCH("cầu",'01_MASTER_DATABASE'!B68)),ISNUMBER(SEARCH("uPVC",'01_MASTER_DATABASE'!B68))),"Tuyệt đối (Class 4)","Tốt (Class 3)")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IF(OR(ISNUMBER(SEARCH("Thermal",'01_MASTER_DATABASE'!B69)),ISNUMBER(SEARCH("cầu",'01_MASTER_DATABASE'!B69)),ISNUMBER(SEARCH("uPVC",'01_MASTER_DATABASE'!B69))),"Xuất sắc (&gt;=40dB)","Tốt (&gt;=30dB)")</f>
        <v/>
      </c>
      <c r="D72" s="114">
        <f>IF(OR(ISNUMBER(SEARCH("Thermal",'01_MASTER_DATABASE'!B69)),ISNUMBER(SEARCH("cầu",'01_MASTER_DATABASE'!B69)),ISNUMBER(SEARCH("uPVC",'01_MASTER_DATABASE'!B69))),"Xuất sắc (Uf &lt;= 1.6)","Trung bình (Không cầu)")</f>
        <v/>
      </c>
      <c r="E72" s="114">
        <f>IF(OR(ISNUMBER(SEARCH("Thermal",'01_MASTER_DATABASE'!B69)),ISNUMBER(SEARCH("cầu",'01_MASTER_DATABASE'!B69)),ISNUMBER(SEARCH("uPVC",'01_MASTER_DATABASE'!B69))),"Class 4 (Đến 2000 Pa)","Class 3 (Đến 1500 Pa)")</f>
        <v/>
      </c>
      <c r="F72" s="114">
        <f>IF(OR(ISNUMBER(SEARCH("Thermal",'01_MASTER_DATABASE'!B69)),ISNUMBER(SEARCH("cầu",'01_MASTER_DATABASE'!B69)),ISNUMBER(SEARCH("uPVC",'01_MASTER_DATABASE'!B69))),"Tuyệt đối (Class 9A)","Tốt (Class 7A)")</f>
        <v/>
      </c>
      <c r="G72" s="114">
        <f>IF(OR(ISNUMBER(SEARCH("Thermal",'01_MASTER_DATABASE'!B69)),ISNUMBER(SEARCH("cầu",'01_MASTER_DATABASE'!B69)),ISNUMBER(SEARCH("uPVC",'01_MASTER_DATABASE'!B69))),"Tuyệt đối (Class 4)","Tốt (Class 3)")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IF(OR(ISNUMBER(SEARCH("Thermal",'01_MASTER_DATABASE'!B70)),ISNUMBER(SEARCH("cầu",'01_MASTER_DATABASE'!B70)),ISNUMBER(SEARCH("uPVC",'01_MASTER_DATABASE'!B70))),"Xuất sắc (&gt;=40dB)","Tốt (&gt;=30dB)")</f>
        <v/>
      </c>
      <c r="D73" s="114">
        <f>IF(OR(ISNUMBER(SEARCH("Thermal",'01_MASTER_DATABASE'!B70)),ISNUMBER(SEARCH("cầu",'01_MASTER_DATABASE'!B70)),ISNUMBER(SEARCH("uPVC",'01_MASTER_DATABASE'!B70))),"Xuất sắc (Uf &lt;= 1.6)","Trung bình (Không cầu)")</f>
        <v/>
      </c>
      <c r="E73" s="114">
        <f>IF(OR(ISNUMBER(SEARCH("Thermal",'01_MASTER_DATABASE'!B70)),ISNUMBER(SEARCH("cầu",'01_MASTER_DATABASE'!B70)),ISNUMBER(SEARCH("uPVC",'01_MASTER_DATABASE'!B70))),"Class 4 (Đến 2000 Pa)","Class 3 (Đến 1500 Pa)")</f>
        <v/>
      </c>
      <c r="F73" s="114">
        <f>IF(OR(ISNUMBER(SEARCH("Thermal",'01_MASTER_DATABASE'!B70)),ISNUMBER(SEARCH("cầu",'01_MASTER_DATABASE'!B70)),ISNUMBER(SEARCH("uPVC",'01_MASTER_DATABASE'!B70))),"Tuyệt đối (Class 9A)","Tốt (Class 7A)")</f>
        <v/>
      </c>
      <c r="G73" s="114">
        <f>IF(OR(ISNUMBER(SEARCH("Thermal",'01_MASTER_DATABASE'!B70)),ISNUMBER(SEARCH("cầu",'01_MASTER_DATABASE'!B70)),ISNUMBER(SEARCH("uPVC",'01_MASTER_DATABASE'!B70))),"Tuyệt đối (Class 4)","Tốt (Class 3)")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IF(OR(ISNUMBER(SEARCH("Thermal",'01_MASTER_DATABASE'!B71)),ISNUMBER(SEARCH("cầu",'01_MASTER_DATABASE'!B71)),ISNUMBER(SEARCH("uPVC",'01_MASTER_DATABASE'!B71))),"Xuất sắc (&gt;=40dB)","Tốt (&gt;=30dB)")</f>
        <v/>
      </c>
      <c r="D74" s="114">
        <f>IF(OR(ISNUMBER(SEARCH("Thermal",'01_MASTER_DATABASE'!B71)),ISNUMBER(SEARCH("cầu",'01_MASTER_DATABASE'!B71)),ISNUMBER(SEARCH("uPVC",'01_MASTER_DATABASE'!B71))),"Xuất sắc (Uf &lt;= 1.6)","Trung bình (Không cầu)")</f>
        <v/>
      </c>
      <c r="E74" s="114">
        <f>IF(OR(ISNUMBER(SEARCH("Thermal",'01_MASTER_DATABASE'!B71)),ISNUMBER(SEARCH("cầu",'01_MASTER_DATABASE'!B71)),ISNUMBER(SEARCH("uPVC",'01_MASTER_DATABASE'!B71))),"Class 4 (Đến 2000 Pa)","Class 3 (Đến 1500 Pa)")</f>
        <v/>
      </c>
      <c r="F74" s="114">
        <f>IF(OR(ISNUMBER(SEARCH("Thermal",'01_MASTER_DATABASE'!B71)),ISNUMBER(SEARCH("cầu",'01_MASTER_DATABASE'!B71)),ISNUMBER(SEARCH("uPVC",'01_MASTER_DATABASE'!B71))),"Tuyệt đối (Class 9A)","Tốt (Class 7A)")</f>
        <v/>
      </c>
      <c r="G74" s="114">
        <f>IF(OR(ISNUMBER(SEARCH("Thermal",'01_MASTER_DATABASE'!B71)),ISNUMBER(SEARCH("cầu",'01_MASTER_DATABASE'!B71)),ISNUMBER(SEARCH("uPVC",'01_MASTER_DATABASE'!B71))),"Tuyệt đối (Class 4)","Tốt (Class 3)")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IF(OR(ISNUMBER(SEARCH("Thermal",'01_MASTER_DATABASE'!B72)),ISNUMBER(SEARCH("cầu",'01_MASTER_DATABASE'!B72)),ISNUMBER(SEARCH("uPVC",'01_MASTER_DATABASE'!B72))),"Xuất sắc (&gt;=40dB)","Tốt (&gt;=30dB)")</f>
        <v/>
      </c>
      <c r="D75" s="114">
        <f>IF(OR(ISNUMBER(SEARCH("Thermal",'01_MASTER_DATABASE'!B72)),ISNUMBER(SEARCH("cầu",'01_MASTER_DATABASE'!B72)),ISNUMBER(SEARCH("uPVC",'01_MASTER_DATABASE'!B72))),"Xuất sắc (Uf &lt;= 1.6)","Trung bình (Không cầu)")</f>
        <v/>
      </c>
      <c r="E75" s="114">
        <f>IF(OR(ISNUMBER(SEARCH("Thermal",'01_MASTER_DATABASE'!B72)),ISNUMBER(SEARCH("cầu",'01_MASTER_DATABASE'!B72)),ISNUMBER(SEARCH("uPVC",'01_MASTER_DATABASE'!B72))),"Class 4 (Đến 2000 Pa)","Class 3 (Đến 1500 Pa)")</f>
        <v/>
      </c>
      <c r="F75" s="114">
        <f>IF(OR(ISNUMBER(SEARCH("Thermal",'01_MASTER_DATABASE'!B72)),ISNUMBER(SEARCH("cầu",'01_MASTER_DATABASE'!B72)),ISNUMBER(SEARCH("uPVC",'01_MASTER_DATABASE'!B72))),"Tuyệt đối (Class 9A)","Tốt (Class 7A)")</f>
        <v/>
      </c>
      <c r="G75" s="114">
        <f>IF(OR(ISNUMBER(SEARCH("Thermal",'01_MASTER_DATABASE'!B72)),ISNUMBER(SEARCH("cầu",'01_MASTER_DATABASE'!B72)),ISNUMBER(SEARCH("uPVC",'01_MASTER_DATABASE'!B72))),"Tuyệt đối (Class 4)","Tốt (Class 3)")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IF(OR(ISNUMBER(SEARCH("Thermal",'01_MASTER_DATABASE'!B73)),ISNUMBER(SEARCH("cầu",'01_MASTER_DATABASE'!B73)),ISNUMBER(SEARCH("uPVC",'01_MASTER_DATABASE'!B73))),"Xuất sắc (&gt;=40dB)","Tốt (&gt;=30dB)")</f>
        <v/>
      </c>
      <c r="D76" s="114">
        <f>IF(OR(ISNUMBER(SEARCH("Thermal",'01_MASTER_DATABASE'!B73)),ISNUMBER(SEARCH("cầu",'01_MASTER_DATABASE'!B73)),ISNUMBER(SEARCH("uPVC",'01_MASTER_DATABASE'!B73))),"Xuất sắc (Uf &lt;= 1.6)","Trung bình (Không cầu)")</f>
        <v/>
      </c>
      <c r="E76" s="114">
        <f>IF(OR(ISNUMBER(SEARCH("Thermal",'01_MASTER_DATABASE'!B73)),ISNUMBER(SEARCH("cầu",'01_MASTER_DATABASE'!B73)),ISNUMBER(SEARCH("uPVC",'01_MASTER_DATABASE'!B73))),"Class 4 (Đến 2000 Pa)","Class 3 (Đến 1500 Pa)")</f>
        <v/>
      </c>
      <c r="F76" s="114">
        <f>IF(OR(ISNUMBER(SEARCH("Thermal",'01_MASTER_DATABASE'!B73)),ISNUMBER(SEARCH("cầu",'01_MASTER_DATABASE'!B73)),ISNUMBER(SEARCH("uPVC",'01_MASTER_DATABASE'!B73))),"Tuyệt đối (Class 9A)","Tốt (Class 7A)")</f>
        <v/>
      </c>
      <c r="G76" s="114">
        <f>IF(OR(ISNUMBER(SEARCH("Thermal",'01_MASTER_DATABASE'!B73)),ISNUMBER(SEARCH("cầu",'01_MASTER_DATABASE'!B73)),ISNUMBER(SEARCH("uPVC",'01_MASTER_DATABASE'!B73))),"Tuyệt đối (Class 4)","Tốt (Class 3)")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IF(OR(ISNUMBER(SEARCH("Thermal",'01_MASTER_DATABASE'!B74)),ISNUMBER(SEARCH("cầu",'01_MASTER_DATABASE'!B74)),ISNUMBER(SEARCH("uPVC",'01_MASTER_DATABASE'!B74))),"Xuất sắc (&gt;=40dB)","Tốt (&gt;=30dB)")</f>
        <v/>
      </c>
      <c r="D77" s="114">
        <f>IF(OR(ISNUMBER(SEARCH("Thermal",'01_MASTER_DATABASE'!B74)),ISNUMBER(SEARCH("cầu",'01_MASTER_DATABASE'!B74)),ISNUMBER(SEARCH("uPVC",'01_MASTER_DATABASE'!B74))),"Xuất sắc (Uf &lt;= 1.6)","Trung bình (Không cầu)")</f>
        <v/>
      </c>
      <c r="E77" s="114">
        <f>IF(OR(ISNUMBER(SEARCH("Thermal",'01_MASTER_DATABASE'!B74)),ISNUMBER(SEARCH("cầu",'01_MASTER_DATABASE'!B74)),ISNUMBER(SEARCH("uPVC",'01_MASTER_DATABASE'!B74))),"Class 4 (Đến 2000 Pa)","Class 3 (Đến 1500 Pa)")</f>
        <v/>
      </c>
      <c r="F77" s="114">
        <f>IF(OR(ISNUMBER(SEARCH("Thermal",'01_MASTER_DATABASE'!B74)),ISNUMBER(SEARCH("cầu",'01_MASTER_DATABASE'!B74)),ISNUMBER(SEARCH("uPVC",'01_MASTER_DATABASE'!B74))),"Tuyệt đối (Class 9A)","Tốt (Class 7A)")</f>
        <v/>
      </c>
      <c r="G77" s="114">
        <f>IF(OR(ISNUMBER(SEARCH("Thermal",'01_MASTER_DATABASE'!B74)),ISNUMBER(SEARCH("cầu",'01_MASTER_DATABASE'!B74)),ISNUMBER(SEARCH("uPVC",'01_MASTER_DATABASE'!B74))),"Tuyệt đối (Class 4)","Tốt (Class 3)")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IF(OR(ISNUMBER(SEARCH("Thermal",'01_MASTER_DATABASE'!B75)),ISNUMBER(SEARCH("cầu",'01_MASTER_DATABASE'!B75)),ISNUMBER(SEARCH("uPVC",'01_MASTER_DATABASE'!B75))),"Xuất sắc (&gt;=40dB)","Tốt (&gt;=30dB)")</f>
        <v/>
      </c>
      <c r="D78" s="114">
        <f>IF(OR(ISNUMBER(SEARCH("Thermal",'01_MASTER_DATABASE'!B75)),ISNUMBER(SEARCH("cầu",'01_MASTER_DATABASE'!B75)),ISNUMBER(SEARCH("uPVC",'01_MASTER_DATABASE'!B75))),"Xuất sắc (Uf &lt;= 1.6)","Trung bình (Không cầu)")</f>
        <v/>
      </c>
      <c r="E78" s="114">
        <f>IF(OR(ISNUMBER(SEARCH("Thermal",'01_MASTER_DATABASE'!B75)),ISNUMBER(SEARCH("cầu",'01_MASTER_DATABASE'!B75)),ISNUMBER(SEARCH("uPVC",'01_MASTER_DATABASE'!B75))),"Class 4 (Đến 2000 Pa)","Class 3 (Đến 1500 Pa)")</f>
        <v/>
      </c>
      <c r="F78" s="114">
        <f>IF(OR(ISNUMBER(SEARCH("Thermal",'01_MASTER_DATABASE'!B75)),ISNUMBER(SEARCH("cầu",'01_MASTER_DATABASE'!B75)),ISNUMBER(SEARCH("uPVC",'01_MASTER_DATABASE'!B75))),"Tuyệt đối (Class 9A)","Tốt (Class 7A)")</f>
        <v/>
      </c>
      <c r="G78" s="114">
        <f>IF(OR(ISNUMBER(SEARCH("Thermal",'01_MASTER_DATABASE'!B75)),ISNUMBER(SEARCH("cầu",'01_MASTER_DATABASE'!B75)),ISNUMBER(SEARCH("uPVC",'01_MASTER_DATABASE'!B75))),"Tuyệt đối (Class 4)","Tốt (Class 3)")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IF(OR(ISNUMBER(SEARCH("Thermal",'01_MASTER_DATABASE'!B76)),ISNUMBER(SEARCH("cầu",'01_MASTER_DATABASE'!B76)),ISNUMBER(SEARCH("uPVC",'01_MASTER_DATABASE'!B76))),"Xuất sắc (&gt;=40dB)","Tốt (&gt;=30dB)")</f>
        <v/>
      </c>
      <c r="D79" s="114">
        <f>IF(OR(ISNUMBER(SEARCH("Thermal",'01_MASTER_DATABASE'!B76)),ISNUMBER(SEARCH("cầu",'01_MASTER_DATABASE'!B76)),ISNUMBER(SEARCH("uPVC",'01_MASTER_DATABASE'!B76))),"Xuất sắc (Uf &lt;= 1.6)","Trung bình (Không cầu)")</f>
        <v/>
      </c>
      <c r="E79" s="114">
        <f>IF(OR(ISNUMBER(SEARCH("Thermal",'01_MASTER_DATABASE'!B76)),ISNUMBER(SEARCH("cầu",'01_MASTER_DATABASE'!B76)),ISNUMBER(SEARCH("uPVC",'01_MASTER_DATABASE'!B76))),"Class 4 (Đến 2000 Pa)","Class 3 (Đến 1500 Pa)")</f>
        <v/>
      </c>
      <c r="F79" s="114">
        <f>IF(OR(ISNUMBER(SEARCH("Thermal",'01_MASTER_DATABASE'!B76)),ISNUMBER(SEARCH("cầu",'01_MASTER_DATABASE'!B76)),ISNUMBER(SEARCH("uPVC",'01_MASTER_DATABASE'!B76))),"Tuyệt đối (Class 9A)","Tốt (Class 7A)")</f>
        <v/>
      </c>
      <c r="G79" s="114">
        <f>IF(OR(ISNUMBER(SEARCH("Thermal",'01_MASTER_DATABASE'!B76)),ISNUMBER(SEARCH("cầu",'01_MASTER_DATABASE'!B76)),ISNUMBER(SEARCH("uPVC",'01_MASTER_DATABASE'!B76))),"Tuyệt đối (Class 4)","Tốt (Class 3)")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IF(OR(ISNUMBER(SEARCH("Thermal",'01_MASTER_DATABASE'!B77)),ISNUMBER(SEARCH("cầu",'01_MASTER_DATABASE'!B77)),ISNUMBER(SEARCH("uPVC",'01_MASTER_DATABASE'!B77))),"Xuất sắc (&gt;=40dB)","Tốt (&gt;=30dB)")</f>
        <v/>
      </c>
      <c r="D80" s="114">
        <f>IF(OR(ISNUMBER(SEARCH("Thermal",'01_MASTER_DATABASE'!B77)),ISNUMBER(SEARCH("cầu",'01_MASTER_DATABASE'!B77)),ISNUMBER(SEARCH("uPVC",'01_MASTER_DATABASE'!B77))),"Xuất sắc (Uf &lt;= 1.6)","Trung bình (Không cầu)")</f>
        <v/>
      </c>
      <c r="E80" s="114">
        <f>IF(OR(ISNUMBER(SEARCH("Thermal",'01_MASTER_DATABASE'!B77)),ISNUMBER(SEARCH("cầu",'01_MASTER_DATABASE'!B77)),ISNUMBER(SEARCH("uPVC",'01_MASTER_DATABASE'!B77))),"Class 4 (Đến 2000 Pa)","Class 3 (Đến 1500 Pa)")</f>
        <v/>
      </c>
      <c r="F80" s="114">
        <f>IF(OR(ISNUMBER(SEARCH("Thermal",'01_MASTER_DATABASE'!B77)),ISNUMBER(SEARCH("cầu",'01_MASTER_DATABASE'!B77)),ISNUMBER(SEARCH("uPVC",'01_MASTER_DATABASE'!B77))),"Tuyệt đối (Class 9A)","Tốt (Class 7A)")</f>
        <v/>
      </c>
      <c r="G80" s="114">
        <f>IF(OR(ISNUMBER(SEARCH("Thermal",'01_MASTER_DATABASE'!B77)),ISNUMBER(SEARCH("cầu",'01_MASTER_DATABASE'!B77)),ISNUMBER(SEARCH("uPVC",'01_MASTER_DATABASE'!B77))),"Tuyệt đối (Class 4)","Tốt (Class 3)")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IF(OR(ISNUMBER(SEARCH("Thermal",'01_MASTER_DATABASE'!B78)),ISNUMBER(SEARCH("cầu",'01_MASTER_DATABASE'!B78)),ISNUMBER(SEARCH("uPVC",'01_MASTER_DATABASE'!B78))),"Xuất sắc (&gt;=40dB)","Tốt (&gt;=30dB)")</f>
        <v/>
      </c>
      <c r="D81" s="114">
        <f>IF(OR(ISNUMBER(SEARCH("Thermal",'01_MASTER_DATABASE'!B78)),ISNUMBER(SEARCH("cầu",'01_MASTER_DATABASE'!B78)),ISNUMBER(SEARCH("uPVC",'01_MASTER_DATABASE'!B78))),"Xuất sắc (Uf &lt;= 1.6)","Trung bình (Không cầu)")</f>
        <v/>
      </c>
      <c r="E81" s="114">
        <f>IF(OR(ISNUMBER(SEARCH("Thermal",'01_MASTER_DATABASE'!B78)),ISNUMBER(SEARCH("cầu",'01_MASTER_DATABASE'!B78)),ISNUMBER(SEARCH("uPVC",'01_MASTER_DATABASE'!B78))),"Class 4 (Đến 2000 Pa)","Class 3 (Đến 1500 Pa)")</f>
        <v/>
      </c>
      <c r="F81" s="114">
        <f>IF(OR(ISNUMBER(SEARCH("Thermal",'01_MASTER_DATABASE'!B78)),ISNUMBER(SEARCH("cầu",'01_MASTER_DATABASE'!B78)),ISNUMBER(SEARCH("uPVC",'01_MASTER_DATABASE'!B78))),"Tuyệt đối (Class 9A)","Tốt (Class 7A)")</f>
        <v/>
      </c>
      <c r="G81" s="114">
        <f>IF(OR(ISNUMBER(SEARCH("Thermal",'01_MASTER_DATABASE'!B78)),ISNUMBER(SEARCH("cầu",'01_MASTER_DATABASE'!B78)),ISNUMBER(SEARCH("uPVC",'01_MASTER_DATABASE'!B78))),"Tuyệt đối (Class 4)","Tốt (Class 3)")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IF(OR(ISNUMBER(SEARCH("Thermal",'01_MASTER_DATABASE'!B79)),ISNUMBER(SEARCH("cầu",'01_MASTER_DATABASE'!B79)),ISNUMBER(SEARCH("uPVC",'01_MASTER_DATABASE'!B79))),"Xuất sắc (&gt;=40dB)","Tốt (&gt;=30dB)")</f>
        <v/>
      </c>
      <c r="D82" s="114">
        <f>IF(OR(ISNUMBER(SEARCH("Thermal",'01_MASTER_DATABASE'!B79)),ISNUMBER(SEARCH("cầu",'01_MASTER_DATABASE'!B79)),ISNUMBER(SEARCH("uPVC",'01_MASTER_DATABASE'!B79))),"Xuất sắc (Uf &lt;= 1.6)","Trung bình (Không cầu)")</f>
        <v/>
      </c>
      <c r="E82" s="114">
        <f>IF(OR(ISNUMBER(SEARCH("Thermal",'01_MASTER_DATABASE'!B79)),ISNUMBER(SEARCH("cầu",'01_MASTER_DATABASE'!B79)),ISNUMBER(SEARCH("uPVC",'01_MASTER_DATABASE'!B79))),"Class 4 (Đến 2000 Pa)","Class 3 (Đến 1500 Pa)")</f>
        <v/>
      </c>
      <c r="F82" s="114">
        <f>IF(OR(ISNUMBER(SEARCH("Thermal",'01_MASTER_DATABASE'!B79)),ISNUMBER(SEARCH("cầu",'01_MASTER_DATABASE'!B79)),ISNUMBER(SEARCH("uPVC",'01_MASTER_DATABASE'!B79))),"Tuyệt đối (Class 9A)","Tốt (Class 7A)")</f>
        <v/>
      </c>
      <c r="G82" s="114">
        <f>IF(OR(ISNUMBER(SEARCH("Thermal",'01_MASTER_DATABASE'!B79)),ISNUMBER(SEARCH("cầu",'01_MASTER_DATABASE'!B79)),ISNUMBER(SEARCH("uPVC",'01_MASTER_DATABASE'!B79))),"Tuyệt đối (Class 4)","Tốt (Class 3)")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IF(OR(ISNUMBER(SEARCH("Thermal",'01_MASTER_DATABASE'!B80)),ISNUMBER(SEARCH("cầu",'01_MASTER_DATABASE'!B80)),ISNUMBER(SEARCH("uPVC",'01_MASTER_DATABASE'!B80))),"Xuất sắc (&gt;=40dB)","Tốt (&gt;=30dB)")</f>
        <v/>
      </c>
      <c r="D83" s="114">
        <f>IF(OR(ISNUMBER(SEARCH("Thermal",'01_MASTER_DATABASE'!B80)),ISNUMBER(SEARCH("cầu",'01_MASTER_DATABASE'!B80)),ISNUMBER(SEARCH("uPVC",'01_MASTER_DATABASE'!B80))),"Xuất sắc (Uf &lt;= 1.6)","Trung bình (Không cầu)")</f>
        <v/>
      </c>
      <c r="E83" s="114">
        <f>IF(OR(ISNUMBER(SEARCH("Thermal",'01_MASTER_DATABASE'!B80)),ISNUMBER(SEARCH("cầu",'01_MASTER_DATABASE'!B80)),ISNUMBER(SEARCH("uPVC",'01_MASTER_DATABASE'!B80))),"Class 4 (Đến 2000 Pa)","Class 3 (Đến 1500 Pa)")</f>
        <v/>
      </c>
      <c r="F83" s="114">
        <f>IF(OR(ISNUMBER(SEARCH("Thermal",'01_MASTER_DATABASE'!B80)),ISNUMBER(SEARCH("cầu",'01_MASTER_DATABASE'!B80)),ISNUMBER(SEARCH("uPVC",'01_MASTER_DATABASE'!B80))),"Tuyệt đối (Class 9A)","Tốt (Class 7A)")</f>
        <v/>
      </c>
      <c r="G83" s="114">
        <f>IF(OR(ISNUMBER(SEARCH("Thermal",'01_MASTER_DATABASE'!B80)),ISNUMBER(SEARCH("cầu",'01_MASTER_DATABASE'!B80)),ISNUMBER(SEARCH("uPVC",'01_MASTER_DATABASE'!B80))),"Tuyệt đối (Class 4)","Tốt (Class 3)")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IF(OR(ISNUMBER(SEARCH("Thermal",'01_MASTER_DATABASE'!B81)),ISNUMBER(SEARCH("cầu",'01_MASTER_DATABASE'!B81)),ISNUMBER(SEARCH("uPVC",'01_MASTER_DATABASE'!B81))),"Xuất sắc (&gt;=40dB)","Tốt (&gt;=30dB)")</f>
        <v/>
      </c>
      <c r="D84" s="114">
        <f>IF(OR(ISNUMBER(SEARCH("Thermal",'01_MASTER_DATABASE'!B81)),ISNUMBER(SEARCH("cầu",'01_MASTER_DATABASE'!B81)),ISNUMBER(SEARCH("uPVC",'01_MASTER_DATABASE'!B81))),"Xuất sắc (Uf &lt;= 1.6)","Trung bình (Không cầu)")</f>
        <v/>
      </c>
      <c r="E84" s="114">
        <f>IF(OR(ISNUMBER(SEARCH("Thermal",'01_MASTER_DATABASE'!B81)),ISNUMBER(SEARCH("cầu",'01_MASTER_DATABASE'!B81)),ISNUMBER(SEARCH("uPVC",'01_MASTER_DATABASE'!B81))),"Class 4 (Đến 2000 Pa)","Class 3 (Đến 1500 Pa)")</f>
        <v/>
      </c>
      <c r="F84" s="114">
        <f>IF(OR(ISNUMBER(SEARCH("Thermal",'01_MASTER_DATABASE'!B81)),ISNUMBER(SEARCH("cầu",'01_MASTER_DATABASE'!B81)),ISNUMBER(SEARCH("uPVC",'01_MASTER_DATABASE'!B81))),"Tuyệt đối (Class 9A)","Tốt (Class 7A)")</f>
        <v/>
      </c>
      <c r="G84" s="114">
        <f>IF(OR(ISNUMBER(SEARCH("Thermal",'01_MASTER_DATABASE'!B81)),ISNUMBER(SEARCH("cầu",'01_MASTER_DATABASE'!B81)),ISNUMBER(SEARCH("uPVC",'01_MASTER_DATABASE'!B81))),"Tuyệt đối (Class 4)","Tốt (Class 3)")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IF(OR(ISNUMBER(SEARCH("Thermal",'01_MASTER_DATABASE'!B82)),ISNUMBER(SEARCH("cầu",'01_MASTER_DATABASE'!B82)),ISNUMBER(SEARCH("uPVC",'01_MASTER_DATABASE'!B82))),"Xuất sắc (&gt;=40dB)","Tốt (&gt;=30dB)")</f>
        <v/>
      </c>
      <c r="D85" s="114">
        <f>IF(OR(ISNUMBER(SEARCH("Thermal",'01_MASTER_DATABASE'!B82)),ISNUMBER(SEARCH("cầu",'01_MASTER_DATABASE'!B82)),ISNUMBER(SEARCH("uPVC",'01_MASTER_DATABASE'!B82))),"Xuất sắc (Uf &lt;= 1.6)","Trung bình (Không cầu)")</f>
        <v/>
      </c>
      <c r="E85" s="114">
        <f>IF(OR(ISNUMBER(SEARCH("Thermal",'01_MASTER_DATABASE'!B82)),ISNUMBER(SEARCH("cầu",'01_MASTER_DATABASE'!B82)),ISNUMBER(SEARCH("uPVC",'01_MASTER_DATABASE'!B82))),"Class 4 (Đến 2000 Pa)","Class 3 (Đến 1500 Pa)")</f>
        <v/>
      </c>
      <c r="F85" s="114">
        <f>IF(OR(ISNUMBER(SEARCH("Thermal",'01_MASTER_DATABASE'!B82)),ISNUMBER(SEARCH("cầu",'01_MASTER_DATABASE'!B82)),ISNUMBER(SEARCH("uPVC",'01_MASTER_DATABASE'!B82))),"Tuyệt đối (Class 9A)","Tốt (Class 7A)")</f>
        <v/>
      </c>
      <c r="G85" s="114">
        <f>IF(OR(ISNUMBER(SEARCH("Thermal",'01_MASTER_DATABASE'!B82)),ISNUMBER(SEARCH("cầu",'01_MASTER_DATABASE'!B82)),ISNUMBER(SEARCH("uPVC",'01_MASTER_DATABASE'!B82))),"Tuyệt đối (Class 4)","Tốt (Class 3)")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IF(OR(ISNUMBER(SEARCH("Thermal",'01_MASTER_DATABASE'!B83)),ISNUMBER(SEARCH("cầu",'01_MASTER_DATABASE'!B83)),ISNUMBER(SEARCH("uPVC",'01_MASTER_DATABASE'!B83))),"Xuất sắc (&gt;=40dB)","Tốt (&gt;=30dB)")</f>
        <v/>
      </c>
      <c r="D86" s="114">
        <f>IF(OR(ISNUMBER(SEARCH("Thermal",'01_MASTER_DATABASE'!B83)),ISNUMBER(SEARCH("cầu",'01_MASTER_DATABASE'!B83)),ISNUMBER(SEARCH("uPVC",'01_MASTER_DATABASE'!B83))),"Xuất sắc (Uf &lt;= 1.6)","Trung bình (Không cầu)")</f>
        <v/>
      </c>
      <c r="E86" s="114">
        <f>IF(OR(ISNUMBER(SEARCH("Thermal",'01_MASTER_DATABASE'!B83)),ISNUMBER(SEARCH("cầu",'01_MASTER_DATABASE'!B83)),ISNUMBER(SEARCH("uPVC",'01_MASTER_DATABASE'!B83))),"Class 4 (Đến 2000 Pa)","Class 3 (Đến 1500 Pa)")</f>
        <v/>
      </c>
      <c r="F86" s="114">
        <f>IF(OR(ISNUMBER(SEARCH("Thermal",'01_MASTER_DATABASE'!B83)),ISNUMBER(SEARCH("cầu",'01_MASTER_DATABASE'!B83)),ISNUMBER(SEARCH("uPVC",'01_MASTER_DATABASE'!B83))),"Tuyệt đối (Class 9A)","Tốt (Class 7A)")</f>
        <v/>
      </c>
      <c r="G86" s="114">
        <f>IF(OR(ISNUMBER(SEARCH("Thermal",'01_MASTER_DATABASE'!B83)),ISNUMBER(SEARCH("cầu",'01_MASTER_DATABASE'!B83)),ISNUMBER(SEARCH("uPVC",'01_MASTER_DATABASE'!B83))),"Tuyệt đối (Class 4)","Tốt (Class 3)")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IF(OR(ISNUMBER(SEARCH("Thermal",'01_MASTER_DATABASE'!B84)),ISNUMBER(SEARCH("cầu",'01_MASTER_DATABASE'!B84)),ISNUMBER(SEARCH("uPVC",'01_MASTER_DATABASE'!B84))),"Xuất sắc (&gt;=40dB)","Tốt (&gt;=30dB)")</f>
        <v/>
      </c>
      <c r="D87" s="114">
        <f>IF(OR(ISNUMBER(SEARCH("Thermal",'01_MASTER_DATABASE'!B84)),ISNUMBER(SEARCH("cầu",'01_MASTER_DATABASE'!B84)),ISNUMBER(SEARCH("uPVC",'01_MASTER_DATABASE'!B84))),"Xuất sắc (Uf &lt;= 1.6)","Trung bình (Không cầu)")</f>
        <v/>
      </c>
      <c r="E87" s="114">
        <f>IF(OR(ISNUMBER(SEARCH("Thermal",'01_MASTER_DATABASE'!B84)),ISNUMBER(SEARCH("cầu",'01_MASTER_DATABASE'!B84)),ISNUMBER(SEARCH("uPVC",'01_MASTER_DATABASE'!B84))),"Class 4 (Đến 2000 Pa)","Class 3 (Đến 1500 Pa)")</f>
        <v/>
      </c>
      <c r="F87" s="114">
        <f>IF(OR(ISNUMBER(SEARCH("Thermal",'01_MASTER_DATABASE'!B84)),ISNUMBER(SEARCH("cầu",'01_MASTER_DATABASE'!B84)),ISNUMBER(SEARCH("uPVC",'01_MASTER_DATABASE'!B84))),"Tuyệt đối (Class 9A)","Tốt (Class 7A)")</f>
        <v/>
      </c>
      <c r="G87" s="114">
        <f>IF(OR(ISNUMBER(SEARCH("Thermal",'01_MASTER_DATABASE'!B84)),ISNUMBER(SEARCH("cầu",'01_MASTER_DATABASE'!B84)),ISNUMBER(SEARCH("uPVC",'01_MASTER_DATABASE'!B84))),"Tuyệt đối (Class 4)","Tốt (Class 3)")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IF(OR(ISNUMBER(SEARCH("Thermal",'01_MASTER_DATABASE'!B85)),ISNUMBER(SEARCH("cầu",'01_MASTER_DATABASE'!B85)),ISNUMBER(SEARCH("uPVC",'01_MASTER_DATABASE'!B85))),"Xuất sắc (&gt;=40dB)","Tốt (&gt;=30dB)")</f>
        <v/>
      </c>
      <c r="D88" s="114">
        <f>IF(OR(ISNUMBER(SEARCH("Thermal",'01_MASTER_DATABASE'!B85)),ISNUMBER(SEARCH("cầu",'01_MASTER_DATABASE'!B85)),ISNUMBER(SEARCH("uPVC",'01_MASTER_DATABASE'!B85))),"Xuất sắc (Uf &lt;= 1.6)","Trung bình (Không cầu)")</f>
        <v/>
      </c>
      <c r="E88" s="114">
        <f>IF(OR(ISNUMBER(SEARCH("Thermal",'01_MASTER_DATABASE'!B85)),ISNUMBER(SEARCH("cầu",'01_MASTER_DATABASE'!B85)),ISNUMBER(SEARCH("uPVC",'01_MASTER_DATABASE'!B85))),"Class 4 (Đến 2000 Pa)","Class 3 (Đến 1500 Pa)")</f>
        <v/>
      </c>
      <c r="F88" s="114">
        <f>IF(OR(ISNUMBER(SEARCH("Thermal",'01_MASTER_DATABASE'!B85)),ISNUMBER(SEARCH("cầu",'01_MASTER_DATABASE'!B85)),ISNUMBER(SEARCH("uPVC",'01_MASTER_DATABASE'!B85))),"Tuyệt đối (Class 9A)","Tốt (Class 7A)")</f>
        <v/>
      </c>
      <c r="G88" s="114">
        <f>IF(OR(ISNUMBER(SEARCH("Thermal",'01_MASTER_DATABASE'!B85)),ISNUMBER(SEARCH("cầu",'01_MASTER_DATABASE'!B85)),ISNUMBER(SEARCH("uPVC",'01_MASTER_DATABASE'!B85))),"Tuyệt đối (Class 4)","Tốt (Class 3)")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IF(OR(ISNUMBER(SEARCH("Thermal",'01_MASTER_DATABASE'!B86)),ISNUMBER(SEARCH("cầu",'01_MASTER_DATABASE'!B86)),ISNUMBER(SEARCH("uPVC",'01_MASTER_DATABASE'!B86))),"Xuất sắc (&gt;=40dB)","Tốt (&gt;=30dB)")</f>
        <v/>
      </c>
      <c r="D89" s="114">
        <f>IF(OR(ISNUMBER(SEARCH("Thermal",'01_MASTER_DATABASE'!B86)),ISNUMBER(SEARCH("cầu",'01_MASTER_DATABASE'!B86)),ISNUMBER(SEARCH("uPVC",'01_MASTER_DATABASE'!B86))),"Xuất sắc (Uf &lt;= 1.6)","Trung bình (Không cầu)")</f>
        <v/>
      </c>
      <c r="E89" s="114">
        <f>IF(OR(ISNUMBER(SEARCH("Thermal",'01_MASTER_DATABASE'!B86)),ISNUMBER(SEARCH("cầu",'01_MASTER_DATABASE'!B86)),ISNUMBER(SEARCH("uPVC",'01_MASTER_DATABASE'!B86))),"Class 4 (Đến 2000 Pa)","Class 3 (Đến 1500 Pa)")</f>
        <v/>
      </c>
      <c r="F89" s="114">
        <f>IF(OR(ISNUMBER(SEARCH("Thermal",'01_MASTER_DATABASE'!B86)),ISNUMBER(SEARCH("cầu",'01_MASTER_DATABASE'!B86)),ISNUMBER(SEARCH("uPVC",'01_MASTER_DATABASE'!B86))),"Tuyệt đối (Class 9A)","Tốt (Class 7A)")</f>
        <v/>
      </c>
      <c r="G89" s="114">
        <f>IF(OR(ISNUMBER(SEARCH("Thermal",'01_MASTER_DATABASE'!B86)),ISNUMBER(SEARCH("cầu",'01_MASTER_DATABASE'!B86)),ISNUMBER(SEARCH("uPVC",'01_MASTER_DATABASE'!B86))),"Tuyệt đối (Class 4)","Tốt (Class 3)")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IF(OR(ISNUMBER(SEARCH("Thermal",'01_MASTER_DATABASE'!B87)),ISNUMBER(SEARCH("cầu",'01_MASTER_DATABASE'!B87)),ISNUMBER(SEARCH("uPVC",'01_MASTER_DATABASE'!B87))),"Xuất sắc (&gt;=40dB)","Tốt (&gt;=30dB)")</f>
        <v/>
      </c>
      <c r="D90" s="114">
        <f>IF(OR(ISNUMBER(SEARCH("Thermal",'01_MASTER_DATABASE'!B87)),ISNUMBER(SEARCH("cầu",'01_MASTER_DATABASE'!B87)),ISNUMBER(SEARCH("uPVC",'01_MASTER_DATABASE'!B87))),"Xuất sắc (Uf &lt;= 1.6)","Trung bình (Không cầu)")</f>
        <v/>
      </c>
      <c r="E90" s="114">
        <f>IF(OR(ISNUMBER(SEARCH("Thermal",'01_MASTER_DATABASE'!B87)),ISNUMBER(SEARCH("cầu",'01_MASTER_DATABASE'!B87)),ISNUMBER(SEARCH("uPVC",'01_MASTER_DATABASE'!B87))),"Class 4 (Đến 2000 Pa)","Class 3 (Đến 1500 Pa)")</f>
        <v/>
      </c>
      <c r="F90" s="114">
        <f>IF(OR(ISNUMBER(SEARCH("Thermal",'01_MASTER_DATABASE'!B87)),ISNUMBER(SEARCH("cầu",'01_MASTER_DATABASE'!B87)),ISNUMBER(SEARCH("uPVC",'01_MASTER_DATABASE'!B87))),"Tuyệt đối (Class 9A)","Tốt (Class 7A)")</f>
        <v/>
      </c>
      <c r="G90" s="114">
        <f>IF(OR(ISNUMBER(SEARCH("Thermal",'01_MASTER_DATABASE'!B87)),ISNUMBER(SEARCH("cầu",'01_MASTER_DATABASE'!B87)),ISNUMBER(SEARCH("uPVC",'01_MASTER_DATABASE'!B87))),"Tuyệt đối (Class 4)","Tốt (Class 3)")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IF(OR(ISNUMBER(SEARCH("Thermal",'01_MASTER_DATABASE'!B88)),ISNUMBER(SEARCH("cầu",'01_MASTER_DATABASE'!B88)),ISNUMBER(SEARCH("uPVC",'01_MASTER_DATABASE'!B88))),"Xuất sắc (&gt;=40dB)","Tốt (&gt;=30dB)")</f>
        <v/>
      </c>
      <c r="D91" s="114">
        <f>IF(OR(ISNUMBER(SEARCH("Thermal",'01_MASTER_DATABASE'!B88)),ISNUMBER(SEARCH("cầu",'01_MASTER_DATABASE'!B88)),ISNUMBER(SEARCH("uPVC",'01_MASTER_DATABASE'!B88))),"Xuất sắc (Uf &lt;= 1.6)","Trung bình (Không cầu)")</f>
        <v/>
      </c>
      <c r="E91" s="114">
        <f>IF(OR(ISNUMBER(SEARCH("Thermal",'01_MASTER_DATABASE'!B88)),ISNUMBER(SEARCH("cầu",'01_MASTER_DATABASE'!B88)),ISNUMBER(SEARCH("uPVC",'01_MASTER_DATABASE'!B88))),"Class 4 (Đến 2000 Pa)","Class 3 (Đến 1500 Pa)")</f>
        <v/>
      </c>
      <c r="F91" s="114">
        <f>IF(OR(ISNUMBER(SEARCH("Thermal",'01_MASTER_DATABASE'!B88)),ISNUMBER(SEARCH("cầu",'01_MASTER_DATABASE'!B88)),ISNUMBER(SEARCH("uPVC",'01_MASTER_DATABASE'!B88))),"Tuyệt đối (Class 9A)","Tốt (Class 7A)")</f>
        <v/>
      </c>
      <c r="G91" s="114">
        <f>IF(OR(ISNUMBER(SEARCH("Thermal",'01_MASTER_DATABASE'!B88)),ISNUMBER(SEARCH("cầu",'01_MASTER_DATABASE'!B88)),ISNUMBER(SEARCH("uPVC",'01_MASTER_DATABASE'!B88))),"Tuyệt đối (Class 4)","Tốt (Class 3)")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IF(OR(ISNUMBER(SEARCH("Thermal",'01_MASTER_DATABASE'!B89)),ISNUMBER(SEARCH("cầu",'01_MASTER_DATABASE'!B89)),ISNUMBER(SEARCH("uPVC",'01_MASTER_DATABASE'!B89))),"Xuất sắc (&gt;=40dB)","Tốt (&gt;=30dB)")</f>
        <v/>
      </c>
      <c r="D92" s="114">
        <f>IF(OR(ISNUMBER(SEARCH("Thermal",'01_MASTER_DATABASE'!B89)),ISNUMBER(SEARCH("cầu",'01_MASTER_DATABASE'!B89)),ISNUMBER(SEARCH("uPVC",'01_MASTER_DATABASE'!B89))),"Xuất sắc (Uf &lt;= 1.6)","Trung bình (Không cầu)")</f>
        <v/>
      </c>
      <c r="E92" s="114">
        <f>IF(OR(ISNUMBER(SEARCH("Thermal",'01_MASTER_DATABASE'!B89)),ISNUMBER(SEARCH("cầu",'01_MASTER_DATABASE'!B89)),ISNUMBER(SEARCH("uPVC",'01_MASTER_DATABASE'!B89))),"Class 4 (Đến 2000 Pa)","Class 3 (Đến 1500 Pa)")</f>
        <v/>
      </c>
      <c r="F92" s="114">
        <f>IF(OR(ISNUMBER(SEARCH("Thermal",'01_MASTER_DATABASE'!B89)),ISNUMBER(SEARCH("cầu",'01_MASTER_DATABASE'!B89)),ISNUMBER(SEARCH("uPVC",'01_MASTER_DATABASE'!B89))),"Tuyệt đối (Class 9A)","Tốt (Class 7A)")</f>
        <v/>
      </c>
      <c r="G92" s="114">
        <f>IF(OR(ISNUMBER(SEARCH("Thermal",'01_MASTER_DATABASE'!B89)),ISNUMBER(SEARCH("cầu",'01_MASTER_DATABASE'!B89)),ISNUMBER(SEARCH("uPVC",'01_MASTER_DATABASE'!B89))),"Tuyệt đối (Class 4)","Tốt (Class 3)")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IF(OR(ISNUMBER(SEARCH("Thermal",'01_MASTER_DATABASE'!B90)),ISNUMBER(SEARCH("cầu",'01_MASTER_DATABASE'!B90)),ISNUMBER(SEARCH("uPVC",'01_MASTER_DATABASE'!B90))),"Xuất sắc (&gt;=40dB)","Tốt (&gt;=30dB)")</f>
        <v/>
      </c>
      <c r="D93" s="114">
        <f>IF(OR(ISNUMBER(SEARCH("Thermal",'01_MASTER_DATABASE'!B90)),ISNUMBER(SEARCH("cầu",'01_MASTER_DATABASE'!B90)),ISNUMBER(SEARCH("uPVC",'01_MASTER_DATABASE'!B90))),"Xuất sắc (Uf &lt;= 1.6)","Trung bình (Không cầu)")</f>
        <v/>
      </c>
      <c r="E93" s="114">
        <f>IF(OR(ISNUMBER(SEARCH("Thermal",'01_MASTER_DATABASE'!B90)),ISNUMBER(SEARCH("cầu",'01_MASTER_DATABASE'!B90)),ISNUMBER(SEARCH("uPVC",'01_MASTER_DATABASE'!B90))),"Class 4 (Đến 2000 Pa)","Class 3 (Đến 1500 Pa)")</f>
        <v/>
      </c>
      <c r="F93" s="114">
        <f>IF(OR(ISNUMBER(SEARCH("Thermal",'01_MASTER_DATABASE'!B90)),ISNUMBER(SEARCH("cầu",'01_MASTER_DATABASE'!B90)),ISNUMBER(SEARCH("uPVC",'01_MASTER_DATABASE'!B90))),"Tuyệt đối (Class 9A)","Tốt (Class 7A)")</f>
        <v/>
      </c>
      <c r="G93" s="114">
        <f>IF(OR(ISNUMBER(SEARCH("Thermal",'01_MASTER_DATABASE'!B90)),ISNUMBER(SEARCH("cầu",'01_MASTER_DATABASE'!B90)),ISNUMBER(SEARCH("uPVC",'01_MASTER_DATABASE'!B90))),"Tuyệt đối (Class 4)","Tốt (Class 3)")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IF(OR(ISNUMBER(SEARCH("Thermal",'01_MASTER_DATABASE'!B91)),ISNUMBER(SEARCH("cầu",'01_MASTER_DATABASE'!B91)),ISNUMBER(SEARCH("uPVC",'01_MASTER_DATABASE'!B91))),"Xuất sắc (&gt;=40dB)","Tốt (&gt;=30dB)")</f>
        <v/>
      </c>
      <c r="D94" s="114">
        <f>IF(OR(ISNUMBER(SEARCH("Thermal",'01_MASTER_DATABASE'!B91)),ISNUMBER(SEARCH("cầu",'01_MASTER_DATABASE'!B91)),ISNUMBER(SEARCH("uPVC",'01_MASTER_DATABASE'!B91))),"Xuất sắc (Uf &lt;= 1.6)","Trung bình (Không cầu)")</f>
        <v/>
      </c>
      <c r="E94" s="114">
        <f>IF(OR(ISNUMBER(SEARCH("Thermal",'01_MASTER_DATABASE'!B91)),ISNUMBER(SEARCH("cầu",'01_MASTER_DATABASE'!B91)),ISNUMBER(SEARCH("uPVC",'01_MASTER_DATABASE'!B91))),"Class 4 (Đến 2000 Pa)","Class 3 (Đến 1500 Pa)")</f>
        <v/>
      </c>
      <c r="F94" s="114">
        <f>IF(OR(ISNUMBER(SEARCH("Thermal",'01_MASTER_DATABASE'!B91)),ISNUMBER(SEARCH("cầu",'01_MASTER_DATABASE'!B91)),ISNUMBER(SEARCH("uPVC",'01_MASTER_DATABASE'!B91))),"Tuyệt đối (Class 9A)","Tốt (Class 7A)")</f>
        <v/>
      </c>
      <c r="G94" s="114">
        <f>IF(OR(ISNUMBER(SEARCH("Thermal",'01_MASTER_DATABASE'!B91)),ISNUMBER(SEARCH("cầu",'01_MASTER_DATABASE'!B91)),ISNUMBER(SEARCH("uPVC",'01_MASTER_DATABASE'!B91))),"Tuyệt đối (Class 4)","Tốt (Class 3)")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IF(OR(ISNUMBER(SEARCH("Thermal",'01_MASTER_DATABASE'!B92)),ISNUMBER(SEARCH("cầu",'01_MASTER_DATABASE'!B92)),ISNUMBER(SEARCH("uPVC",'01_MASTER_DATABASE'!B92))),"Xuất sắc (&gt;=40dB)","Tốt (&gt;=30dB)")</f>
        <v/>
      </c>
      <c r="D95" s="114">
        <f>IF(OR(ISNUMBER(SEARCH("Thermal",'01_MASTER_DATABASE'!B92)),ISNUMBER(SEARCH("cầu",'01_MASTER_DATABASE'!B92)),ISNUMBER(SEARCH("uPVC",'01_MASTER_DATABASE'!B92))),"Xuất sắc (Uf &lt;= 1.6)","Trung bình (Không cầu)")</f>
        <v/>
      </c>
      <c r="E95" s="114">
        <f>IF(OR(ISNUMBER(SEARCH("Thermal",'01_MASTER_DATABASE'!B92)),ISNUMBER(SEARCH("cầu",'01_MASTER_DATABASE'!B92)),ISNUMBER(SEARCH("uPVC",'01_MASTER_DATABASE'!B92))),"Class 4 (Đến 2000 Pa)","Class 3 (Đến 1500 Pa)")</f>
        <v/>
      </c>
      <c r="F95" s="114">
        <f>IF(OR(ISNUMBER(SEARCH("Thermal",'01_MASTER_DATABASE'!B92)),ISNUMBER(SEARCH("cầu",'01_MASTER_DATABASE'!B92)),ISNUMBER(SEARCH("uPVC",'01_MASTER_DATABASE'!B92))),"Tuyệt đối (Class 9A)","Tốt (Class 7A)")</f>
        <v/>
      </c>
      <c r="G95" s="114">
        <f>IF(OR(ISNUMBER(SEARCH("Thermal",'01_MASTER_DATABASE'!B92)),ISNUMBER(SEARCH("cầu",'01_MASTER_DATABASE'!B92)),ISNUMBER(SEARCH("uPVC",'01_MASTER_DATABASE'!B92))),"Tuyệt đối (Class 4)","Tốt (Class 3)")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IF(OR(ISNUMBER(SEARCH("Thermal",'01_MASTER_DATABASE'!B93)),ISNUMBER(SEARCH("cầu",'01_MASTER_DATABASE'!B93)),ISNUMBER(SEARCH("uPVC",'01_MASTER_DATABASE'!B93))),"Xuất sắc (&gt;=40dB)","Tốt (&gt;=30dB)")</f>
        <v/>
      </c>
      <c r="D96" s="114">
        <f>IF(OR(ISNUMBER(SEARCH("Thermal",'01_MASTER_DATABASE'!B93)),ISNUMBER(SEARCH("cầu",'01_MASTER_DATABASE'!B93)),ISNUMBER(SEARCH("uPVC",'01_MASTER_DATABASE'!B93))),"Xuất sắc (Uf &lt;= 1.6)","Trung bình (Không cầu)")</f>
        <v/>
      </c>
      <c r="E96" s="114">
        <f>IF(OR(ISNUMBER(SEARCH("Thermal",'01_MASTER_DATABASE'!B93)),ISNUMBER(SEARCH("cầu",'01_MASTER_DATABASE'!B93)),ISNUMBER(SEARCH("uPVC",'01_MASTER_DATABASE'!B93))),"Class 4 (Đến 2000 Pa)","Class 3 (Đến 1500 Pa)")</f>
        <v/>
      </c>
      <c r="F96" s="114">
        <f>IF(OR(ISNUMBER(SEARCH("Thermal",'01_MASTER_DATABASE'!B93)),ISNUMBER(SEARCH("cầu",'01_MASTER_DATABASE'!B93)),ISNUMBER(SEARCH("uPVC",'01_MASTER_DATABASE'!B93))),"Tuyệt đối (Class 9A)","Tốt (Class 7A)")</f>
        <v/>
      </c>
      <c r="G96" s="114">
        <f>IF(OR(ISNUMBER(SEARCH("Thermal",'01_MASTER_DATABASE'!B93)),ISNUMBER(SEARCH("cầu",'01_MASTER_DATABASE'!B93)),ISNUMBER(SEARCH("uPVC",'01_MASTER_DATABASE'!B93))),"Tuyệt đối (Class 4)","Tốt (Class 3)")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IF(OR(ISNUMBER(SEARCH("Thermal",'01_MASTER_DATABASE'!B94)),ISNUMBER(SEARCH("cầu",'01_MASTER_DATABASE'!B94)),ISNUMBER(SEARCH("uPVC",'01_MASTER_DATABASE'!B94))),"Xuất sắc (&gt;=40dB)","Tốt (&gt;=30dB)")</f>
        <v/>
      </c>
      <c r="D97" s="114">
        <f>IF(OR(ISNUMBER(SEARCH("Thermal",'01_MASTER_DATABASE'!B94)),ISNUMBER(SEARCH("cầu",'01_MASTER_DATABASE'!B94)),ISNUMBER(SEARCH("uPVC",'01_MASTER_DATABASE'!B94))),"Xuất sắc (Uf &lt;= 1.6)","Trung bình (Không cầu)")</f>
        <v/>
      </c>
      <c r="E97" s="114">
        <f>IF(OR(ISNUMBER(SEARCH("Thermal",'01_MASTER_DATABASE'!B94)),ISNUMBER(SEARCH("cầu",'01_MASTER_DATABASE'!B94)),ISNUMBER(SEARCH("uPVC",'01_MASTER_DATABASE'!B94))),"Class 4 (Đến 2000 Pa)","Class 3 (Đến 1500 Pa)")</f>
        <v/>
      </c>
      <c r="F97" s="114">
        <f>IF(OR(ISNUMBER(SEARCH("Thermal",'01_MASTER_DATABASE'!B94)),ISNUMBER(SEARCH("cầu",'01_MASTER_DATABASE'!B94)),ISNUMBER(SEARCH("uPVC",'01_MASTER_DATABASE'!B94))),"Tuyệt đối (Class 9A)","Tốt (Class 7A)")</f>
        <v/>
      </c>
      <c r="G97" s="114">
        <f>IF(OR(ISNUMBER(SEARCH("Thermal",'01_MASTER_DATABASE'!B94)),ISNUMBER(SEARCH("cầu",'01_MASTER_DATABASE'!B94)),ISNUMBER(SEARCH("uPVC",'01_MASTER_DATABASE'!B94))),"Tuyệt đối (Class 4)","Tốt (Class 3)")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IF(OR(ISNUMBER(SEARCH("Thermal",'01_MASTER_DATABASE'!B95)),ISNUMBER(SEARCH("cầu",'01_MASTER_DATABASE'!B95)),ISNUMBER(SEARCH("uPVC",'01_MASTER_DATABASE'!B95))),"Xuất sắc (&gt;=40dB)","Tốt (&gt;=30dB)")</f>
        <v/>
      </c>
      <c r="D98" s="114">
        <f>IF(OR(ISNUMBER(SEARCH("Thermal",'01_MASTER_DATABASE'!B95)),ISNUMBER(SEARCH("cầu",'01_MASTER_DATABASE'!B95)),ISNUMBER(SEARCH("uPVC",'01_MASTER_DATABASE'!B95))),"Xuất sắc (Uf &lt;= 1.6)","Trung bình (Không cầu)")</f>
        <v/>
      </c>
      <c r="E98" s="114">
        <f>IF(OR(ISNUMBER(SEARCH("Thermal",'01_MASTER_DATABASE'!B95)),ISNUMBER(SEARCH("cầu",'01_MASTER_DATABASE'!B95)),ISNUMBER(SEARCH("uPVC",'01_MASTER_DATABASE'!B95))),"Class 4 (Đến 2000 Pa)","Class 3 (Đến 1500 Pa)")</f>
        <v/>
      </c>
      <c r="F98" s="114">
        <f>IF(OR(ISNUMBER(SEARCH("Thermal",'01_MASTER_DATABASE'!B95)),ISNUMBER(SEARCH("cầu",'01_MASTER_DATABASE'!B95)),ISNUMBER(SEARCH("uPVC",'01_MASTER_DATABASE'!B95))),"Tuyệt đối (Class 9A)","Tốt (Class 7A)")</f>
        <v/>
      </c>
      <c r="G98" s="114">
        <f>IF(OR(ISNUMBER(SEARCH("Thermal",'01_MASTER_DATABASE'!B95)),ISNUMBER(SEARCH("cầu",'01_MASTER_DATABASE'!B95)),ISNUMBER(SEARCH("uPVC",'01_MASTER_DATABASE'!B95))),"Tuyệt đối (Class 4)","Tốt (Class 3)")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IF(OR(ISNUMBER(SEARCH("Thermal",'01_MASTER_DATABASE'!B96)),ISNUMBER(SEARCH("cầu",'01_MASTER_DATABASE'!B96)),ISNUMBER(SEARCH("uPVC",'01_MASTER_DATABASE'!B96))),"Xuất sắc (&gt;=40dB)","Tốt (&gt;=30dB)")</f>
        <v/>
      </c>
      <c r="D99" s="114">
        <f>IF(OR(ISNUMBER(SEARCH("Thermal",'01_MASTER_DATABASE'!B96)),ISNUMBER(SEARCH("cầu",'01_MASTER_DATABASE'!B96)),ISNUMBER(SEARCH("uPVC",'01_MASTER_DATABASE'!B96))),"Xuất sắc (Uf &lt;= 1.6)","Trung bình (Không cầu)")</f>
        <v/>
      </c>
      <c r="E99" s="114">
        <f>IF(OR(ISNUMBER(SEARCH("Thermal",'01_MASTER_DATABASE'!B96)),ISNUMBER(SEARCH("cầu",'01_MASTER_DATABASE'!B96)),ISNUMBER(SEARCH("uPVC",'01_MASTER_DATABASE'!B96))),"Class 4 (Đến 2000 Pa)","Class 3 (Đến 1500 Pa)")</f>
        <v/>
      </c>
      <c r="F99" s="114">
        <f>IF(OR(ISNUMBER(SEARCH("Thermal",'01_MASTER_DATABASE'!B96)),ISNUMBER(SEARCH("cầu",'01_MASTER_DATABASE'!B96)),ISNUMBER(SEARCH("uPVC",'01_MASTER_DATABASE'!B96))),"Tuyệt đối (Class 9A)","Tốt (Class 7A)")</f>
        <v/>
      </c>
      <c r="G99" s="114">
        <f>IF(OR(ISNUMBER(SEARCH("Thermal",'01_MASTER_DATABASE'!B96)),ISNUMBER(SEARCH("cầu",'01_MASTER_DATABASE'!B96)),ISNUMBER(SEARCH("uPVC",'01_MASTER_DATABASE'!B96))),"Tuyệt đối (Class 4)","Tốt (Class 3)")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IF(OR(ISNUMBER(SEARCH("Thermal",'01_MASTER_DATABASE'!B97)),ISNUMBER(SEARCH("cầu",'01_MASTER_DATABASE'!B97)),ISNUMBER(SEARCH("uPVC",'01_MASTER_DATABASE'!B97))),"Xuất sắc (&gt;=40dB)","Tốt (&gt;=30dB)")</f>
        <v/>
      </c>
      <c r="D100" s="114">
        <f>IF(OR(ISNUMBER(SEARCH("Thermal",'01_MASTER_DATABASE'!B97)),ISNUMBER(SEARCH("cầu",'01_MASTER_DATABASE'!B97)),ISNUMBER(SEARCH("uPVC",'01_MASTER_DATABASE'!B97))),"Xuất sắc (Uf &lt;= 1.6)","Trung bình (Không cầu)")</f>
        <v/>
      </c>
      <c r="E100" s="114">
        <f>IF(OR(ISNUMBER(SEARCH("Thermal",'01_MASTER_DATABASE'!B97)),ISNUMBER(SEARCH("cầu",'01_MASTER_DATABASE'!B97)),ISNUMBER(SEARCH("uPVC",'01_MASTER_DATABASE'!B97))),"Class 4 (Đến 2000 Pa)","Class 3 (Đến 1500 Pa)")</f>
        <v/>
      </c>
      <c r="F100" s="114">
        <f>IF(OR(ISNUMBER(SEARCH("Thermal",'01_MASTER_DATABASE'!B97)),ISNUMBER(SEARCH("cầu",'01_MASTER_DATABASE'!B97)),ISNUMBER(SEARCH("uPVC",'01_MASTER_DATABASE'!B97))),"Tuyệt đối (Class 9A)","Tốt (Class 7A)")</f>
        <v/>
      </c>
      <c r="G100" s="114">
        <f>IF(OR(ISNUMBER(SEARCH("Thermal",'01_MASTER_DATABASE'!B97)),ISNUMBER(SEARCH("cầu",'01_MASTER_DATABASE'!B97)),ISNUMBER(SEARCH("uPVC",'01_MASTER_DATABASE'!B97))),"Tuyệt đối (Class 4)","Tốt (Class 3)")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IF(OR(ISNUMBER(SEARCH("Thermal",'01_MASTER_DATABASE'!B98)),ISNUMBER(SEARCH("cầu",'01_MASTER_DATABASE'!B98)),ISNUMBER(SEARCH("uPVC",'01_MASTER_DATABASE'!B98))),"Xuất sắc (&gt;=40dB)","Tốt (&gt;=30dB)")</f>
        <v/>
      </c>
      <c r="D101" s="114">
        <f>IF(OR(ISNUMBER(SEARCH("Thermal",'01_MASTER_DATABASE'!B98)),ISNUMBER(SEARCH("cầu",'01_MASTER_DATABASE'!B98)),ISNUMBER(SEARCH("uPVC",'01_MASTER_DATABASE'!B98))),"Xuất sắc (Uf &lt;= 1.6)","Trung bình (Không cầu)")</f>
        <v/>
      </c>
      <c r="E101" s="114">
        <f>IF(OR(ISNUMBER(SEARCH("Thermal",'01_MASTER_DATABASE'!B98)),ISNUMBER(SEARCH("cầu",'01_MASTER_DATABASE'!B98)),ISNUMBER(SEARCH("uPVC",'01_MASTER_DATABASE'!B98))),"Class 4 (Đến 2000 Pa)","Class 3 (Đến 1500 Pa)")</f>
        <v/>
      </c>
      <c r="F101" s="114">
        <f>IF(OR(ISNUMBER(SEARCH("Thermal",'01_MASTER_DATABASE'!B98)),ISNUMBER(SEARCH("cầu",'01_MASTER_DATABASE'!B98)),ISNUMBER(SEARCH("uPVC",'01_MASTER_DATABASE'!B98))),"Tuyệt đối (Class 9A)","Tốt (Class 7A)")</f>
        <v/>
      </c>
      <c r="G101" s="114">
        <f>IF(OR(ISNUMBER(SEARCH("Thermal",'01_MASTER_DATABASE'!B98)),ISNUMBER(SEARCH("cầu",'01_MASTER_DATABASE'!B98)),ISNUMBER(SEARCH("uPVC",'01_MASTER_DATABASE'!B98))),"Tuyệt đối (Class 4)","Tốt (Class 3)")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IF(OR(ISNUMBER(SEARCH("Thermal",'01_MASTER_DATABASE'!B99)),ISNUMBER(SEARCH("cầu",'01_MASTER_DATABASE'!B99)),ISNUMBER(SEARCH("uPVC",'01_MASTER_DATABASE'!B99))),"Xuất sắc (&gt;=40dB)","Tốt (&gt;=30dB)")</f>
        <v/>
      </c>
      <c r="D102" s="114">
        <f>IF(OR(ISNUMBER(SEARCH("Thermal",'01_MASTER_DATABASE'!B99)),ISNUMBER(SEARCH("cầu",'01_MASTER_DATABASE'!B99)),ISNUMBER(SEARCH("uPVC",'01_MASTER_DATABASE'!B99))),"Xuất sắc (Uf &lt;= 1.6)","Trung bình (Không cầu)")</f>
        <v/>
      </c>
      <c r="E102" s="114">
        <f>IF(OR(ISNUMBER(SEARCH("Thermal",'01_MASTER_DATABASE'!B99)),ISNUMBER(SEARCH("cầu",'01_MASTER_DATABASE'!B99)),ISNUMBER(SEARCH("uPVC",'01_MASTER_DATABASE'!B99))),"Class 4 (Đến 2000 Pa)","Class 3 (Đến 1500 Pa)")</f>
        <v/>
      </c>
      <c r="F102" s="114">
        <f>IF(OR(ISNUMBER(SEARCH("Thermal",'01_MASTER_DATABASE'!B99)),ISNUMBER(SEARCH("cầu",'01_MASTER_DATABASE'!B99)),ISNUMBER(SEARCH("uPVC",'01_MASTER_DATABASE'!B99))),"Tuyệt đối (Class 9A)","Tốt (Class 7A)")</f>
        <v/>
      </c>
      <c r="G102" s="114">
        <f>IF(OR(ISNUMBER(SEARCH("Thermal",'01_MASTER_DATABASE'!B99)),ISNUMBER(SEARCH("cầu",'01_MASTER_DATABASE'!B99)),ISNUMBER(SEARCH("uPVC",'01_MASTER_DATABASE'!B99))),"Tuyệt đối (Class 4)","Tốt (Class 3)")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IF(OR(ISNUMBER(SEARCH("Thermal",'01_MASTER_DATABASE'!B100)),ISNUMBER(SEARCH("cầu",'01_MASTER_DATABASE'!B100)),ISNUMBER(SEARCH("uPVC",'01_MASTER_DATABASE'!B100))),"Xuất sắc (&gt;=40dB)","Tốt (&gt;=30dB)")</f>
        <v/>
      </c>
      <c r="D103" s="114">
        <f>IF(OR(ISNUMBER(SEARCH("Thermal",'01_MASTER_DATABASE'!B100)),ISNUMBER(SEARCH("cầu",'01_MASTER_DATABASE'!B100)),ISNUMBER(SEARCH("uPVC",'01_MASTER_DATABASE'!B100))),"Xuất sắc (Uf &lt;= 1.6)","Trung bình (Không cầu)")</f>
        <v/>
      </c>
      <c r="E103" s="114">
        <f>IF(OR(ISNUMBER(SEARCH("Thermal",'01_MASTER_DATABASE'!B100)),ISNUMBER(SEARCH("cầu",'01_MASTER_DATABASE'!B100)),ISNUMBER(SEARCH("uPVC",'01_MASTER_DATABASE'!B100))),"Class 4 (Đến 2000 Pa)","Class 3 (Đến 1500 Pa)")</f>
        <v/>
      </c>
      <c r="F103" s="114">
        <f>IF(OR(ISNUMBER(SEARCH("Thermal",'01_MASTER_DATABASE'!B100)),ISNUMBER(SEARCH("cầu",'01_MASTER_DATABASE'!B100)),ISNUMBER(SEARCH("uPVC",'01_MASTER_DATABASE'!B100))),"Tuyệt đối (Class 9A)","Tốt (Class 7A)")</f>
        <v/>
      </c>
      <c r="G103" s="114">
        <f>IF(OR(ISNUMBER(SEARCH("Thermal",'01_MASTER_DATABASE'!B100)),ISNUMBER(SEARCH("cầu",'01_MASTER_DATABASE'!B100)),ISNUMBER(SEARCH("uPVC",'01_MASTER_DATABASE'!B100))),"Tuyệt đối (Class 4)","Tốt (Class 3)")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IF(OR(ISNUMBER(SEARCH("Thermal",'01_MASTER_DATABASE'!B101)),ISNUMBER(SEARCH("cầu",'01_MASTER_DATABASE'!B101)),ISNUMBER(SEARCH("uPVC",'01_MASTER_DATABASE'!B101))),"Xuất sắc (&gt;=40dB)","Tốt (&gt;=30dB)")</f>
        <v/>
      </c>
      <c r="D104" s="114">
        <f>IF(OR(ISNUMBER(SEARCH("Thermal",'01_MASTER_DATABASE'!B101)),ISNUMBER(SEARCH("cầu",'01_MASTER_DATABASE'!B101)),ISNUMBER(SEARCH("uPVC",'01_MASTER_DATABASE'!B101))),"Xuất sắc (Uf &lt;= 1.6)","Trung bình (Không cầu)")</f>
        <v/>
      </c>
      <c r="E104" s="114">
        <f>IF(OR(ISNUMBER(SEARCH("Thermal",'01_MASTER_DATABASE'!B101)),ISNUMBER(SEARCH("cầu",'01_MASTER_DATABASE'!B101)),ISNUMBER(SEARCH("uPVC",'01_MASTER_DATABASE'!B101))),"Class 4 (Đến 2000 Pa)","Class 3 (Đến 1500 Pa)")</f>
        <v/>
      </c>
      <c r="F104" s="114">
        <f>IF(OR(ISNUMBER(SEARCH("Thermal",'01_MASTER_DATABASE'!B101)),ISNUMBER(SEARCH("cầu",'01_MASTER_DATABASE'!B101)),ISNUMBER(SEARCH("uPVC",'01_MASTER_DATABASE'!B101))),"Tuyệt đối (Class 9A)","Tốt (Class 7A)")</f>
        <v/>
      </c>
      <c r="G104" s="114">
        <f>IF(OR(ISNUMBER(SEARCH("Thermal",'01_MASTER_DATABASE'!B101)),ISNUMBER(SEARCH("cầu",'01_MASTER_DATABASE'!B101)),ISNUMBER(SEARCH("uPVC",'01_MASTER_DATABASE'!B101))),"Tuyệt đối (Class 4)","Tốt (Class 3)")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IF(OR(ISNUMBER(SEARCH("Thermal",'01_MASTER_DATABASE'!B102)),ISNUMBER(SEARCH("cầu",'01_MASTER_DATABASE'!B102)),ISNUMBER(SEARCH("uPVC",'01_MASTER_DATABASE'!B102))),"Xuất sắc (&gt;=40dB)","Tốt (&gt;=30dB)")</f>
        <v/>
      </c>
      <c r="D105" s="114">
        <f>IF(OR(ISNUMBER(SEARCH("Thermal",'01_MASTER_DATABASE'!B102)),ISNUMBER(SEARCH("cầu",'01_MASTER_DATABASE'!B102)),ISNUMBER(SEARCH("uPVC",'01_MASTER_DATABASE'!B102))),"Xuất sắc (Uf &lt;= 1.6)","Trung bình (Không cầu)")</f>
        <v/>
      </c>
      <c r="E105" s="114">
        <f>IF(OR(ISNUMBER(SEARCH("Thermal",'01_MASTER_DATABASE'!B102)),ISNUMBER(SEARCH("cầu",'01_MASTER_DATABASE'!B102)),ISNUMBER(SEARCH("uPVC",'01_MASTER_DATABASE'!B102))),"Class 4 (Đến 2000 Pa)","Class 3 (Đến 1500 Pa)")</f>
        <v/>
      </c>
      <c r="F105" s="114">
        <f>IF(OR(ISNUMBER(SEARCH("Thermal",'01_MASTER_DATABASE'!B102)),ISNUMBER(SEARCH("cầu",'01_MASTER_DATABASE'!B102)),ISNUMBER(SEARCH("uPVC",'01_MASTER_DATABASE'!B102))),"Tuyệt đối (Class 9A)","Tốt (Class 7A)")</f>
        <v/>
      </c>
      <c r="G105" s="114">
        <f>IF(OR(ISNUMBER(SEARCH("Thermal",'01_MASTER_DATABASE'!B102)),ISNUMBER(SEARCH("cầu",'01_MASTER_DATABASE'!B102)),ISNUMBER(SEARCH("uPVC",'01_MASTER_DATABASE'!B102))),"Tuyệt đối (Class 4)","Tốt (Class 3)")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IF(OR(ISNUMBER(SEARCH("Thermal",'01_MASTER_DATABASE'!B103)),ISNUMBER(SEARCH("cầu",'01_MASTER_DATABASE'!B103)),ISNUMBER(SEARCH("uPVC",'01_MASTER_DATABASE'!B103))),"Xuất sắc (&gt;=40dB)","Tốt (&gt;=30dB)")</f>
        <v/>
      </c>
      <c r="D106" s="114">
        <f>IF(OR(ISNUMBER(SEARCH("Thermal",'01_MASTER_DATABASE'!B103)),ISNUMBER(SEARCH("cầu",'01_MASTER_DATABASE'!B103)),ISNUMBER(SEARCH("uPVC",'01_MASTER_DATABASE'!B103))),"Xuất sắc (Uf &lt;= 1.6)","Trung bình (Không cầu)")</f>
        <v/>
      </c>
      <c r="E106" s="114">
        <f>IF(OR(ISNUMBER(SEARCH("Thermal",'01_MASTER_DATABASE'!B103)),ISNUMBER(SEARCH("cầu",'01_MASTER_DATABASE'!B103)),ISNUMBER(SEARCH("uPVC",'01_MASTER_DATABASE'!B103))),"Class 4 (Đến 2000 Pa)","Class 3 (Đến 1500 Pa)")</f>
        <v/>
      </c>
      <c r="F106" s="114">
        <f>IF(OR(ISNUMBER(SEARCH("Thermal",'01_MASTER_DATABASE'!B103)),ISNUMBER(SEARCH("cầu",'01_MASTER_DATABASE'!B103)),ISNUMBER(SEARCH("uPVC",'01_MASTER_DATABASE'!B103))),"Tuyệt đối (Class 9A)","Tốt (Class 7A)")</f>
        <v/>
      </c>
      <c r="G106" s="114">
        <f>IF(OR(ISNUMBER(SEARCH("Thermal",'01_MASTER_DATABASE'!B103)),ISNUMBER(SEARCH("cầu",'01_MASTER_DATABASE'!B103)),ISNUMBER(SEARCH("uPVC",'01_MASTER_DATABASE'!B103))),"Tuyệt đối (Class 4)","Tốt (Class 3)")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IF(OR(ISNUMBER(SEARCH("Thermal",'01_MASTER_DATABASE'!B104)),ISNUMBER(SEARCH("cầu",'01_MASTER_DATABASE'!B104)),ISNUMBER(SEARCH("uPVC",'01_MASTER_DATABASE'!B104))),"Xuất sắc (&gt;=40dB)","Tốt (&gt;=30dB)")</f>
        <v/>
      </c>
      <c r="D107" s="114">
        <f>IF(OR(ISNUMBER(SEARCH("Thermal",'01_MASTER_DATABASE'!B104)),ISNUMBER(SEARCH("cầu",'01_MASTER_DATABASE'!B104)),ISNUMBER(SEARCH("uPVC",'01_MASTER_DATABASE'!B104))),"Xuất sắc (Uf &lt;= 1.6)","Trung bình (Không cầu)")</f>
        <v/>
      </c>
      <c r="E107" s="114">
        <f>IF(OR(ISNUMBER(SEARCH("Thermal",'01_MASTER_DATABASE'!B104)),ISNUMBER(SEARCH("cầu",'01_MASTER_DATABASE'!B104)),ISNUMBER(SEARCH("uPVC",'01_MASTER_DATABASE'!B104))),"Class 4 (Đến 2000 Pa)","Class 3 (Đến 1500 Pa)")</f>
        <v/>
      </c>
      <c r="F107" s="114">
        <f>IF(OR(ISNUMBER(SEARCH("Thermal",'01_MASTER_DATABASE'!B104)),ISNUMBER(SEARCH("cầu",'01_MASTER_DATABASE'!B104)),ISNUMBER(SEARCH("uPVC",'01_MASTER_DATABASE'!B104))),"Tuyệt đối (Class 9A)","Tốt (Class 7A)")</f>
        <v/>
      </c>
      <c r="G107" s="114">
        <f>IF(OR(ISNUMBER(SEARCH("Thermal",'01_MASTER_DATABASE'!B104)),ISNUMBER(SEARCH("cầu",'01_MASTER_DATABASE'!B104)),ISNUMBER(SEARCH("uPVC",'01_MASTER_DATABASE'!B104))),"Tuyệt đối (Class 4)","Tốt (Class 3)")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IF(OR(ISNUMBER(SEARCH("Thermal",'01_MASTER_DATABASE'!B105)),ISNUMBER(SEARCH("cầu",'01_MASTER_DATABASE'!B105)),ISNUMBER(SEARCH("uPVC",'01_MASTER_DATABASE'!B105))),"Xuất sắc (&gt;=40dB)","Tốt (&gt;=30dB)")</f>
        <v/>
      </c>
      <c r="D108" s="114">
        <f>IF(OR(ISNUMBER(SEARCH("Thermal",'01_MASTER_DATABASE'!B105)),ISNUMBER(SEARCH("cầu",'01_MASTER_DATABASE'!B105)),ISNUMBER(SEARCH("uPVC",'01_MASTER_DATABASE'!B105))),"Xuất sắc (Uf &lt;= 1.6)","Trung bình (Không cầu)")</f>
        <v/>
      </c>
      <c r="E108" s="114">
        <f>IF(OR(ISNUMBER(SEARCH("Thermal",'01_MASTER_DATABASE'!B105)),ISNUMBER(SEARCH("cầu",'01_MASTER_DATABASE'!B105)),ISNUMBER(SEARCH("uPVC",'01_MASTER_DATABASE'!B105))),"Class 4 (Đến 2000 Pa)","Class 3 (Đến 1500 Pa)")</f>
        <v/>
      </c>
      <c r="F108" s="114">
        <f>IF(OR(ISNUMBER(SEARCH("Thermal",'01_MASTER_DATABASE'!B105)),ISNUMBER(SEARCH("cầu",'01_MASTER_DATABASE'!B105)),ISNUMBER(SEARCH("uPVC",'01_MASTER_DATABASE'!B105))),"Tuyệt đối (Class 9A)","Tốt (Class 7A)")</f>
        <v/>
      </c>
      <c r="G108" s="114">
        <f>IF(OR(ISNUMBER(SEARCH("Thermal",'01_MASTER_DATABASE'!B105)),ISNUMBER(SEARCH("cầu",'01_MASTER_DATABASE'!B105)),ISNUMBER(SEARCH("uPVC",'01_MASTER_DATABASE'!B105))),"Tuyệt đối (Class 4)","Tốt (Class 3)")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IF(OR(ISNUMBER(SEARCH("Thermal",'01_MASTER_DATABASE'!B106)),ISNUMBER(SEARCH("cầu",'01_MASTER_DATABASE'!B106)),ISNUMBER(SEARCH("uPVC",'01_MASTER_DATABASE'!B106))),"Xuất sắc (&gt;=40dB)","Tốt (&gt;=30dB)")</f>
        <v/>
      </c>
      <c r="D109" s="114">
        <f>IF(OR(ISNUMBER(SEARCH("Thermal",'01_MASTER_DATABASE'!B106)),ISNUMBER(SEARCH("cầu",'01_MASTER_DATABASE'!B106)),ISNUMBER(SEARCH("uPVC",'01_MASTER_DATABASE'!B106))),"Xuất sắc (Uf &lt;= 1.6)","Trung bình (Không cầu)")</f>
        <v/>
      </c>
      <c r="E109" s="114">
        <f>IF(OR(ISNUMBER(SEARCH("Thermal",'01_MASTER_DATABASE'!B106)),ISNUMBER(SEARCH("cầu",'01_MASTER_DATABASE'!B106)),ISNUMBER(SEARCH("uPVC",'01_MASTER_DATABASE'!B106))),"Class 4 (Đến 2000 Pa)","Class 3 (Đến 1500 Pa)")</f>
        <v/>
      </c>
      <c r="F109" s="114">
        <f>IF(OR(ISNUMBER(SEARCH("Thermal",'01_MASTER_DATABASE'!B106)),ISNUMBER(SEARCH("cầu",'01_MASTER_DATABASE'!B106)),ISNUMBER(SEARCH("uPVC",'01_MASTER_DATABASE'!B106))),"Tuyệt đối (Class 9A)","Tốt (Class 7A)")</f>
        <v/>
      </c>
      <c r="G109" s="114">
        <f>IF(OR(ISNUMBER(SEARCH("Thermal",'01_MASTER_DATABASE'!B106)),ISNUMBER(SEARCH("cầu",'01_MASTER_DATABASE'!B106)),ISNUMBER(SEARCH("uPVC",'01_MASTER_DATABASE'!B106))),"Tuyệt đối (Class 4)","Tốt (Class 3)")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IF(OR(ISNUMBER(SEARCH("Thermal",'01_MASTER_DATABASE'!B107)),ISNUMBER(SEARCH("cầu",'01_MASTER_DATABASE'!B107)),ISNUMBER(SEARCH("uPVC",'01_MASTER_DATABASE'!B107))),"Xuất sắc (&gt;=40dB)","Tốt (&gt;=30dB)")</f>
        <v/>
      </c>
      <c r="D110" s="114">
        <f>IF(OR(ISNUMBER(SEARCH("Thermal",'01_MASTER_DATABASE'!B107)),ISNUMBER(SEARCH("cầu",'01_MASTER_DATABASE'!B107)),ISNUMBER(SEARCH("uPVC",'01_MASTER_DATABASE'!B107))),"Xuất sắc (Uf &lt;= 1.6)","Trung bình (Không cầu)")</f>
        <v/>
      </c>
      <c r="E110" s="114">
        <f>IF(OR(ISNUMBER(SEARCH("Thermal",'01_MASTER_DATABASE'!B107)),ISNUMBER(SEARCH("cầu",'01_MASTER_DATABASE'!B107)),ISNUMBER(SEARCH("uPVC",'01_MASTER_DATABASE'!B107))),"Class 4 (Đến 2000 Pa)","Class 3 (Đến 1500 Pa)")</f>
        <v/>
      </c>
      <c r="F110" s="114">
        <f>IF(OR(ISNUMBER(SEARCH("Thermal",'01_MASTER_DATABASE'!B107)),ISNUMBER(SEARCH("cầu",'01_MASTER_DATABASE'!B107)),ISNUMBER(SEARCH("uPVC",'01_MASTER_DATABASE'!B107))),"Tuyệt đối (Class 9A)","Tốt (Class 7A)")</f>
        <v/>
      </c>
      <c r="G110" s="114">
        <f>IF(OR(ISNUMBER(SEARCH("Thermal",'01_MASTER_DATABASE'!B107)),ISNUMBER(SEARCH("cầu",'01_MASTER_DATABASE'!B107)),ISNUMBER(SEARCH("uPVC",'01_MASTER_DATABASE'!B107))),"Tuyệt đối (Class 4)","Tốt (Class 3)")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IF(OR(ISNUMBER(SEARCH("Thermal",'01_MASTER_DATABASE'!B108)),ISNUMBER(SEARCH("cầu",'01_MASTER_DATABASE'!B108)),ISNUMBER(SEARCH("uPVC",'01_MASTER_DATABASE'!B108))),"Xuất sắc (&gt;=40dB)","Tốt (&gt;=30dB)")</f>
        <v/>
      </c>
      <c r="D111" s="114">
        <f>IF(OR(ISNUMBER(SEARCH("Thermal",'01_MASTER_DATABASE'!B108)),ISNUMBER(SEARCH("cầu",'01_MASTER_DATABASE'!B108)),ISNUMBER(SEARCH("uPVC",'01_MASTER_DATABASE'!B108))),"Xuất sắc (Uf &lt;= 1.6)","Trung bình (Không cầu)")</f>
        <v/>
      </c>
      <c r="E111" s="114">
        <f>IF(OR(ISNUMBER(SEARCH("Thermal",'01_MASTER_DATABASE'!B108)),ISNUMBER(SEARCH("cầu",'01_MASTER_DATABASE'!B108)),ISNUMBER(SEARCH("uPVC",'01_MASTER_DATABASE'!B108))),"Class 4 (Đến 2000 Pa)","Class 3 (Đến 1500 Pa)")</f>
        <v/>
      </c>
      <c r="F111" s="114">
        <f>IF(OR(ISNUMBER(SEARCH("Thermal",'01_MASTER_DATABASE'!B108)),ISNUMBER(SEARCH("cầu",'01_MASTER_DATABASE'!B108)),ISNUMBER(SEARCH("uPVC",'01_MASTER_DATABASE'!B108))),"Tuyệt đối (Class 9A)","Tốt (Class 7A)")</f>
        <v/>
      </c>
      <c r="G111" s="114">
        <f>IF(OR(ISNUMBER(SEARCH("Thermal",'01_MASTER_DATABASE'!B108)),ISNUMBER(SEARCH("cầu",'01_MASTER_DATABASE'!B108)),ISNUMBER(SEARCH("uPVC",'01_MASTER_DATABASE'!B108))),"Tuyệt đối (Class 4)","Tốt (Class 3)")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IF(OR(ISNUMBER(SEARCH("Thermal",'01_MASTER_DATABASE'!B109)),ISNUMBER(SEARCH("cầu",'01_MASTER_DATABASE'!B109)),ISNUMBER(SEARCH("uPVC",'01_MASTER_DATABASE'!B109))),"Xuất sắc (&gt;=40dB)","Tốt (&gt;=30dB)")</f>
        <v/>
      </c>
      <c r="D112" s="114">
        <f>IF(OR(ISNUMBER(SEARCH("Thermal",'01_MASTER_DATABASE'!B109)),ISNUMBER(SEARCH("cầu",'01_MASTER_DATABASE'!B109)),ISNUMBER(SEARCH("uPVC",'01_MASTER_DATABASE'!B109))),"Xuất sắc (Uf &lt;= 1.6)","Trung bình (Không cầu)")</f>
        <v/>
      </c>
      <c r="E112" s="114">
        <f>IF(OR(ISNUMBER(SEARCH("Thermal",'01_MASTER_DATABASE'!B109)),ISNUMBER(SEARCH("cầu",'01_MASTER_DATABASE'!B109)),ISNUMBER(SEARCH("uPVC",'01_MASTER_DATABASE'!B109))),"Class 4 (Đến 2000 Pa)","Class 3 (Đến 1500 Pa)")</f>
        <v/>
      </c>
      <c r="F112" s="114">
        <f>IF(OR(ISNUMBER(SEARCH("Thermal",'01_MASTER_DATABASE'!B109)),ISNUMBER(SEARCH("cầu",'01_MASTER_DATABASE'!B109)),ISNUMBER(SEARCH("uPVC",'01_MASTER_DATABASE'!B109))),"Tuyệt đối (Class 9A)","Tốt (Class 7A)")</f>
        <v/>
      </c>
      <c r="G112" s="114">
        <f>IF(OR(ISNUMBER(SEARCH("Thermal",'01_MASTER_DATABASE'!B109)),ISNUMBER(SEARCH("cầu",'01_MASTER_DATABASE'!B109)),ISNUMBER(SEARCH("uPVC",'01_MASTER_DATABASE'!B109))),"Tuyệt đối (Class 4)","Tốt (Class 3)")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IF(OR(ISNUMBER(SEARCH("Thermal",'01_MASTER_DATABASE'!B110)),ISNUMBER(SEARCH("cầu",'01_MASTER_DATABASE'!B110)),ISNUMBER(SEARCH("uPVC",'01_MASTER_DATABASE'!B110))),"Xuất sắc (&gt;=40dB)","Tốt (&gt;=30dB)")</f>
        <v/>
      </c>
      <c r="D113" s="114">
        <f>IF(OR(ISNUMBER(SEARCH("Thermal",'01_MASTER_DATABASE'!B110)),ISNUMBER(SEARCH("cầu",'01_MASTER_DATABASE'!B110)),ISNUMBER(SEARCH("uPVC",'01_MASTER_DATABASE'!B110))),"Xuất sắc (Uf &lt;= 1.6)","Trung bình (Không cầu)")</f>
        <v/>
      </c>
      <c r="E113" s="114">
        <f>IF(OR(ISNUMBER(SEARCH("Thermal",'01_MASTER_DATABASE'!B110)),ISNUMBER(SEARCH("cầu",'01_MASTER_DATABASE'!B110)),ISNUMBER(SEARCH("uPVC",'01_MASTER_DATABASE'!B110))),"Class 4 (Đến 2000 Pa)","Class 3 (Đến 1500 Pa)")</f>
        <v/>
      </c>
      <c r="F113" s="114">
        <f>IF(OR(ISNUMBER(SEARCH("Thermal",'01_MASTER_DATABASE'!B110)),ISNUMBER(SEARCH("cầu",'01_MASTER_DATABASE'!B110)),ISNUMBER(SEARCH("uPVC",'01_MASTER_DATABASE'!B110))),"Tuyệt đối (Class 9A)","Tốt (Class 7A)")</f>
        <v/>
      </c>
      <c r="G113" s="114">
        <f>IF(OR(ISNUMBER(SEARCH("Thermal",'01_MASTER_DATABASE'!B110)),ISNUMBER(SEARCH("cầu",'01_MASTER_DATABASE'!B110)),ISNUMBER(SEARCH("uPVC",'01_MASTER_DATABASE'!B110))),"Tuyệt đối (Class 4)","Tốt (Class 3)")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IF(OR(ISNUMBER(SEARCH("Thermal",'01_MASTER_DATABASE'!B111)),ISNUMBER(SEARCH("cầu",'01_MASTER_DATABASE'!B111)),ISNUMBER(SEARCH("uPVC",'01_MASTER_DATABASE'!B111))),"Xuất sắc (&gt;=40dB)","Tốt (&gt;=30dB)")</f>
        <v/>
      </c>
      <c r="D114" s="114">
        <f>IF(OR(ISNUMBER(SEARCH("Thermal",'01_MASTER_DATABASE'!B111)),ISNUMBER(SEARCH("cầu",'01_MASTER_DATABASE'!B111)),ISNUMBER(SEARCH("uPVC",'01_MASTER_DATABASE'!B111))),"Xuất sắc (Uf &lt;= 1.6)","Trung bình (Không cầu)")</f>
        <v/>
      </c>
      <c r="E114" s="114">
        <f>IF(OR(ISNUMBER(SEARCH("Thermal",'01_MASTER_DATABASE'!B111)),ISNUMBER(SEARCH("cầu",'01_MASTER_DATABASE'!B111)),ISNUMBER(SEARCH("uPVC",'01_MASTER_DATABASE'!B111))),"Class 4 (Đến 2000 Pa)","Class 3 (Đến 1500 Pa)")</f>
        <v/>
      </c>
      <c r="F114" s="114">
        <f>IF(OR(ISNUMBER(SEARCH("Thermal",'01_MASTER_DATABASE'!B111)),ISNUMBER(SEARCH("cầu",'01_MASTER_DATABASE'!B111)),ISNUMBER(SEARCH("uPVC",'01_MASTER_DATABASE'!B111))),"Tuyệt đối (Class 9A)","Tốt (Class 7A)")</f>
        <v/>
      </c>
      <c r="G114" s="114">
        <f>IF(OR(ISNUMBER(SEARCH("Thermal",'01_MASTER_DATABASE'!B111)),ISNUMBER(SEARCH("cầu",'01_MASTER_DATABASE'!B111)),ISNUMBER(SEARCH("uPVC",'01_MASTER_DATABASE'!B111))),"Tuyệt đối (Class 4)","Tốt (Class 3)")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IF(OR(ISNUMBER(SEARCH("Thermal",'01_MASTER_DATABASE'!B112)),ISNUMBER(SEARCH("cầu",'01_MASTER_DATABASE'!B112)),ISNUMBER(SEARCH("uPVC",'01_MASTER_DATABASE'!B112))),"Xuất sắc (&gt;=40dB)","Tốt (&gt;=30dB)")</f>
        <v/>
      </c>
      <c r="D115" s="114">
        <f>IF(OR(ISNUMBER(SEARCH("Thermal",'01_MASTER_DATABASE'!B112)),ISNUMBER(SEARCH("cầu",'01_MASTER_DATABASE'!B112)),ISNUMBER(SEARCH("uPVC",'01_MASTER_DATABASE'!B112))),"Xuất sắc (Uf &lt;= 1.6)","Trung bình (Không cầu)")</f>
        <v/>
      </c>
      <c r="E115" s="114">
        <f>IF(OR(ISNUMBER(SEARCH("Thermal",'01_MASTER_DATABASE'!B112)),ISNUMBER(SEARCH("cầu",'01_MASTER_DATABASE'!B112)),ISNUMBER(SEARCH("uPVC",'01_MASTER_DATABASE'!B112))),"Class 4 (Đến 2000 Pa)","Class 3 (Đến 1500 Pa)")</f>
        <v/>
      </c>
      <c r="F115" s="114">
        <f>IF(OR(ISNUMBER(SEARCH("Thermal",'01_MASTER_DATABASE'!B112)),ISNUMBER(SEARCH("cầu",'01_MASTER_DATABASE'!B112)),ISNUMBER(SEARCH("uPVC",'01_MASTER_DATABASE'!B112))),"Tuyệt đối (Class 9A)","Tốt (Class 7A)")</f>
        <v/>
      </c>
      <c r="G115" s="114">
        <f>IF(OR(ISNUMBER(SEARCH("Thermal",'01_MASTER_DATABASE'!B112)),ISNUMBER(SEARCH("cầu",'01_MASTER_DATABASE'!B112)),ISNUMBER(SEARCH("uPVC",'01_MASTER_DATABASE'!B112))),"Tuyệt đối (Class 4)","Tốt (Class 3)")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IF(OR(ISNUMBER(SEARCH("Thermal",'01_MASTER_DATABASE'!B113)),ISNUMBER(SEARCH("cầu",'01_MASTER_DATABASE'!B113)),ISNUMBER(SEARCH("uPVC",'01_MASTER_DATABASE'!B113))),"Xuất sắc (&gt;=40dB)","Tốt (&gt;=30dB)")</f>
        <v/>
      </c>
      <c r="D116" s="114">
        <f>IF(OR(ISNUMBER(SEARCH("Thermal",'01_MASTER_DATABASE'!B113)),ISNUMBER(SEARCH("cầu",'01_MASTER_DATABASE'!B113)),ISNUMBER(SEARCH("uPVC",'01_MASTER_DATABASE'!B113))),"Xuất sắc (Uf &lt;= 1.6)","Trung bình (Không cầu)")</f>
        <v/>
      </c>
      <c r="E116" s="114">
        <f>IF(OR(ISNUMBER(SEARCH("Thermal",'01_MASTER_DATABASE'!B113)),ISNUMBER(SEARCH("cầu",'01_MASTER_DATABASE'!B113)),ISNUMBER(SEARCH("uPVC",'01_MASTER_DATABASE'!B113))),"Class 4 (Đến 2000 Pa)","Class 3 (Đến 1500 Pa)")</f>
        <v/>
      </c>
      <c r="F116" s="114">
        <f>IF(OR(ISNUMBER(SEARCH("Thermal",'01_MASTER_DATABASE'!B113)),ISNUMBER(SEARCH("cầu",'01_MASTER_DATABASE'!B113)),ISNUMBER(SEARCH("uPVC",'01_MASTER_DATABASE'!B113))),"Tuyệt đối (Class 9A)","Tốt (Class 7A)")</f>
        <v/>
      </c>
      <c r="G116" s="114">
        <f>IF(OR(ISNUMBER(SEARCH("Thermal",'01_MASTER_DATABASE'!B113)),ISNUMBER(SEARCH("cầu",'01_MASTER_DATABASE'!B113)),ISNUMBER(SEARCH("uPVC",'01_MASTER_DATABASE'!B113))),"Tuyệt đối (Class 4)","Tốt (Class 3)")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IF(OR(ISNUMBER(SEARCH("Thermal",'01_MASTER_DATABASE'!B114)),ISNUMBER(SEARCH("cầu",'01_MASTER_DATABASE'!B114)),ISNUMBER(SEARCH("uPVC",'01_MASTER_DATABASE'!B114))),"Xuất sắc (&gt;=40dB)","Tốt (&gt;=30dB)")</f>
        <v/>
      </c>
      <c r="D117" s="114">
        <f>IF(OR(ISNUMBER(SEARCH("Thermal",'01_MASTER_DATABASE'!B114)),ISNUMBER(SEARCH("cầu",'01_MASTER_DATABASE'!B114)),ISNUMBER(SEARCH("uPVC",'01_MASTER_DATABASE'!B114))),"Xuất sắc (Uf &lt;= 1.6)","Trung bình (Không cầu)")</f>
        <v/>
      </c>
      <c r="E117" s="114">
        <f>IF(OR(ISNUMBER(SEARCH("Thermal",'01_MASTER_DATABASE'!B114)),ISNUMBER(SEARCH("cầu",'01_MASTER_DATABASE'!B114)),ISNUMBER(SEARCH("uPVC",'01_MASTER_DATABASE'!B114))),"Class 4 (Đến 2000 Pa)","Class 3 (Đến 1500 Pa)")</f>
        <v/>
      </c>
      <c r="F117" s="114">
        <f>IF(OR(ISNUMBER(SEARCH("Thermal",'01_MASTER_DATABASE'!B114)),ISNUMBER(SEARCH("cầu",'01_MASTER_DATABASE'!B114)),ISNUMBER(SEARCH("uPVC",'01_MASTER_DATABASE'!B114))),"Tuyệt đối (Class 9A)","Tốt (Class 7A)")</f>
        <v/>
      </c>
      <c r="G117" s="114">
        <f>IF(OR(ISNUMBER(SEARCH("Thermal",'01_MASTER_DATABASE'!B114)),ISNUMBER(SEARCH("cầu",'01_MASTER_DATABASE'!B114)),ISNUMBER(SEARCH("uPVC",'01_MASTER_DATABASE'!B114))),"Tuyệt đối (Class 4)","Tốt (Class 3)")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IF(OR(ISNUMBER(SEARCH("Thermal",'01_MASTER_DATABASE'!B115)),ISNUMBER(SEARCH("cầu",'01_MASTER_DATABASE'!B115)),ISNUMBER(SEARCH("uPVC",'01_MASTER_DATABASE'!B115))),"Xuất sắc (&gt;=40dB)","Tốt (&gt;=30dB)")</f>
        <v/>
      </c>
      <c r="D118" s="114">
        <f>IF(OR(ISNUMBER(SEARCH("Thermal",'01_MASTER_DATABASE'!B115)),ISNUMBER(SEARCH("cầu",'01_MASTER_DATABASE'!B115)),ISNUMBER(SEARCH("uPVC",'01_MASTER_DATABASE'!B115))),"Xuất sắc (Uf &lt;= 1.6)","Trung bình (Không cầu)")</f>
        <v/>
      </c>
      <c r="E118" s="114">
        <f>IF(OR(ISNUMBER(SEARCH("Thermal",'01_MASTER_DATABASE'!B115)),ISNUMBER(SEARCH("cầu",'01_MASTER_DATABASE'!B115)),ISNUMBER(SEARCH("uPVC",'01_MASTER_DATABASE'!B115))),"Class 4 (Đến 2000 Pa)","Class 3 (Đến 1500 Pa)")</f>
        <v/>
      </c>
      <c r="F118" s="114">
        <f>IF(OR(ISNUMBER(SEARCH("Thermal",'01_MASTER_DATABASE'!B115)),ISNUMBER(SEARCH("cầu",'01_MASTER_DATABASE'!B115)),ISNUMBER(SEARCH("uPVC",'01_MASTER_DATABASE'!B115))),"Tuyệt đối (Class 9A)","Tốt (Class 7A)")</f>
        <v/>
      </c>
      <c r="G118" s="114">
        <f>IF(OR(ISNUMBER(SEARCH("Thermal",'01_MASTER_DATABASE'!B115)),ISNUMBER(SEARCH("cầu",'01_MASTER_DATABASE'!B115)),ISNUMBER(SEARCH("uPVC",'01_MASTER_DATABASE'!B115))),"Tuyệt đối (Class 4)","Tốt (Class 3)")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IF(OR(ISNUMBER(SEARCH("Thermal",'01_MASTER_DATABASE'!B116)),ISNUMBER(SEARCH("cầu",'01_MASTER_DATABASE'!B116)),ISNUMBER(SEARCH("uPVC",'01_MASTER_DATABASE'!B116))),"Xuất sắc (&gt;=40dB)","Tốt (&gt;=30dB)")</f>
        <v/>
      </c>
      <c r="D119" s="114">
        <f>IF(OR(ISNUMBER(SEARCH("Thermal",'01_MASTER_DATABASE'!B116)),ISNUMBER(SEARCH("cầu",'01_MASTER_DATABASE'!B116)),ISNUMBER(SEARCH("uPVC",'01_MASTER_DATABASE'!B116))),"Xuất sắc (Uf &lt;= 1.6)","Trung bình (Không cầu)")</f>
        <v/>
      </c>
      <c r="E119" s="114">
        <f>IF(OR(ISNUMBER(SEARCH("Thermal",'01_MASTER_DATABASE'!B116)),ISNUMBER(SEARCH("cầu",'01_MASTER_DATABASE'!B116)),ISNUMBER(SEARCH("uPVC",'01_MASTER_DATABASE'!B116))),"Class 4 (Đến 2000 Pa)","Class 3 (Đến 1500 Pa)")</f>
        <v/>
      </c>
      <c r="F119" s="114">
        <f>IF(OR(ISNUMBER(SEARCH("Thermal",'01_MASTER_DATABASE'!B116)),ISNUMBER(SEARCH("cầu",'01_MASTER_DATABASE'!B116)),ISNUMBER(SEARCH("uPVC",'01_MASTER_DATABASE'!B116))),"Tuyệt đối (Class 9A)","Tốt (Class 7A)")</f>
        <v/>
      </c>
      <c r="G119" s="114">
        <f>IF(OR(ISNUMBER(SEARCH("Thermal",'01_MASTER_DATABASE'!B116)),ISNUMBER(SEARCH("cầu",'01_MASTER_DATABASE'!B116)),ISNUMBER(SEARCH("uPVC",'01_MASTER_DATABASE'!B116))),"Tuyệt đối (Class 4)","Tốt (Class 3)")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IF(OR(ISNUMBER(SEARCH("Thermal",'01_MASTER_DATABASE'!B117)),ISNUMBER(SEARCH("cầu",'01_MASTER_DATABASE'!B117)),ISNUMBER(SEARCH("uPVC",'01_MASTER_DATABASE'!B117))),"Xuất sắc (&gt;=40dB)","Tốt (&gt;=30dB)")</f>
        <v/>
      </c>
      <c r="D120" s="114">
        <f>IF(OR(ISNUMBER(SEARCH("Thermal",'01_MASTER_DATABASE'!B117)),ISNUMBER(SEARCH("cầu",'01_MASTER_DATABASE'!B117)),ISNUMBER(SEARCH("uPVC",'01_MASTER_DATABASE'!B117))),"Xuất sắc (Uf &lt;= 1.6)","Trung bình (Không cầu)")</f>
        <v/>
      </c>
      <c r="E120" s="114">
        <f>IF(OR(ISNUMBER(SEARCH("Thermal",'01_MASTER_DATABASE'!B117)),ISNUMBER(SEARCH("cầu",'01_MASTER_DATABASE'!B117)),ISNUMBER(SEARCH("uPVC",'01_MASTER_DATABASE'!B117))),"Class 4 (Đến 2000 Pa)","Class 3 (Đến 1500 Pa)")</f>
        <v/>
      </c>
      <c r="F120" s="114">
        <f>IF(OR(ISNUMBER(SEARCH("Thermal",'01_MASTER_DATABASE'!B117)),ISNUMBER(SEARCH("cầu",'01_MASTER_DATABASE'!B117)),ISNUMBER(SEARCH("uPVC",'01_MASTER_DATABASE'!B117))),"Tuyệt đối (Class 9A)","Tốt (Class 7A)")</f>
        <v/>
      </c>
      <c r="G120" s="114">
        <f>IF(OR(ISNUMBER(SEARCH("Thermal",'01_MASTER_DATABASE'!B117)),ISNUMBER(SEARCH("cầu",'01_MASTER_DATABASE'!B117)),ISNUMBER(SEARCH("uPVC",'01_MASTER_DATABASE'!B117))),"Tuyệt đối (Class 4)","Tốt (Class 3)")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IF(OR(ISNUMBER(SEARCH("Thermal",'01_MASTER_DATABASE'!B118)),ISNUMBER(SEARCH("cầu",'01_MASTER_DATABASE'!B118)),ISNUMBER(SEARCH("uPVC",'01_MASTER_DATABASE'!B118))),"Xuất sắc (&gt;=40dB)","Tốt (&gt;=30dB)")</f>
        <v/>
      </c>
      <c r="D121" s="114">
        <f>IF(OR(ISNUMBER(SEARCH("Thermal",'01_MASTER_DATABASE'!B118)),ISNUMBER(SEARCH("cầu",'01_MASTER_DATABASE'!B118)),ISNUMBER(SEARCH("uPVC",'01_MASTER_DATABASE'!B118))),"Xuất sắc (Uf &lt;= 1.6)","Trung bình (Không cầu)")</f>
        <v/>
      </c>
      <c r="E121" s="114">
        <f>IF(OR(ISNUMBER(SEARCH("Thermal",'01_MASTER_DATABASE'!B118)),ISNUMBER(SEARCH("cầu",'01_MASTER_DATABASE'!B118)),ISNUMBER(SEARCH("uPVC",'01_MASTER_DATABASE'!B118))),"Class 4 (Đến 2000 Pa)","Class 3 (Đến 1500 Pa)")</f>
        <v/>
      </c>
      <c r="F121" s="114">
        <f>IF(OR(ISNUMBER(SEARCH("Thermal",'01_MASTER_DATABASE'!B118)),ISNUMBER(SEARCH("cầu",'01_MASTER_DATABASE'!B118)),ISNUMBER(SEARCH("uPVC",'01_MASTER_DATABASE'!B118))),"Tuyệt đối (Class 9A)","Tốt (Class 7A)")</f>
        <v/>
      </c>
      <c r="G121" s="114">
        <f>IF(OR(ISNUMBER(SEARCH("Thermal",'01_MASTER_DATABASE'!B118)),ISNUMBER(SEARCH("cầu",'01_MASTER_DATABASE'!B118)),ISNUMBER(SEARCH("uPVC",'01_MASTER_DATABASE'!B118))),"Tuyệt đối (Class 4)","Tốt (Class 3)")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IF(OR(ISNUMBER(SEARCH("Thermal",'01_MASTER_DATABASE'!B119)),ISNUMBER(SEARCH("cầu",'01_MASTER_DATABASE'!B119)),ISNUMBER(SEARCH("uPVC",'01_MASTER_DATABASE'!B119))),"Xuất sắc (&gt;=40dB)","Tốt (&gt;=30dB)")</f>
        <v/>
      </c>
      <c r="D122" s="114">
        <f>IF(OR(ISNUMBER(SEARCH("Thermal",'01_MASTER_DATABASE'!B119)),ISNUMBER(SEARCH("cầu",'01_MASTER_DATABASE'!B119)),ISNUMBER(SEARCH("uPVC",'01_MASTER_DATABASE'!B119))),"Xuất sắc (Uf &lt;= 1.6)","Trung bình (Không cầu)")</f>
        <v/>
      </c>
      <c r="E122" s="114">
        <f>IF(OR(ISNUMBER(SEARCH("Thermal",'01_MASTER_DATABASE'!B119)),ISNUMBER(SEARCH("cầu",'01_MASTER_DATABASE'!B119)),ISNUMBER(SEARCH("uPVC",'01_MASTER_DATABASE'!B119))),"Class 4 (Đến 2000 Pa)","Class 3 (Đến 1500 Pa)")</f>
        <v/>
      </c>
      <c r="F122" s="114">
        <f>IF(OR(ISNUMBER(SEARCH("Thermal",'01_MASTER_DATABASE'!B119)),ISNUMBER(SEARCH("cầu",'01_MASTER_DATABASE'!B119)),ISNUMBER(SEARCH("uPVC",'01_MASTER_DATABASE'!B119))),"Tuyệt đối (Class 9A)","Tốt (Class 7A)")</f>
        <v/>
      </c>
      <c r="G122" s="114">
        <f>IF(OR(ISNUMBER(SEARCH("Thermal",'01_MASTER_DATABASE'!B119)),ISNUMBER(SEARCH("cầu",'01_MASTER_DATABASE'!B119)),ISNUMBER(SEARCH("uPVC",'01_MASTER_DATABASE'!B119))),"Tuyệt đối (Class 4)","Tốt (Class 3)")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IF(OR(ISNUMBER(SEARCH("Thermal",'01_MASTER_DATABASE'!B120)),ISNUMBER(SEARCH("cầu",'01_MASTER_DATABASE'!B120)),ISNUMBER(SEARCH("uPVC",'01_MASTER_DATABASE'!B120))),"Xuất sắc (&gt;=40dB)","Tốt (&gt;=30dB)")</f>
        <v/>
      </c>
      <c r="D123" s="114">
        <f>IF(OR(ISNUMBER(SEARCH("Thermal",'01_MASTER_DATABASE'!B120)),ISNUMBER(SEARCH("cầu",'01_MASTER_DATABASE'!B120)),ISNUMBER(SEARCH("uPVC",'01_MASTER_DATABASE'!B120))),"Xuất sắc (Uf &lt;= 1.6)","Trung bình (Không cầu)")</f>
        <v/>
      </c>
      <c r="E123" s="114">
        <f>IF(OR(ISNUMBER(SEARCH("Thermal",'01_MASTER_DATABASE'!B120)),ISNUMBER(SEARCH("cầu",'01_MASTER_DATABASE'!B120)),ISNUMBER(SEARCH("uPVC",'01_MASTER_DATABASE'!B120))),"Class 4 (Đến 2000 Pa)","Class 3 (Đến 1500 Pa)")</f>
        <v/>
      </c>
      <c r="F123" s="114">
        <f>IF(OR(ISNUMBER(SEARCH("Thermal",'01_MASTER_DATABASE'!B120)),ISNUMBER(SEARCH("cầu",'01_MASTER_DATABASE'!B120)),ISNUMBER(SEARCH("uPVC",'01_MASTER_DATABASE'!B120))),"Tuyệt đối (Class 9A)","Tốt (Class 7A)")</f>
        <v/>
      </c>
      <c r="G123" s="114">
        <f>IF(OR(ISNUMBER(SEARCH("Thermal",'01_MASTER_DATABASE'!B120)),ISNUMBER(SEARCH("cầu",'01_MASTER_DATABASE'!B120)),ISNUMBER(SEARCH("uPVC",'01_MASTER_DATABASE'!B120))),"Tuyệt đối (Class 4)","Tốt (Class 3)")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IF(OR(ISNUMBER(SEARCH("Thermal",'01_MASTER_DATABASE'!B121)),ISNUMBER(SEARCH("cầu",'01_MASTER_DATABASE'!B121)),ISNUMBER(SEARCH("uPVC",'01_MASTER_DATABASE'!B121))),"Xuất sắc (&gt;=40dB)","Tốt (&gt;=30dB)")</f>
        <v/>
      </c>
      <c r="D124" s="114">
        <f>IF(OR(ISNUMBER(SEARCH("Thermal",'01_MASTER_DATABASE'!B121)),ISNUMBER(SEARCH("cầu",'01_MASTER_DATABASE'!B121)),ISNUMBER(SEARCH("uPVC",'01_MASTER_DATABASE'!B121))),"Xuất sắc (Uf &lt;= 1.6)","Trung bình (Không cầu)")</f>
        <v/>
      </c>
      <c r="E124" s="114">
        <f>IF(OR(ISNUMBER(SEARCH("Thermal",'01_MASTER_DATABASE'!B121)),ISNUMBER(SEARCH("cầu",'01_MASTER_DATABASE'!B121)),ISNUMBER(SEARCH("uPVC",'01_MASTER_DATABASE'!B121))),"Class 4 (Đến 2000 Pa)","Class 3 (Đến 1500 Pa)")</f>
        <v/>
      </c>
      <c r="F124" s="114">
        <f>IF(OR(ISNUMBER(SEARCH("Thermal",'01_MASTER_DATABASE'!B121)),ISNUMBER(SEARCH("cầu",'01_MASTER_DATABASE'!B121)),ISNUMBER(SEARCH("uPVC",'01_MASTER_DATABASE'!B121))),"Tuyệt đối (Class 9A)","Tốt (Class 7A)")</f>
        <v/>
      </c>
      <c r="G124" s="114">
        <f>IF(OR(ISNUMBER(SEARCH("Thermal",'01_MASTER_DATABASE'!B121)),ISNUMBER(SEARCH("cầu",'01_MASTER_DATABASE'!B121)),ISNUMBER(SEARCH("uPVC",'01_MASTER_DATABASE'!B121))),"Tuyệt đối (Class 4)","Tốt (Class 3)")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IF(OR(ISNUMBER(SEARCH("Thermal",'01_MASTER_DATABASE'!B122)),ISNUMBER(SEARCH("cầu",'01_MASTER_DATABASE'!B122)),ISNUMBER(SEARCH("uPVC",'01_MASTER_DATABASE'!B122))),"Xuất sắc (&gt;=40dB)","Tốt (&gt;=30dB)")</f>
        <v/>
      </c>
      <c r="D125" s="114">
        <f>IF(OR(ISNUMBER(SEARCH("Thermal",'01_MASTER_DATABASE'!B122)),ISNUMBER(SEARCH("cầu",'01_MASTER_DATABASE'!B122)),ISNUMBER(SEARCH("uPVC",'01_MASTER_DATABASE'!B122))),"Xuất sắc (Uf &lt;= 1.6)","Trung bình (Không cầu)")</f>
        <v/>
      </c>
      <c r="E125" s="114">
        <f>IF(OR(ISNUMBER(SEARCH("Thermal",'01_MASTER_DATABASE'!B122)),ISNUMBER(SEARCH("cầu",'01_MASTER_DATABASE'!B122)),ISNUMBER(SEARCH("uPVC",'01_MASTER_DATABASE'!B122))),"Class 4 (Đến 2000 Pa)","Class 3 (Đến 1500 Pa)")</f>
        <v/>
      </c>
      <c r="F125" s="114">
        <f>IF(OR(ISNUMBER(SEARCH("Thermal",'01_MASTER_DATABASE'!B122)),ISNUMBER(SEARCH("cầu",'01_MASTER_DATABASE'!B122)),ISNUMBER(SEARCH("uPVC",'01_MASTER_DATABASE'!B122))),"Tuyệt đối (Class 9A)","Tốt (Class 7A)")</f>
        <v/>
      </c>
      <c r="G125" s="114">
        <f>IF(OR(ISNUMBER(SEARCH("Thermal",'01_MASTER_DATABASE'!B122)),ISNUMBER(SEARCH("cầu",'01_MASTER_DATABASE'!B122)),ISNUMBER(SEARCH("uPVC",'01_MASTER_DATABASE'!B122))),"Tuyệt đối (Class 4)","Tốt (Class 3)")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IF(OR(ISNUMBER(SEARCH("Thermal",'01_MASTER_DATABASE'!B123)),ISNUMBER(SEARCH("cầu",'01_MASTER_DATABASE'!B123)),ISNUMBER(SEARCH("uPVC",'01_MASTER_DATABASE'!B123))),"Xuất sắc (&gt;=40dB)","Tốt (&gt;=30dB)")</f>
        <v/>
      </c>
      <c r="D126" s="114">
        <f>IF(OR(ISNUMBER(SEARCH("Thermal",'01_MASTER_DATABASE'!B123)),ISNUMBER(SEARCH("cầu",'01_MASTER_DATABASE'!B123)),ISNUMBER(SEARCH("uPVC",'01_MASTER_DATABASE'!B123))),"Xuất sắc (Uf &lt;= 1.6)","Trung bình (Không cầu)")</f>
        <v/>
      </c>
      <c r="E126" s="114">
        <f>IF(OR(ISNUMBER(SEARCH("Thermal",'01_MASTER_DATABASE'!B123)),ISNUMBER(SEARCH("cầu",'01_MASTER_DATABASE'!B123)),ISNUMBER(SEARCH("uPVC",'01_MASTER_DATABASE'!B123))),"Class 4 (Đến 2000 Pa)","Class 3 (Đến 1500 Pa)")</f>
        <v/>
      </c>
      <c r="F126" s="114">
        <f>IF(OR(ISNUMBER(SEARCH("Thermal",'01_MASTER_DATABASE'!B123)),ISNUMBER(SEARCH("cầu",'01_MASTER_DATABASE'!B123)),ISNUMBER(SEARCH("uPVC",'01_MASTER_DATABASE'!B123))),"Tuyệt đối (Class 9A)","Tốt (Class 7A)")</f>
        <v/>
      </c>
      <c r="G126" s="114">
        <f>IF(OR(ISNUMBER(SEARCH("Thermal",'01_MASTER_DATABASE'!B123)),ISNUMBER(SEARCH("cầu",'01_MASTER_DATABASE'!B123)),ISNUMBER(SEARCH("uPVC",'01_MASTER_DATABASE'!B123))),"Tuyệt đối (Class 4)","Tốt (Class 3)")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IF(OR(ISNUMBER(SEARCH("Thermal",'01_MASTER_DATABASE'!B124)),ISNUMBER(SEARCH("cầu",'01_MASTER_DATABASE'!B124)),ISNUMBER(SEARCH("uPVC",'01_MASTER_DATABASE'!B124))),"Xuất sắc (&gt;=40dB)","Tốt (&gt;=30dB)")</f>
        <v/>
      </c>
      <c r="D127" s="114">
        <f>IF(OR(ISNUMBER(SEARCH("Thermal",'01_MASTER_DATABASE'!B124)),ISNUMBER(SEARCH("cầu",'01_MASTER_DATABASE'!B124)),ISNUMBER(SEARCH("uPVC",'01_MASTER_DATABASE'!B124))),"Xuất sắc (Uf &lt;= 1.6)","Trung bình (Không cầu)")</f>
        <v/>
      </c>
      <c r="E127" s="114">
        <f>IF(OR(ISNUMBER(SEARCH("Thermal",'01_MASTER_DATABASE'!B124)),ISNUMBER(SEARCH("cầu",'01_MASTER_DATABASE'!B124)),ISNUMBER(SEARCH("uPVC",'01_MASTER_DATABASE'!B124))),"Class 4 (Đến 2000 Pa)","Class 3 (Đến 1500 Pa)")</f>
        <v/>
      </c>
      <c r="F127" s="114">
        <f>IF(OR(ISNUMBER(SEARCH("Thermal",'01_MASTER_DATABASE'!B124)),ISNUMBER(SEARCH("cầu",'01_MASTER_DATABASE'!B124)),ISNUMBER(SEARCH("uPVC",'01_MASTER_DATABASE'!B124))),"Tuyệt đối (Class 9A)","Tốt (Class 7A)")</f>
        <v/>
      </c>
      <c r="G127" s="114">
        <f>IF(OR(ISNUMBER(SEARCH("Thermal",'01_MASTER_DATABASE'!B124)),ISNUMBER(SEARCH("cầu",'01_MASTER_DATABASE'!B124)),ISNUMBER(SEARCH("uPVC",'01_MASTER_DATABASE'!B124))),"Tuyệt đối (Class 4)","Tốt (Class 3)")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IF(OR(ISNUMBER(SEARCH("Thermal",'01_MASTER_DATABASE'!B125)),ISNUMBER(SEARCH("cầu",'01_MASTER_DATABASE'!B125)),ISNUMBER(SEARCH("uPVC",'01_MASTER_DATABASE'!B125))),"Xuất sắc (&gt;=40dB)","Tốt (&gt;=30dB)")</f>
        <v/>
      </c>
      <c r="D128" s="114">
        <f>IF(OR(ISNUMBER(SEARCH("Thermal",'01_MASTER_DATABASE'!B125)),ISNUMBER(SEARCH("cầu",'01_MASTER_DATABASE'!B125)),ISNUMBER(SEARCH("uPVC",'01_MASTER_DATABASE'!B125))),"Xuất sắc (Uf &lt;= 1.6)","Trung bình (Không cầu)")</f>
        <v/>
      </c>
      <c r="E128" s="114">
        <f>IF(OR(ISNUMBER(SEARCH("Thermal",'01_MASTER_DATABASE'!B125)),ISNUMBER(SEARCH("cầu",'01_MASTER_DATABASE'!B125)),ISNUMBER(SEARCH("uPVC",'01_MASTER_DATABASE'!B125))),"Class 4 (Đến 2000 Pa)","Class 3 (Đến 1500 Pa)")</f>
        <v/>
      </c>
      <c r="F128" s="114">
        <f>IF(OR(ISNUMBER(SEARCH("Thermal",'01_MASTER_DATABASE'!B125)),ISNUMBER(SEARCH("cầu",'01_MASTER_DATABASE'!B125)),ISNUMBER(SEARCH("uPVC",'01_MASTER_DATABASE'!B125))),"Tuyệt đối (Class 9A)","Tốt (Class 7A)")</f>
        <v/>
      </c>
      <c r="G128" s="114">
        <f>IF(OR(ISNUMBER(SEARCH("Thermal",'01_MASTER_DATABASE'!B125)),ISNUMBER(SEARCH("cầu",'01_MASTER_DATABASE'!B125)),ISNUMBER(SEARCH("uPVC",'01_MASTER_DATABASE'!B125))),"Tuyệt đối (Class 4)","Tốt (Class 3)")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IF(OR(ISNUMBER(SEARCH("Thermal",'01_MASTER_DATABASE'!B126)),ISNUMBER(SEARCH("cầu",'01_MASTER_DATABASE'!B126)),ISNUMBER(SEARCH("uPVC",'01_MASTER_DATABASE'!B126))),"Xuất sắc (&gt;=40dB)","Tốt (&gt;=30dB)")</f>
        <v/>
      </c>
      <c r="D129" s="114">
        <f>IF(OR(ISNUMBER(SEARCH("Thermal",'01_MASTER_DATABASE'!B126)),ISNUMBER(SEARCH("cầu",'01_MASTER_DATABASE'!B126)),ISNUMBER(SEARCH("uPVC",'01_MASTER_DATABASE'!B126))),"Xuất sắc (Uf &lt;= 1.6)","Trung bình (Không cầu)")</f>
        <v/>
      </c>
      <c r="E129" s="114">
        <f>IF(OR(ISNUMBER(SEARCH("Thermal",'01_MASTER_DATABASE'!B126)),ISNUMBER(SEARCH("cầu",'01_MASTER_DATABASE'!B126)),ISNUMBER(SEARCH("uPVC",'01_MASTER_DATABASE'!B126))),"Class 4 (Đến 2000 Pa)","Class 3 (Đến 1500 Pa)")</f>
        <v/>
      </c>
      <c r="F129" s="114">
        <f>IF(OR(ISNUMBER(SEARCH("Thermal",'01_MASTER_DATABASE'!B126)),ISNUMBER(SEARCH("cầu",'01_MASTER_DATABASE'!B126)),ISNUMBER(SEARCH("uPVC",'01_MASTER_DATABASE'!B126))),"Tuyệt đối (Class 9A)","Tốt (Class 7A)")</f>
        <v/>
      </c>
      <c r="G129" s="114">
        <f>IF(OR(ISNUMBER(SEARCH("Thermal",'01_MASTER_DATABASE'!B126)),ISNUMBER(SEARCH("cầu",'01_MASTER_DATABASE'!B126)),ISNUMBER(SEARCH("uPVC",'01_MASTER_DATABASE'!B126))),"Tuyệt đối (Class 4)","Tốt (Class 3)")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IF(OR(ISNUMBER(SEARCH("Thermal",'01_MASTER_DATABASE'!B127)),ISNUMBER(SEARCH("cầu",'01_MASTER_DATABASE'!B127)),ISNUMBER(SEARCH("uPVC",'01_MASTER_DATABASE'!B127))),"Xuất sắc (&gt;=40dB)","Tốt (&gt;=30dB)")</f>
        <v/>
      </c>
      <c r="D130" s="114">
        <f>IF(OR(ISNUMBER(SEARCH("Thermal",'01_MASTER_DATABASE'!B127)),ISNUMBER(SEARCH("cầu",'01_MASTER_DATABASE'!B127)),ISNUMBER(SEARCH("uPVC",'01_MASTER_DATABASE'!B127))),"Xuất sắc (Uf &lt;= 1.6)","Trung bình (Không cầu)")</f>
        <v/>
      </c>
      <c r="E130" s="114">
        <f>IF(OR(ISNUMBER(SEARCH("Thermal",'01_MASTER_DATABASE'!B127)),ISNUMBER(SEARCH("cầu",'01_MASTER_DATABASE'!B127)),ISNUMBER(SEARCH("uPVC",'01_MASTER_DATABASE'!B127))),"Class 4 (Đến 2000 Pa)","Class 3 (Đến 1500 Pa)")</f>
        <v/>
      </c>
      <c r="F130" s="114">
        <f>IF(OR(ISNUMBER(SEARCH("Thermal",'01_MASTER_DATABASE'!B127)),ISNUMBER(SEARCH("cầu",'01_MASTER_DATABASE'!B127)),ISNUMBER(SEARCH("uPVC",'01_MASTER_DATABASE'!B127))),"Tuyệt đối (Class 9A)","Tốt (Class 7A)")</f>
        <v/>
      </c>
      <c r="G130" s="114">
        <f>IF(OR(ISNUMBER(SEARCH("Thermal",'01_MASTER_DATABASE'!B127)),ISNUMBER(SEARCH("cầu",'01_MASTER_DATABASE'!B127)),ISNUMBER(SEARCH("uPVC",'01_MASTER_DATABASE'!B127))),"Tuyệt đối (Class 4)","Tốt (Class 3)")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IF(OR(ISNUMBER(SEARCH("Thermal",'01_MASTER_DATABASE'!B128)),ISNUMBER(SEARCH("cầu",'01_MASTER_DATABASE'!B128)),ISNUMBER(SEARCH("uPVC",'01_MASTER_DATABASE'!B128))),"Xuất sắc (&gt;=40dB)","Tốt (&gt;=30dB)")</f>
        <v/>
      </c>
      <c r="D131" s="114">
        <f>IF(OR(ISNUMBER(SEARCH("Thermal",'01_MASTER_DATABASE'!B128)),ISNUMBER(SEARCH("cầu",'01_MASTER_DATABASE'!B128)),ISNUMBER(SEARCH("uPVC",'01_MASTER_DATABASE'!B128))),"Xuất sắc (Uf &lt;= 1.6)","Trung bình (Không cầu)")</f>
        <v/>
      </c>
      <c r="E131" s="114">
        <f>IF(OR(ISNUMBER(SEARCH("Thermal",'01_MASTER_DATABASE'!B128)),ISNUMBER(SEARCH("cầu",'01_MASTER_DATABASE'!B128)),ISNUMBER(SEARCH("uPVC",'01_MASTER_DATABASE'!B128))),"Class 4 (Đến 2000 Pa)","Class 3 (Đến 1500 Pa)")</f>
        <v/>
      </c>
      <c r="F131" s="114">
        <f>IF(OR(ISNUMBER(SEARCH("Thermal",'01_MASTER_DATABASE'!B128)),ISNUMBER(SEARCH("cầu",'01_MASTER_DATABASE'!B128)),ISNUMBER(SEARCH("uPVC",'01_MASTER_DATABASE'!B128))),"Tuyệt đối (Class 9A)","Tốt (Class 7A)")</f>
        <v/>
      </c>
      <c r="G131" s="114">
        <f>IF(OR(ISNUMBER(SEARCH("Thermal",'01_MASTER_DATABASE'!B128)),ISNUMBER(SEARCH("cầu",'01_MASTER_DATABASE'!B128)),ISNUMBER(SEARCH("uPVC",'01_MASTER_DATABASE'!B128))),"Tuyệt đối (Class 4)","Tốt (Class 3)")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IF(OR(ISNUMBER(SEARCH("Thermal",'01_MASTER_DATABASE'!B129)),ISNUMBER(SEARCH("cầu",'01_MASTER_DATABASE'!B129)),ISNUMBER(SEARCH("uPVC",'01_MASTER_DATABASE'!B129))),"Xuất sắc (&gt;=40dB)","Tốt (&gt;=30dB)")</f>
        <v/>
      </c>
      <c r="D132" s="114">
        <f>IF(OR(ISNUMBER(SEARCH("Thermal",'01_MASTER_DATABASE'!B129)),ISNUMBER(SEARCH("cầu",'01_MASTER_DATABASE'!B129)),ISNUMBER(SEARCH("uPVC",'01_MASTER_DATABASE'!B129))),"Xuất sắc (Uf &lt;= 1.6)","Trung bình (Không cầu)")</f>
        <v/>
      </c>
      <c r="E132" s="114">
        <f>IF(OR(ISNUMBER(SEARCH("Thermal",'01_MASTER_DATABASE'!B129)),ISNUMBER(SEARCH("cầu",'01_MASTER_DATABASE'!B129)),ISNUMBER(SEARCH("uPVC",'01_MASTER_DATABASE'!B129))),"Class 4 (Đến 2000 Pa)","Class 3 (Đến 1500 Pa)")</f>
        <v/>
      </c>
      <c r="F132" s="114">
        <f>IF(OR(ISNUMBER(SEARCH("Thermal",'01_MASTER_DATABASE'!B129)),ISNUMBER(SEARCH("cầu",'01_MASTER_DATABASE'!B129)),ISNUMBER(SEARCH("uPVC",'01_MASTER_DATABASE'!B129))),"Tuyệt đối (Class 9A)","Tốt (Class 7A)")</f>
        <v/>
      </c>
      <c r="G132" s="114">
        <f>IF(OR(ISNUMBER(SEARCH("Thermal",'01_MASTER_DATABASE'!B129)),ISNUMBER(SEARCH("cầu",'01_MASTER_DATABASE'!B129)),ISNUMBER(SEARCH("uPVC",'01_MASTER_DATABASE'!B129))),"Tuyệt đối (Class 4)","Tốt (Class 3)")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IF(OR(ISNUMBER(SEARCH("Thermal",'01_MASTER_DATABASE'!B130)),ISNUMBER(SEARCH("cầu",'01_MASTER_DATABASE'!B130)),ISNUMBER(SEARCH("uPVC",'01_MASTER_DATABASE'!B130))),"Xuất sắc (&gt;=40dB)","Tốt (&gt;=30dB)")</f>
        <v/>
      </c>
      <c r="D133" s="114">
        <f>IF(OR(ISNUMBER(SEARCH("Thermal",'01_MASTER_DATABASE'!B130)),ISNUMBER(SEARCH("cầu",'01_MASTER_DATABASE'!B130)),ISNUMBER(SEARCH("uPVC",'01_MASTER_DATABASE'!B130))),"Xuất sắc (Uf &lt;= 1.6)","Trung bình (Không cầu)")</f>
        <v/>
      </c>
      <c r="E133" s="114">
        <f>IF(OR(ISNUMBER(SEARCH("Thermal",'01_MASTER_DATABASE'!B130)),ISNUMBER(SEARCH("cầu",'01_MASTER_DATABASE'!B130)),ISNUMBER(SEARCH("uPVC",'01_MASTER_DATABASE'!B130))),"Class 4 (Đến 2000 Pa)","Class 3 (Đến 1500 Pa)")</f>
        <v/>
      </c>
      <c r="F133" s="114">
        <f>IF(OR(ISNUMBER(SEARCH("Thermal",'01_MASTER_DATABASE'!B130)),ISNUMBER(SEARCH("cầu",'01_MASTER_DATABASE'!B130)),ISNUMBER(SEARCH("uPVC",'01_MASTER_DATABASE'!B130))),"Tuyệt đối (Class 9A)","Tốt (Class 7A)")</f>
        <v/>
      </c>
      <c r="G133" s="114">
        <f>IF(OR(ISNUMBER(SEARCH("Thermal",'01_MASTER_DATABASE'!B130)),ISNUMBER(SEARCH("cầu",'01_MASTER_DATABASE'!B130)),ISNUMBER(SEARCH("uPVC",'01_MASTER_DATABASE'!B130))),"Tuyệt đối (Class 4)","Tốt (Class 3)")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IF(OR(ISNUMBER(SEARCH("Thermal",'01_MASTER_DATABASE'!B131)),ISNUMBER(SEARCH("cầu",'01_MASTER_DATABASE'!B131)),ISNUMBER(SEARCH("uPVC",'01_MASTER_DATABASE'!B131))),"Xuất sắc (&gt;=40dB)","Tốt (&gt;=30dB)")</f>
        <v/>
      </c>
      <c r="D134" s="114">
        <f>IF(OR(ISNUMBER(SEARCH("Thermal",'01_MASTER_DATABASE'!B131)),ISNUMBER(SEARCH("cầu",'01_MASTER_DATABASE'!B131)),ISNUMBER(SEARCH("uPVC",'01_MASTER_DATABASE'!B131))),"Xuất sắc (Uf &lt;= 1.6)","Trung bình (Không cầu)")</f>
        <v/>
      </c>
      <c r="E134" s="114">
        <f>IF(OR(ISNUMBER(SEARCH("Thermal",'01_MASTER_DATABASE'!B131)),ISNUMBER(SEARCH("cầu",'01_MASTER_DATABASE'!B131)),ISNUMBER(SEARCH("uPVC",'01_MASTER_DATABASE'!B131))),"Class 4 (Đến 2000 Pa)","Class 3 (Đến 1500 Pa)")</f>
        <v/>
      </c>
      <c r="F134" s="114">
        <f>IF(OR(ISNUMBER(SEARCH("Thermal",'01_MASTER_DATABASE'!B131)),ISNUMBER(SEARCH("cầu",'01_MASTER_DATABASE'!B131)),ISNUMBER(SEARCH("uPVC",'01_MASTER_DATABASE'!B131))),"Tuyệt đối (Class 9A)","Tốt (Class 7A)")</f>
        <v/>
      </c>
      <c r="G134" s="114">
        <f>IF(OR(ISNUMBER(SEARCH("Thermal",'01_MASTER_DATABASE'!B131)),ISNUMBER(SEARCH("cầu",'01_MASTER_DATABASE'!B131)),ISNUMBER(SEARCH("uPVC",'01_MASTER_DATABASE'!B131))),"Tuyệt đối (Class 4)","Tốt (Class 3)")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IF(OR(ISNUMBER(SEARCH("Thermal",'01_MASTER_DATABASE'!B132)),ISNUMBER(SEARCH("cầu",'01_MASTER_DATABASE'!B132)),ISNUMBER(SEARCH("uPVC",'01_MASTER_DATABASE'!B132))),"Xuất sắc (&gt;=40dB)","Tốt (&gt;=30dB)")</f>
        <v/>
      </c>
      <c r="D135" s="114">
        <f>IF(OR(ISNUMBER(SEARCH("Thermal",'01_MASTER_DATABASE'!B132)),ISNUMBER(SEARCH("cầu",'01_MASTER_DATABASE'!B132)),ISNUMBER(SEARCH("uPVC",'01_MASTER_DATABASE'!B132))),"Xuất sắc (Uf &lt;= 1.6)","Trung bình (Không cầu)")</f>
        <v/>
      </c>
      <c r="E135" s="114">
        <f>IF(OR(ISNUMBER(SEARCH("Thermal",'01_MASTER_DATABASE'!B132)),ISNUMBER(SEARCH("cầu",'01_MASTER_DATABASE'!B132)),ISNUMBER(SEARCH("uPVC",'01_MASTER_DATABASE'!B132))),"Class 4 (Đến 2000 Pa)","Class 3 (Đến 1500 Pa)")</f>
        <v/>
      </c>
      <c r="F135" s="114">
        <f>IF(OR(ISNUMBER(SEARCH("Thermal",'01_MASTER_DATABASE'!B132)),ISNUMBER(SEARCH("cầu",'01_MASTER_DATABASE'!B132)),ISNUMBER(SEARCH("uPVC",'01_MASTER_DATABASE'!B132))),"Tuyệt đối (Class 9A)","Tốt (Class 7A)")</f>
        <v/>
      </c>
      <c r="G135" s="114">
        <f>IF(OR(ISNUMBER(SEARCH("Thermal",'01_MASTER_DATABASE'!B132)),ISNUMBER(SEARCH("cầu",'01_MASTER_DATABASE'!B132)),ISNUMBER(SEARCH("uPVC",'01_MASTER_DATABASE'!B132))),"Tuyệt đối (Class 4)","Tốt (Class 3)")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IF(OR(ISNUMBER(SEARCH("Thermal",'01_MASTER_DATABASE'!B133)),ISNUMBER(SEARCH("cầu",'01_MASTER_DATABASE'!B133)),ISNUMBER(SEARCH("uPVC",'01_MASTER_DATABASE'!B133))),"Xuất sắc (&gt;=40dB)","Tốt (&gt;=30dB)")</f>
        <v/>
      </c>
      <c r="D136" s="114">
        <f>IF(OR(ISNUMBER(SEARCH("Thermal",'01_MASTER_DATABASE'!B133)),ISNUMBER(SEARCH("cầu",'01_MASTER_DATABASE'!B133)),ISNUMBER(SEARCH("uPVC",'01_MASTER_DATABASE'!B133))),"Xuất sắc (Uf &lt;= 1.6)","Trung bình (Không cầu)")</f>
        <v/>
      </c>
      <c r="E136" s="114">
        <f>IF(OR(ISNUMBER(SEARCH("Thermal",'01_MASTER_DATABASE'!B133)),ISNUMBER(SEARCH("cầu",'01_MASTER_DATABASE'!B133)),ISNUMBER(SEARCH("uPVC",'01_MASTER_DATABASE'!B133))),"Class 4 (Đến 2000 Pa)","Class 3 (Đến 1500 Pa)")</f>
        <v/>
      </c>
      <c r="F136" s="114">
        <f>IF(OR(ISNUMBER(SEARCH("Thermal",'01_MASTER_DATABASE'!B133)),ISNUMBER(SEARCH("cầu",'01_MASTER_DATABASE'!B133)),ISNUMBER(SEARCH("uPVC",'01_MASTER_DATABASE'!B133))),"Tuyệt đối (Class 9A)","Tốt (Class 7A)")</f>
        <v/>
      </c>
      <c r="G136" s="114">
        <f>IF(OR(ISNUMBER(SEARCH("Thermal",'01_MASTER_DATABASE'!B133)),ISNUMBER(SEARCH("cầu",'01_MASTER_DATABASE'!B133)),ISNUMBER(SEARCH("uPVC",'01_MASTER_DATABASE'!B133))),"Tuyệt đối (Class 4)","Tốt (Class 3)")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IF(OR(ISNUMBER(SEARCH("Thermal",'01_MASTER_DATABASE'!B134)),ISNUMBER(SEARCH("cầu",'01_MASTER_DATABASE'!B134)),ISNUMBER(SEARCH("uPVC",'01_MASTER_DATABASE'!B134))),"Xuất sắc (&gt;=40dB)","Tốt (&gt;=30dB)")</f>
        <v/>
      </c>
      <c r="D137" s="114">
        <f>IF(OR(ISNUMBER(SEARCH("Thermal",'01_MASTER_DATABASE'!B134)),ISNUMBER(SEARCH("cầu",'01_MASTER_DATABASE'!B134)),ISNUMBER(SEARCH("uPVC",'01_MASTER_DATABASE'!B134))),"Xuất sắc (Uf &lt;= 1.6)","Trung bình (Không cầu)")</f>
        <v/>
      </c>
      <c r="E137" s="114">
        <f>IF(OR(ISNUMBER(SEARCH("Thermal",'01_MASTER_DATABASE'!B134)),ISNUMBER(SEARCH("cầu",'01_MASTER_DATABASE'!B134)),ISNUMBER(SEARCH("uPVC",'01_MASTER_DATABASE'!B134))),"Class 4 (Đến 2000 Pa)","Class 3 (Đến 1500 Pa)")</f>
        <v/>
      </c>
      <c r="F137" s="114">
        <f>IF(OR(ISNUMBER(SEARCH("Thermal",'01_MASTER_DATABASE'!B134)),ISNUMBER(SEARCH("cầu",'01_MASTER_DATABASE'!B134)),ISNUMBER(SEARCH("uPVC",'01_MASTER_DATABASE'!B134))),"Tuyệt đối (Class 9A)","Tốt (Class 7A)")</f>
        <v/>
      </c>
      <c r="G137" s="114">
        <f>IF(OR(ISNUMBER(SEARCH("Thermal",'01_MASTER_DATABASE'!B134)),ISNUMBER(SEARCH("cầu",'01_MASTER_DATABASE'!B134)),ISNUMBER(SEARCH("uPVC",'01_MASTER_DATABASE'!B134))),"Tuyệt đối (Class 4)","Tốt (Class 3)")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IF(OR(ISNUMBER(SEARCH("Thermal",'01_MASTER_DATABASE'!B135)),ISNUMBER(SEARCH("cầu",'01_MASTER_DATABASE'!B135)),ISNUMBER(SEARCH("uPVC",'01_MASTER_DATABASE'!B135))),"Xuất sắc (&gt;=40dB)","Tốt (&gt;=30dB)")</f>
        <v/>
      </c>
      <c r="D138" s="114">
        <f>IF(OR(ISNUMBER(SEARCH("Thermal",'01_MASTER_DATABASE'!B135)),ISNUMBER(SEARCH("cầu",'01_MASTER_DATABASE'!B135)),ISNUMBER(SEARCH("uPVC",'01_MASTER_DATABASE'!B135))),"Xuất sắc (Uf &lt;= 1.6)","Trung bình (Không cầu)")</f>
        <v/>
      </c>
      <c r="E138" s="114">
        <f>IF(OR(ISNUMBER(SEARCH("Thermal",'01_MASTER_DATABASE'!B135)),ISNUMBER(SEARCH("cầu",'01_MASTER_DATABASE'!B135)),ISNUMBER(SEARCH("uPVC",'01_MASTER_DATABASE'!B135))),"Class 4 (Đến 2000 Pa)","Class 3 (Đến 1500 Pa)")</f>
        <v/>
      </c>
      <c r="F138" s="114">
        <f>IF(OR(ISNUMBER(SEARCH("Thermal",'01_MASTER_DATABASE'!B135)),ISNUMBER(SEARCH("cầu",'01_MASTER_DATABASE'!B135)),ISNUMBER(SEARCH("uPVC",'01_MASTER_DATABASE'!B135))),"Tuyệt đối (Class 9A)","Tốt (Class 7A)")</f>
        <v/>
      </c>
      <c r="G138" s="114">
        <f>IF(OR(ISNUMBER(SEARCH("Thermal",'01_MASTER_DATABASE'!B135)),ISNUMBER(SEARCH("cầu",'01_MASTER_DATABASE'!B135)),ISNUMBER(SEARCH("uPVC",'01_MASTER_DATABASE'!B135))),"Tuyệt đối (Class 4)","Tốt (Class 3)")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IF(OR(ISNUMBER(SEARCH("Thermal",'01_MASTER_DATABASE'!B136)),ISNUMBER(SEARCH("cầu",'01_MASTER_DATABASE'!B136)),ISNUMBER(SEARCH("uPVC",'01_MASTER_DATABASE'!B136))),"Xuất sắc (&gt;=40dB)","Tốt (&gt;=30dB)")</f>
        <v/>
      </c>
      <c r="D139" s="114">
        <f>IF(OR(ISNUMBER(SEARCH("Thermal",'01_MASTER_DATABASE'!B136)),ISNUMBER(SEARCH("cầu",'01_MASTER_DATABASE'!B136)),ISNUMBER(SEARCH("uPVC",'01_MASTER_DATABASE'!B136))),"Xuất sắc (Uf &lt;= 1.6)","Trung bình (Không cầu)")</f>
        <v/>
      </c>
      <c r="E139" s="114">
        <f>IF(OR(ISNUMBER(SEARCH("Thermal",'01_MASTER_DATABASE'!B136)),ISNUMBER(SEARCH("cầu",'01_MASTER_DATABASE'!B136)),ISNUMBER(SEARCH("uPVC",'01_MASTER_DATABASE'!B136))),"Class 4 (Đến 2000 Pa)","Class 3 (Đến 1500 Pa)")</f>
        <v/>
      </c>
      <c r="F139" s="114">
        <f>IF(OR(ISNUMBER(SEARCH("Thermal",'01_MASTER_DATABASE'!B136)),ISNUMBER(SEARCH("cầu",'01_MASTER_DATABASE'!B136)),ISNUMBER(SEARCH("uPVC",'01_MASTER_DATABASE'!B136))),"Tuyệt đối (Class 9A)","Tốt (Class 7A)")</f>
        <v/>
      </c>
      <c r="G139" s="114">
        <f>IF(OR(ISNUMBER(SEARCH("Thermal",'01_MASTER_DATABASE'!B136)),ISNUMBER(SEARCH("cầu",'01_MASTER_DATABASE'!B136)),ISNUMBER(SEARCH("uPVC",'01_MASTER_DATABASE'!B136))),"Tuyệt đối (Class 4)","Tốt (Class 3)")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IF(OR(ISNUMBER(SEARCH("Thermal",'01_MASTER_DATABASE'!B137)),ISNUMBER(SEARCH("cầu",'01_MASTER_DATABASE'!B137)),ISNUMBER(SEARCH("uPVC",'01_MASTER_DATABASE'!B137))),"Xuất sắc (&gt;=40dB)","Tốt (&gt;=30dB)")</f>
        <v/>
      </c>
      <c r="D140" s="114">
        <f>IF(OR(ISNUMBER(SEARCH("Thermal",'01_MASTER_DATABASE'!B137)),ISNUMBER(SEARCH("cầu",'01_MASTER_DATABASE'!B137)),ISNUMBER(SEARCH("uPVC",'01_MASTER_DATABASE'!B137))),"Xuất sắc (Uf &lt;= 1.6)","Trung bình (Không cầu)")</f>
        <v/>
      </c>
      <c r="E140" s="114">
        <f>IF(OR(ISNUMBER(SEARCH("Thermal",'01_MASTER_DATABASE'!B137)),ISNUMBER(SEARCH("cầu",'01_MASTER_DATABASE'!B137)),ISNUMBER(SEARCH("uPVC",'01_MASTER_DATABASE'!B137))),"Class 4 (Đến 2000 Pa)","Class 3 (Đến 1500 Pa)")</f>
        <v/>
      </c>
      <c r="F140" s="114">
        <f>IF(OR(ISNUMBER(SEARCH("Thermal",'01_MASTER_DATABASE'!B137)),ISNUMBER(SEARCH("cầu",'01_MASTER_DATABASE'!B137)),ISNUMBER(SEARCH("uPVC",'01_MASTER_DATABASE'!B137))),"Tuyệt đối (Class 9A)","Tốt (Class 7A)")</f>
        <v/>
      </c>
      <c r="G140" s="114">
        <f>IF(OR(ISNUMBER(SEARCH("Thermal",'01_MASTER_DATABASE'!B137)),ISNUMBER(SEARCH("cầu",'01_MASTER_DATABASE'!B137)),ISNUMBER(SEARCH("uPVC",'01_MASTER_DATABASE'!B137))),"Tuyệt đối (Class 4)","Tốt (Class 3)")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IF(OR(ISNUMBER(SEARCH("Thermal",'01_MASTER_DATABASE'!B138)),ISNUMBER(SEARCH("cầu",'01_MASTER_DATABASE'!B138)),ISNUMBER(SEARCH("uPVC",'01_MASTER_DATABASE'!B138))),"Xuất sắc (&gt;=40dB)","Tốt (&gt;=30dB)")</f>
        <v/>
      </c>
      <c r="D141" s="114">
        <f>IF(OR(ISNUMBER(SEARCH("Thermal",'01_MASTER_DATABASE'!B138)),ISNUMBER(SEARCH("cầu",'01_MASTER_DATABASE'!B138)),ISNUMBER(SEARCH("uPVC",'01_MASTER_DATABASE'!B138))),"Xuất sắc (Uf &lt;= 1.6)","Trung bình (Không cầu)")</f>
        <v/>
      </c>
      <c r="E141" s="114">
        <f>IF(OR(ISNUMBER(SEARCH("Thermal",'01_MASTER_DATABASE'!B138)),ISNUMBER(SEARCH("cầu",'01_MASTER_DATABASE'!B138)),ISNUMBER(SEARCH("uPVC",'01_MASTER_DATABASE'!B138))),"Class 4 (Đến 2000 Pa)","Class 3 (Đến 1500 Pa)")</f>
        <v/>
      </c>
      <c r="F141" s="114">
        <f>IF(OR(ISNUMBER(SEARCH("Thermal",'01_MASTER_DATABASE'!B138)),ISNUMBER(SEARCH("cầu",'01_MASTER_DATABASE'!B138)),ISNUMBER(SEARCH("uPVC",'01_MASTER_DATABASE'!B138))),"Tuyệt đối (Class 9A)","Tốt (Class 7A)")</f>
        <v/>
      </c>
      <c r="G141" s="114">
        <f>IF(OR(ISNUMBER(SEARCH("Thermal",'01_MASTER_DATABASE'!B138)),ISNUMBER(SEARCH("cầu",'01_MASTER_DATABASE'!B138)),ISNUMBER(SEARCH("uPVC",'01_MASTER_DATABASE'!B138))),"Tuyệt đối (Class 4)","Tốt (Class 3)")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IF(OR(ISNUMBER(SEARCH("Thermal",'01_MASTER_DATABASE'!B139)),ISNUMBER(SEARCH("cầu",'01_MASTER_DATABASE'!B139)),ISNUMBER(SEARCH("uPVC",'01_MASTER_DATABASE'!B139))),"Xuất sắc (&gt;=40dB)","Tốt (&gt;=30dB)")</f>
        <v/>
      </c>
      <c r="D142" s="114">
        <f>IF(OR(ISNUMBER(SEARCH("Thermal",'01_MASTER_DATABASE'!B139)),ISNUMBER(SEARCH("cầu",'01_MASTER_DATABASE'!B139)),ISNUMBER(SEARCH("uPVC",'01_MASTER_DATABASE'!B139))),"Xuất sắc (Uf &lt;= 1.6)","Trung bình (Không cầu)")</f>
        <v/>
      </c>
      <c r="E142" s="114">
        <f>IF(OR(ISNUMBER(SEARCH("Thermal",'01_MASTER_DATABASE'!B139)),ISNUMBER(SEARCH("cầu",'01_MASTER_DATABASE'!B139)),ISNUMBER(SEARCH("uPVC",'01_MASTER_DATABASE'!B139))),"Class 4 (Đến 2000 Pa)","Class 3 (Đến 1500 Pa)")</f>
        <v/>
      </c>
      <c r="F142" s="114">
        <f>IF(OR(ISNUMBER(SEARCH("Thermal",'01_MASTER_DATABASE'!B139)),ISNUMBER(SEARCH("cầu",'01_MASTER_DATABASE'!B139)),ISNUMBER(SEARCH("uPVC",'01_MASTER_DATABASE'!B139))),"Tuyệt đối (Class 9A)","Tốt (Class 7A)")</f>
        <v/>
      </c>
      <c r="G142" s="114">
        <f>IF(OR(ISNUMBER(SEARCH("Thermal",'01_MASTER_DATABASE'!B139)),ISNUMBER(SEARCH("cầu",'01_MASTER_DATABASE'!B139)),ISNUMBER(SEARCH("uPVC",'01_MASTER_DATABASE'!B139))),"Tuyệt đối (Class 4)","Tốt (Class 3)")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IF(OR(ISNUMBER(SEARCH("Thermal",'01_MASTER_DATABASE'!B140)),ISNUMBER(SEARCH("cầu",'01_MASTER_DATABASE'!B140)),ISNUMBER(SEARCH("uPVC",'01_MASTER_DATABASE'!B140))),"Xuất sắc (&gt;=40dB)","Tốt (&gt;=30dB)")</f>
        <v/>
      </c>
      <c r="D143" s="114">
        <f>IF(OR(ISNUMBER(SEARCH("Thermal",'01_MASTER_DATABASE'!B140)),ISNUMBER(SEARCH("cầu",'01_MASTER_DATABASE'!B140)),ISNUMBER(SEARCH("uPVC",'01_MASTER_DATABASE'!B140))),"Xuất sắc (Uf &lt;= 1.6)","Trung bình (Không cầu)")</f>
        <v/>
      </c>
      <c r="E143" s="114">
        <f>IF(OR(ISNUMBER(SEARCH("Thermal",'01_MASTER_DATABASE'!B140)),ISNUMBER(SEARCH("cầu",'01_MASTER_DATABASE'!B140)),ISNUMBER(SEARCH("uPVC",'01_MASTER_DATABASE'!B140))),"Class 4 (Đến 2000 Pa)","Class 3 (Đến 1500 Pa)")</f>
        <v/>
      </c>
      <c r="F143" s="114">
        <f>IF(OR(ISNUMBER(SEARCH("Thermal",'01_MASTER_DATABASE'!B140)),ISNUMBER(SEARCH("cầu",'01_MASTER_DATABASE'!B140)),ISNUMBER(SEARCH("uPVC",'01_MASTER_DATABASE'!B140))),"Tuyệt đối (Class 9A)","Tốt (Class 7A)")</f>
        <v/>
      </c>
      <c r="G143" s="114">
        <f>IF(OR(ISNUMBER(SEARCH("Thermal",'01_MASTER_DATABASE'!B140)),ISNUMBER(SEARCH("cầu",'01_MASTER_DATABASE'!B140)),ISNUMBER(SEARCH("uPVC",'01_MASTER_DATABASE'!B140))),"Tuyệt đối (Class 4)","Tốt (Class 3)")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IF(OR(ISNUMBER(SEARCH("Thermal",'01_MASTER_DATABASE'!B141)),ISNUMBER(SEARCH("cầu",'01_MASTER_DATABASE'!B141)),ISNUMBER(SEARCH("uPVC",'01_MASTER_DATABASE'!B141))),"Xuất sắc (&gt;=40dB)","Tốt (&gt;=30dB)")</f>
        <v/>
      </c>
      <c r="D144" s="114">
        <f>IF(OR(ISNUMBER(SEARCH("Thermal",'01_MASTER_DATABASE'!B141)),ISNUMBER(SEARCH("cầu",'01_MASTER_DATABASE'!B141)),ISNUMBER(SEARCH("uPVC",'01_MASTER_DATABASE'!B141))),"Xuất sắc (Uf &lt;= 1.6)","Trung bình (Không cầu)")</f>
        <v/>
      </c>
      <c r="E144" s="114">
        <f>IF(OR(ISNUMBER(SEARCH("Thermal",'01_MASTER_DATABASE'!B141)),ISNUMBER(SEARCH("cầu",'01_MASTER_DATABASE'!B141)),ISNUMBER(SEARCH("uPVC",'01_MASTER_DATABASE'!B141))),"Class 4 (Đến 2000 Pa)","Class 3 (Đến 1500 Pa)")</f>
        <v/>
      </c>
      <c r="F144" s="114">
        <f>IF(OR(ISNUMBER(SEARCH("Thermal",'01_MASTER_DATABASE'!B141)),ISNUMBER(SEARCH("cầu",'01_MASTER_DATABASE'!B141)),ISNUMBER(SEARCH("uPVC",'01_MASTER_DATABASE'!B141))),"Tuyệt đối (Class 9A)","Tốt (Class 7A)")</f>
        <v/>
      </c>
      <c r="G144" s="114">
        <f>IF(OR(ISNUMBER(SEARCH("Thermal",'01_MASTER_DATABASE'!B141)),ISNUMBER(SEARCH("cầu",'01_MASTER_DATABASE'!B141)),ISNUMBER(SEARCH("uPVC",'01_MASTER_DATABASE'!B141))),"Tuyệt đối (Class 4)","Tốt (Class 3)")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IF(OR(ISNUMBER(SEARCH("Thermal",'01_MASTER_DATABASE'!B142)),ISNUMBER(SEARCH("cầu",'01_MASTER_DATABASE'!B142)),ISNUMBER(SEARCH("uPVC",'01_MASTER_DATABASE'!B142))),"Xuất sắc (&gt;=40dB)","Tốt (&gt;=30dB)")</f>
        <v/>
      </c>
      <c r="D145" s="114">
        <f>IF(OR(ISNUMBER(SEARCH("Thermal",'01_MASTER_DATABASE'!B142)),ISNUMBER(SEARCH("cầu",'01_MASTER_DATABASE'!B142)),ISNUMBER(SEARCH("uPVC",'01_MASTER_DATABASE'!B142))),"Xuất sắc (Uf &lt;= 1.6)","Trung bình (Không cầu)")</f>
        <v/>
      </c>
      <c r="E145" s="114">
        <f>IF(OR(ISNUMBER(SEARCH("Thermal",'01_MASTER_DATABASE'!B142)),ISNUMBER(SEARCH("cầu",'01_MASTER_DATABASE'!B142)),ISNUMBER(SEARCH("uPVC",'01_MASTER_DATABASE'!B142))),"Class 4 (Đến 2000 Pa)","Class 3 (Đến 1500 Pa)")</f>
        <v/>
      </c>
      <c r="F145" s="114">
        <f>IF(OR(ISNUMBER(SEARCH("Thermal",'01_MASTER_DATABASE'!B142)),ISNUMBER(SEARCH("cầu",'01_MASTER_DATABASE'!B142)),ISNUMBER(SEARCH("uPVC",'01_MASTER_DATABASE'!B142))),"Tuyệt đối (Class 9A)","Tốt (Class 7A)")</f>
        <v/>
      </c>
      <c r="G145" s="114">
        <f>IF(OR(ISNUMBER(SEARCH("Thermal",'01_MASTER_DATABASE'!B142)),ISNUMBER(SEARCH("cầu",'01_MASTER_DATABASE'!B142)),ISNUMBER(SEARCH("uPVC",'01_MASTER_DATABASE'!B142))),"Tuyệt đối (Class 4)","Tốt (Class 3)")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IF(OR(ISNUMBER(SEARCH("Thermal",'01_MASTER_DATABASE'!B143)),ISNUMBER(SEARCH("cầu",'01_MASTER_DATABASE'!B143)),ISNUMBER(SEARCH("uPVC",'01_MASTER_DATABASE'!B143))),"Xuất sắc (&gt;=40dB)","Tốt (&gt;=30dB)")</f>
        <v/>
      </c>
      <c r="D146" s="114">
        <f>IF(OR(ISNUMBER(SEARCH("Thermal",'01_MASTER_DATABASE'!B143)),ISNUMBER(SEARCH("cầu",'01_MASTER_DATABASE'!B143)),ISNUMBER(SEARCH("uPVC",'01_MASTER_DATABASE'!B143))),"Xuất sắc (Uf &lt;= 1.6)","Trung bình (Không cầu)")</f>
        <v/>
      </c>
      <c r="E146" s="114">
        <f>IF(OR(ISNUMBER(SEARCH("Thermal",'01_MASTER_DATABASE'!B143)),ISNUMBER(SEARCH("cầu",'01_MASTER_DATABASE'!B143)),ISNUMBER(SEARCH("uPVC",'01_MASTER_DATABASE'!B143))),"Class 4 (Đến 2000 Pa)","Class 3 (Đến 1500 Pa)")</f>
        <v/>
      </c>
      <c r="F146" s="114">
        <f>IF(OR(ISNUMBER(SEARCH("Thermal",'01_MASTER_DATABASE'!B143)),ISNUMBER(SEARCH("cầu",'01_MASTER_DATABASE'!B143)),ISNUMBER(SEARCH("uPVC",'01_MASTER_DATABASE'!B143))),"Tuyệt đối (Class 9A)","Tốt (Class 7A)")</f>
        <v/>
      </c>
      <c r="G146" s="114">
        <f>IF(OR(ISNUMBER(SEARCH("Thermal",'01_MASTER_DATABASE'!B143)),ISNUMBER(SEARCH("cầu",'01_MASTER_DATABASE'!B143)),ISNUMBER(SEARCH("uPVC",'01_MASTER_DATABASE'!B143))),"Tuyệt đối (Class 4)","Tốt (Class 3)")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IF(OR(ISNUMBER(SEARCH("Thermal",'01_MASTER_DATABASE'!B144)),ISNUMBER(SEARCH("cầu",'01_MASTER_DATABASE'!B144)),ISNUMBER(SEARCH("uPVC",'01_MASTER_DATABASE'!B144))),"Xuất sắc (&gt;=40dB)","Tốt (&gt;=30dB)")</f>
        <v/>
      </c>
      <c r="D147" s="114">
        <f>IF(OR(ISNUMBER(SEARCH("Thermal",'01_MASTER_DATABASE'!B144)),ISNUMBER(SEARCH("cầu",'01_MASTER_DATABASE'!B144)),ISNUMBER(SEARCH("uPVC",'01_MASTER_DATABASE'!B144))),"Xuất sắc (Uf &lt;= 1.6)","Trung bình (Không cầu)")</f>
        <v/>
      </c>
      <c r="E147" s="114">
        <f>IF(OR(ISNUMBER(SEARCH("Thermal",'01_MASTER_DATABASE'!B144)),ISNUMBER(SEARCH("cầu",'01_MASTER_DATABASE'!B144)),ISNUMBER(SEARCH("uPVC",'01_MASTER_DATABASE'!B144))),"Class 4 (Đến 2000 Pa)","Class 3 (Đến 1500 Pa)")</f>
        <v/>
      </c>
      <c r="F147" s="114">
        <f>IF(OR(ISNUMBER(SEARCH("Thermal",'01_MASTER_DATABASE'!B144)),ISNUMBER(SEARCH("cầu",'01_MASTER_DATABASE'!B144)),ISNUMBER(SEARCH("uPVC",'01_MASTER_DATABASE'!B144))),"Tuyệt đối (Class 9A)","Tốt (Class 7A)")</f>
        <v/>
      </c>
      <c r="G147" s="114">
        <f>IF(OR(ISNUMBER(SEARCH("Thermal",'01_MASTER_DATABASE'!B144)),ISNUMBER(SEARCH("cầu",'01_MASTER_DATABASE'!B144)),ISNUMBER(SEARCH("uPVC",'01_MASTER_DATABASE'!B144))),"Tuyệt đối (Class 4)","Tốt (Class 3)")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IF(OR(ISNUMBER(SEARCH("Thermal",'01_MASTER_DATABASE'!B145)),ISNUMBER(SEARCH("cầu",'01_MASTER_DATABASE'!B145)),ISNUMBER(SEARCH("uPVC",'01_MASTER_DATABASE'!B145))),"Xuất sắc (&gt;=40dB)","Tốt (&gt;=30dB)")</f>
        <v/>
      </c>
      <c r="D148" s="114">
        <f>IF(OR(ISNUMBER(SEARCH("Thermal",'01_MASTER_DATABASE'!B145)),ISNUMBER(SEARCH("cầu",'01_MASTER_DATABASE'!B145)),ISNUMBER(SEARCH("uPVC",'01_MASTER_DATABASE'!B145))),"Xuất sắc (Uf &lt;= 1.6)","Trung bình (Không cầu)")</f>
        <v/>
      </c>
      <c r="E148" s="114">
        <f>IF(OR(ISNUMBER(SEARCH("Thermal",'01_MASTER_DATABASE'!B145)),ISNUMBER(SEARCH("cầu",'01_MASTER_DATABASE'!B145)),ISNUMBER(SEARCH("uPVC",'01_MASTER_DATABASE'!B145))),"Class 4 (Đến 2000 Pa)","Class 3 (Đến 1500 Pa)")</f>
        <v/>
      </c>
      <c r="F148" s="114">
        <f>IF(OR(ISNUMBER(SEARCH("Thermal",'01_MASTER_DATABASE'!B145)),ISNUMBER(SEARCH("cầu",'01_MASTER_DATABASE'!B145)),ISNUMBER(SEARCH("uPVC",'01_MASTER_DATABASE'!B145))),"Tuyệt đối (Class 9A)","Tốt (Class 7A)")</f>
        <v/>
      </c>
      <c r="G148" s="114">
        <f>IF(OR(ISNUMBER(SEARCH("Thermal",'01_MASTER_DATABASE'!B145)),ISNUMBER(SEARCH("cầu",'01_MASTER_DATABASE'!B145)),ISNUMBER(SEARCH("uPVC",'01_MASTER_DATABASE'!B145))),"Tuyệt đối (Class 4)","Tốt (Class 3)")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IF(OR(ISNUMBER(SEARCH("Thermal",'01_MASTER_DATABASE'!B146)),ISNUMBER(SEARCH("cầu",'01_MASTER_DATABASE'!B146)),ISNUMBER(SEARCH("uPVC",'01_MASTER_DATABASE'!B146))),"Xuất sắc (&gt;=40dB)","Tốt (&gt;=30dB)")</f>
        <v/>
      </c>
      <c r="D149" s="114">
        <f>IF(OR(ISNUMBER(SEARCH("Thermal",'01_MASTER_DATABASE'!B146)),ISNUMBER(SEARCH("cầu",'01_MASTER_DATABASE'!B146)),ISNUMBER(SEARCH("uPVC",'01_MASTER_DATABASE'!B146))),"Xuất sắc (Uf &lt;= 1.6)","Trung bình (Không cầu)")</f>
        <v/>
      </c>
      <c r="E149" s="114">
        <f>IF(OR(ISNUMBER(SEARCH("Thermal",'01_MASTER_DATABASE'!B146)),ISNUMBER(SEARCH("cầu",'01_MASTER_DATABASE'!B146)),ISNUMBER(SEARCH("uPVC",'01_MASTER_DATABASE'!B146))),"Class 4 (Đến 2000 Pa)","Class 3 (Đến 1500 Pa)")</f>
        <v/>
      </c>
      <c r="F149" s="114">
        <f>IF(OR(ISNUMBER(SEARCH("Thermal",'01_MASTER_DATABASE'!B146)),ISNUMBER(SEARCH("cầu",'01_MASTER_DATABASE'!B146)),ISNUMBER(SEARCH("uPVC",'01_MASTER_DATABASE'!B146))),"Tuyệt đối (Class 9A)","Tốt (Class 7A)")</f>
        <v/>
      </c>
      <c r="G149" s="114">
        <f>IF(OR(ISNUMBER(SEARCH("Thermal",'01_MASTER_DATABASE'!B146)),ISNUMBER(SEARCH("cầu",'01_MASTER_DATABASE'!B146)),ISNUMBER(SEARCH("uPVC",'01_MASTER_DATABASE'!B146))),"Tuyệt đối (Class 4)","Tốt (Class 3)")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IF(OR(ISNUMBER(SEARCH("Thermal",'01_MASTER_DATABASE'!B147)),ISNUMBER(SEARCH("cầu",'01_MASTER_DATABASE'!B147)),ISNUMBER(SEARCH("uPVC",'01_MASTER_DATABASE'!B147))),"Xuất sắc (&gt;=40dB)","Tốt (&gt;=30dB)")</f>
        <v/>
      </c>
      <c r="D150" s="114">
        <f>IF(OR(ISNUMBER(SEARCH("Thermal",'01_MASTER_DATABASE'!B147)),ISNUMBER(SEARCH("cầu",'01_MASTER_DATABASE'!B147)),ISNUMBER(SEARCH("uPVC",'01_MASTER_DATABASE'!B147))),"Xuất sắc (Uf &lt;= 1.6)","Trung bình (Không cầu)")</f>
        <v/>
      </c>
      <c r="E150" s="114">
        <f>IF(OR(ISNUMBER(SEARCH("Thermal",'01_MASTER_DATABASE'!B147)),ISNUMBER(SEARCH("cầu",'01_MASTER_DATABASE'!B147)),ISNUMBER(SEARCH("uPVC",'01_MASTER_DATABASE'!B147))),"Class 4 (Đến 2000 Pa)","Class 3 (Đến 1500 Pa)")</f>
        <v/>
      </c>
      <c r="F150" s="114">
        <f>IF(OR(ISNUMBER(SEARCH("Thermal",'01_MASTER_DATABASE'!B147)),ISNUMBER(SEARCH("cầu",'01_MASTER_DATABASE'!B147)),ISNUMBER(SEARCH("uPVC",'01_MASTER_DATABASE'!B147))),"Tuyệt đối (Class 9A)","Tốt (Class 7A)")</f>
        <v/>
      </c>
      <c r="G150" s="114">
        <f>IF(OR(ISNUMBER(SEARCH("Thermal",'01_MASTER_DATABASE'!B147)),ISNUMBER(SEARCH("cầu",'01_MASTER_DATABASE'!B147)),ISNUMBER(SEARCH("uPVC",'01_MASTER_DATABASE'!B147))),"Tuyệt đối (Class 4)","Tốt (Class 3)")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IF(OR(ISNUMBER(SEARCH("Thermal",'01_MASTER_DATABASE'!B148)),ISNUMBER(SEARCH("cầu",'01_MASTER_DATABASE'!B148)),ISNUMBER(SEARCH("uPVC",'01_MASTER_DATABASE'!B148))),"Xuất sắc (&gt;=40dB)","Tốt (&gt;=30dB)")</f>
        <v/>
      </c>
      <c r="D151" s="114">
        <f>IF(OR(ISNUMBER(SEARCH("Thermal",'01_MASTER_DATABASE'!B148)),ISNUMBER(SEARCH("cầu",'01_MASTER_DATABASE'!B148)),ISNUMBER(SEARCH("uPVC",'01_MASTER_DATABASE'!B148))),"Xuất sắc (Uf &lt;= 1.6)","Trung bình (Không cầu)")</f>
        <v/>
      </c>
      <c r="E151" s="114">
        <f>IF(OR(ISNUMBER(SEARCH("Thermal",'01_MASTER_DATABASE'!B148)),ISNUMBER(SEARCH("cầu",'01_MASTER_DATABASE'!B148)),ISNUMBER(SEARCH("uPVC",'01_MASTER_DATABASE'!B148))),"Class 4 (Đến 2000 Pa)","Class 3 (Đến 1500 Pa)")</f>
        <v/>
      </c>
      <c r="F151" s="114">
        <f>IF(OR(ISNUMBER(SEARCH("Thermal",'01_MASTER_DATABASE'!B148)),ISNUMBER(SEARCH("cầu",'01_MASTER_DATABASE'!B148)),ISNUMBER(SEARCH("uPVC",'01_MASTER_DATABASE'!B148))),"Tuyệt đối (Class 9A)","Tốt (Class 7A)")</f>
        <v/>
      </c>
      <c r="G151" s="114">
        <f>IF(OR(ISNUMBER(SEARCH("Thermal",'01_MASTER_DATABASE'!B148)),ISNUMBER(SEARCH("cầu",'01_MASTER_DATABASE'!B148)),ISNUMBER(SEARCH("uPVC",'01_MASTER_DATABASE'!B148))),"Tuyệt đối (Class 4)","Tốt (Class 3)")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IF(OR(ISNUMBER(SEARCH("Thermal",'01_MASTER_DATABASE'!B149)),ISNUMBER(SEARCH("cầu",'01_MASTER_DATABASE'!B149)),ISNUMBER(SEARCH("uPVC",'01_MASTER_DATABASE'!B149))),"Xuất sắc (&gt;=40dB)","Tốt (&gt;=30dB)")</f>
        <v/>
      </c>
      <c r="D152" s="114">
        <f>IF(OR(ISNUMBER(SEARCH("Thermal",'01_MASTER_DATABASE'!B149)),ISNUMBER(SEARCH("cầu",'01_MASTER_DATABASE'!B149)),ISNUMBER(SEARCH("uPVC",'01_MASTER_DATABASE'!B149))),"Xuất sắc (Uf &lt;= 1.6)","Trung bình (Không cầu)")</f>
        <v/>
      </c>
      <c r="E152" s="114">
        <f>IF(OR(ISNUMBER(SEARCH("Thermal",'01_MASTER_DATABASE'!B149)),ISNUMBER(SEARCH("cầu",'01_MASTER_DATABASE'!B149)),ISNUMBER(SEARCH("uPVC",'01_MASTER_DATABASE'!B149))),"Class 4 (Đến 2000 Pa)","Class 3 (Đến 1500 Pa)")</f>
        <v/>
      </c>
      <c r="F152" s="114">
        <f>IF(OR(ISNUMBER(SEARCH("Thermal",'01_MASTER_DATABASE'!B149)),ISNUMBER(SEARCH("cầu",'01_MASTER_DATABASE'!B149)),ISNUMBER(SEARCH("uPVC",'01_MASTER_DATABASE'!B149))),"Tuyệt đối (Class 9A)","Tốt (Class 7A)")</f>
        <v/>
      </c>
      <c r="G152" s="114">
        <f>IF(OR(ISNUMBER(SEARCH("Thermal",'01_MASTER_DATABASE'!B149)),ISNUMBER(SEARCH("cầu",'01_MASTER_DATABASE'!B149)),ISNUMBER(SEARCH("uPVC",'01_MASTER_DATABASE'!B149))),"Tuyệt đối (Class 4)","Tốt (Class 3)")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IF(OR(ISNUMBER(SEARCH("Thermal",'01_MASTER_DATABASE'!B150)),ISNUMBER(SEARCH("cầu",'01_MASTER_DATABASE'!B150)),ISNUMBER(SEARCH("uPVC",'01_MASTER_DATABASE'!B150))),"Xuất sắc (&gt;=40dB)","Tốt (&gt;=30dB)")</f>
        <v/>
      </c>
      <c r="D153" s="114">
        <f>IF(OR(ISNUMBER(SEARCH("Thermal",'01_MASTER_DATABASE'!B150)),ISNUMBER(SEARCH("cầu",'01_MASTER_DATABASE'!B150)),ISNUMBER(SEARCH("uPVC",'01_MASTER_DATABASE'!B150))),"Xuất sắc (Uf &lt;= 1.6)","Trung bình (Không cầu)")</f>
        <v/>
      </c>
      <c r="E153" s="114">
        <f>IF(OR(ISNUMBER(SEARCH("Thermal",'01_MASTER_DATABASE'!B150)),ISNUMBER(SEARCH("cầu",'01_MASTER_DATABASE'!B150)),ISNUMBER(SEARCH("uPVC",'01_MASTER_DATABASE'!B150))),"Class 4 (Đến 2000 Pa)","Class 3 (Đến 1500 Pa)")</f>
        <v/>
      </c>
      <c r="F153" s="114">
        <f>IF(OR(ISNUMBER(SEARCH("Thermal",'01_MASTER_DATABASE'!B150)),ISNUMBER(SEARCH("cầu",'01_MASTER_DATABASE'!B150)),ISNUMBER(SEARCH("uPVC",'01_MASTER_DATABASE'!B150))),"Tuyệt đối (Class 9A)","Tốt (Class 7A)")</f>
        <v/>
      </c>
      <c r="G153" s="114">
        <f>IF(OR(ISNUMBER(SEARCH("Thermal",'01_MASTER_DATABASE'!B150)),ISNUMBER(SEARCH("cầu",'01_MASTER_DATABASE'!B150)),ISNUMBER(SEARCH("uPVC",'01_MASTER_DATABASE'!B150))),"Tuyệt đối (Class 4)","Tốt (Class 3)")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IF(OR(ISNUMBER(SEARCH("Thermal",'01_MASTER_DATABASE'!B151)),ISNUMBER(SEARCH("cầu",'01_MASTER_DATABASE'!B151)),ISNUMBER(SEARCH("uPVC",'01_MASTER_DATABASE'!B151))),"Xuất sắc (&gt;=40dB)","Tốt (&gt;=30dB)")</f>
        <v/>
      </c>
      <c r="D154" s="114">
        <f>IF(OR(ISNUMBER(SEARCH("Thermal",'01_MASTER_DATABASE'!B151)),ISNUMBER(SEARCH("cầu",'01_MASTER_DATABASE'!B151)),ISNUMBER(SEARCH("uPVC",'01_MASTER_DATABASE'!B151))),"Xuất sắc (Uf &lt;= 1.6)","Trung bình (Không cầu)")</f>
        <v/>
      </c>
      <c r="E154" s="114">
        <f>IF(OR(ISNUMBER(SEARCH("Thermal",'01_MASTER_DATABASE'!B151)),ISNUMBER(SEARCH("cầu",'01_MASTER_DATABASE'!B151)),ISNUMBER(SEARCH("uPVC",'01_MASTER_DATABASE'!B151))),"Class 4 (Đến 2000 Pa)","Class 3 (Đến 1500 Pa)")</f>
        <v/>
      </c>
      <c r="F154" s="114">
        <f>IF(OR(ISNUMBER(SEARCH("Thermal",'01_MASTER_DATABASE'!B151)),ISNUMBER(SEARCH("cầu",'01_MASTER_DATABASE'!B151)),ISNUMBER(SEARCH("uPVC",'01_MASTER_DATABASE'!B151))),"Tuyệt đối (Class 9A)","Tốt (Class 7A)")</f>
        <v/>
      </c>
      <c r="G154" s="114">
        <f>IF(OR(ISNUMBER(SEARCH("Thermal",'01_MASTER_DATABASE'!B151)),ISNUMBER(SEARCH("cầu",'01_MASTER_DATABASE'!B151)),ISNUMBER(SEARCH("uPVC",'01_MASTER_DATABASE'!B151))),"Tuyệt đối (Class 4)","Tốt (Class 3)")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IF(OR(ISNUMBER(SEARCH("Thermal",'01_MASTER_DATABASE'!B152)),ISNUMBER(SEARCH("cầu",'01_MASTER_DATABASE'!B152)),ISNUMBER(SEARCH("uPVC",'01_MASTER_DATABASE'!B152))),"Xuất sắc (&gt;=40dB)","Tốt (&gt;=30dB)")</f>
        <v/>
      </c>
      <c r="D155" s="114">
        <f>IF(OR(ISNUMBER(SEARCH("Thermal",'01_MASTER_DATABASE'!B152)),ISNUMBER(SEARCH("cầu",'01_MASTER_DATABASE'!B152)),ISNUMBER(SEARCH("uPVC",'01_MASTER_DATABASE'!B152))),"Xuất sắc (Uf &lt;= 1.6)","Trung bình (Không cầu)")</f>
        <v/>
      </c>
      <c r="E155" s="114">
        <f>IF(OR(ISNUMBER(SEARCH("Thermal",'01_MASTER_DATABASE'!B152)),ISNUMBER(SEARCH("cầu",'01_MASTER_DATABASE'!B152)),ISNUMBER(SEARCH("uPVC",'01_MASTER_DATABASE'!B152))),"Class 4 (Đến 2000 Pa)","Class 3 (Đến 1500 Pa)")</f>
        <v/>
      </c>
      <c r="F155" s="114">
        <f>IF(OR(ISNUMBER(SEARCH("Thermal",'01_MASTER_DATABASE'!B152)),ISNUMBER(SEARCH("cầu",'01_MASTER_DATABASE'!B152)),ISNUMBER(SEARCH("uPVC",'01_MASTER_DATABASE'!B152))),"Tuyệt đối (Class 9A)","Tốt (Class 7A)")</f>
        <v/>
      </c>
      <c r="G155" s="114">
        <f>IF(OR(ISNUMBER(SEARCH("Thermal",'01_MASTER_DATABASE'!B152)),ISNUMBER(SEARCH("cầu",'01_MASTER_DATABASE'!B152)),ISNUMBER(SEARCH("uPVC",'01_MASTER_DATABASE'!B152))),"Tuyệt đối (Class 4)","Tốt (Class 3)")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IF(OR(ISNUMBER(SEARCH("Thermal",'01_MASTER_DATABASE'!B153)),ISNUMBER(SEARCH("cầu",'01_MASTER_DATABASE'!B153)),ISNUMBER(SEARCH("uPVC",'01_MASTER_DATABASE'!B153))),"Xuất sắc (&gt;=40dB)","Tốt (&gt;=30dB)")</f>
        <v/>
      </c>
      <c r="D156" s="114">
        <f>IF(OR(ISNUMBER(SEARCH("Thermal",'01_MASTER_DATABASE'!B153)),ISNUMBER(SEARCH("cầu",'01_MASTER_DATABASE'!B153)),ISNUMBER(SEARCH("uPVC",'01_MASTER_DATABASE'!B153))),"Xuất sắc (Uf &lt;= 1.6)","Trung bình (Không cầu)")</f>
        <v/>
      </c>
      <c r="E156" s="114">
        <f>IF(OR(ISNUMBER(SEARCH("Thermal",'01_MASTER_DATABASE'!B153)),ISNUMBER(SEARCH("cầu",'01_MASTER_DATABASE'!B153)),ISNUMBER(SEARCH("uPVC",'01_MASTER_DATABASE'!B153))),"Class 4 (Đến 2000 Pa)","Class 3 (Đến 1500 Pa)")</f>
        <v/>
      </c>
      <c r="F156" s="114">
        <f>IF(OR(ISNUMBER(SEARCH("Thermal",'01_MASTER_DATABASE'!B153)),ISNUMBER(SEARCH("cầu",'01_MASTER_DATABASE'!B153)),ISNUMBER(SEARCH("uPVC",'01_MASTER_DATABASE'!B153))),"Tuyệt đối (Class 9A)","Tốt (Class 7A)")</f>
        <v/>
      </c>
      <c r="G156" s="114">
        <f>IF(OR(ISNUMBER(SEARCH("Thermal",'01_MASTER_DATABASE'!B153)),ISNUMBER(SEARCH("cầu",'01_MASTER_DATABASE'!B153)),ISNUMBER(SEARCH("uPVC",'01_MASTER_DATABASE'!B153))),"Tuyệt đối (Class 4)","Tốt (Class 3)")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IF(OR(ISNUMBER(SEARCH("Thermal",'01_MASTER_DATABASE'!B154)),ISNUMBER(SEARCH("cầu",'01_MASTER_DATABASE'!B154)),ISNUMBER(SEARCH("uPVC",'01_MASTER_DATABASE'!B154))),"Xuất sắc (&gt;=40dB)","Tốt (&gt;=30dB)")</f>
        <v/>
      </c>
      <c r="D157" s="114">
        <f>IF(OR(ISNUMBER(SEARCH("Thermal",'01_MASTER_DATABASE'!B154)),ISNUMBER(SEARCH("cầu",'01_MASTER_DATABASE'!B154)),ISNUMBER(SEARCH("uPVC",'01_MASTER_DATABASE'!B154))),"Xuất sắc (Uf &lt;= 1.6)","Trung bình (Không cầu)")</f>
        <v/>
      </c>
      <c r="E157" s="114">
        <f>IF(OR(ISNUMBER(SEARCH("Thermal",'01_MASTER_DATABASE'!B154)),ISNUMBER(SEARCH("cầu",'01_MASTER_DATABASE'!B154)),ISNUMBER(SEARCH("uPVC",'01_MASTER_DATABASE'!B154))),"Class 4 (Đến 2000 Pa)","Class 3 (Đến 1500 Pa)")</f>
        <v/>
      </c>
      <c r="F157" s="114">
        <f>IF(OR(ISNUMBER(SEARCH("Thermal",'01_MASTER_DATABASE'!B154)),ISNUMBER(SEARCH("cầu",'01_MASTER_DATABASE'!B154)),ISNUMBER(SEARCH("uPVC",'01_MASTER_DATABASE'!B154))),"Tuyệt đối (Class 9A)","Tốt (Class 7A)")</f>
        <v/>
      </c>
      <c r="G157" s="114">
        <f>IF(OR(ISNUMBER(SEARCH("Thermal",'01_MASTER_DATABASE'!B154)),ISNUMBER(SEARCH("cầu",'01_MASTER_DATABASE'!B154)),ISNUMBER(SEARCH("uPVC",'01_MASTER_DATABASE'!B154))),"Tuyệt đối (Class 4)","Tốt (Class 3)")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IF(OR(ISNUMBER(SEARCH("Thermal",'01_MASTER_DATABASE'!B155)),ISNUMBER(SEARCH("cầu",'01_MASTER_DATABASE'!B155)),ISNUMBER(SEARCH("uPVC",'01_MASTER_DATABASE'!B155))),"Xuất sắc (&gt;=40dB)","Tốt (&gt;=30dB)")</f>
        <v/>
      </c>
      <c r="D158" s="114">
        <f>IF(OR(ISNUMBER(SEARCH("Thermal",'01_MASTER_DATABASE'!B155)),ISNUMBER(SEARCH("cầu",'01_MASTER_DATABASE'!B155)),ISNUMBER(SEARCH("uPVC",'01_MASTER_DATABASE'!B155))),"Xuất sắc (Uf &lt;= 1.6)","Trung bình (Không cầu)")</f>
        <v/>
      </c>
      <c r="E158" s="114">
        <f>IF(OR(ISNUMBER(SEARCH("Thermal",'01_MASTER_DATABASE'!B155)),ISNUMBER(SEARCH("cầu",'01_MASTER_DATABASE'!B155)),ISNUMBER(SEARCH("uPVC",'01_MASTER_DATABASE'!B155))),"Class 4 (Đến 2000 Pa)","Class 3 (Đến 1500 Pa)")</f>
        <v/>
      </c>
      <c r="F158" s="114">
        <f>IF(OR(ISNUMBER(SEARCH("Thermal",'01_MASTER_DATABASE'!B155)),ISNUMBER(SEARCH("cầu",'01_MASTER_DATABASE'!B155)),ISNUMBER(SEARCH("uPVC",'01_MASTER_DATABASE'!B155))),"Tuyệt đối (Class 9A)","Tốt (Class 7A)")</f>
        <v/>
      </c>
      <c r="G158" s="114">
        <f>IF(OR(ISNUMBER(SEARCH("Thermal",'01_MASTER_DATABASE'!B155)),ISNUMBER(SEARCH("cầu",'01_MASTER_DATABASE'!B155)),ISNUMBER(SEARCH("uPVC",'01_MASTER_DATABASE'!B155))),"Tuyệt đối (Class 4)","Tốt (Class 3)")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IF(OR(ISNUMBER(SEARCH("Thermal",'01_MASTER_DATABASE'!B156)),ISNUMBER(SEARCH("cầu",'01_MASTER_DATABASE'!B156)),ISNUMBER(SEARCH("uPVC",'01_MASTER_DATABASE'!B156))),"Xuất sắc (&gt;=40dB)","Tốt (&gt;=30dB)")</f>
        <v/>
      </c>
      <c r="D159" s="114">
        <f>IF(OR(ISNUMBER(SEARCH("Thermal",'01_MASTER_DATABASE'!B156)),ISNUMBER(SEARCH("cầu",'01_MASTER_DATABASE'!B156)),ISNUMBER(SEARCH("uPVC",'01_MASTER_DATABASE'!B156))),"Xuất sắc (Uf &lt;= 1.6)","Trung bình (Không cầu)")</f>
        <v/>
      </c>
      <c r="E159" s="114">
        <f>IF(OR(ISNUMBER(SEARCH("Thermal",'01_MASTER_DATABASE'!B156)),ISNUMBER(SEARCH("cầu",'01_MASTER_DATABASE'!B156)),ISNUMBER(SEARCH("uPVC",'01_MASTER_DATABASE'!B156))),"Class 4 (Đến 2000 Pa)","Class 3 (Đến 1500 Pa)")</f>
        <v/>
      </c>
      <c r="F159" s="114">
        <f>IF(OR(ISNUMBER(SEARCH("Thermal",'01_MASTER_DATABASE'!B156)),ISNUMBER(SEARCH("cầu",'01_MASTER_DATABASE'!B156)),ISNUMBER(SEARCH("uPVC",'01_MASTER_DATABASE'!B156))),"Tuyệt đối (Class 9A)","Tốt (Class 7A)")</f>
        <v/>
      </c>
      <c r="G159" s="114">
        <f>IF(OR(ISNUMBER(SEARCH("Thermal",'01_MASTER_DATABASE'!B156)),ISNUMBER(SEARCH("cầu",'01_MASTER_DATABASE'!B156)),ISNUMBER(SEARCH("uPVC",'01_MASTER_DATABASE'!B156))),"Tuyệt đối (Class 4)","Tốt (Class 3)")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IF(OR(ISNUMBER(SEARCH("Thermal",'01_MASTER_DATABASE'!B157)),ISNUMBER(SEARCH("cầu",'01_MASTER_DATABASE'!B157)),ISNUMBER(SEARCH("uPVC",'01_MASTER_DATABASE'!B157))),"Xuất sắc (&gt;=40dB)","Tốt (&gt;=30dB)")</f>
        <v/>
      </c>
      <c r="D160" s="114">
        <f>IF(OR(ISNUMBER(SEARCH("Thermal",'01_MASTER_DATABASE'!B157)),ISNUMBER(SEARCH("cầu",'01_MASTER_DATABASE'!B157)),ISNUMBER(SEARCH("uPVC",'01_MASTER_DATABASE'!B157))),"Xuất sắc (Uf &lt;= 1.6)","Trung bình (Không cầu)")</f>
        <v/>
      </c>
      <c r="E160" s="114">
        <f>IF(OR(ISNUMBER(SEARCH("Thermal",'01_MASTER_DATABASE'!B157)),ISNUMBER(SEARCH("cầu",'01_MASTER_DATABASE'!B157)),ISNUMBER(SEARCH("uPVC",'01_MASTER_DATABASE'!B157))),"Class 4 (Đến 2000 Pa)","Class 3 (Đến 1500 Pa)")</f>
        <v/>
      </c>
      <c r="F160" s="114">
        <f>IF(OR(ISNUMBER(SEARCH("Thermal",'01_MASTER_DATABASE'!B157)),ISNUMBER(SEARCH("cầu",'01_MASTER_DATABASE'!B157)),ISNUMBER(SEARCH("uPVC",'01_MASTER_DATABASE'!B157))),"Tuyệt đối (Class 9A)","Tốt (Class 7A)")</f>
        <v/>
      </c>
      <c r="G160" s="114">
        <f>IF(OR(ISNUMBER(SEARCH("Thermal",'01_MASTER_DATABASE'!B157)),ISNUMBER(SEARCH("cầu",'01_MASTER_DATABASE'!B157)),ISNUMBER(SEARCH("uPVC",'01_MASTER_DATABASE'!B157))),"Tuyệt đối (Class 4)","Tốt (Class 3)")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IF(OR(ISNUMBER(SEARCH("Thermal",'01_MASTER_DATABASE'!B158)),ISNUMBER(SEARCH("cầu",'01_MASTER_DATABASE'!B158)),ISNUMBER(SEARCH("uPVC",'01_MASTER_DATABASE'!B158))),"Xuất sắc (&gt;=40dB)","Tốt (&gt;=30dB)")</f>
        <v/>
      </c>
      <c r="D161" s="114">
        <f>IF(OR(ISNUMBER(SEARCH("Thermal",'01_MASTER_DATABASE'!B158)),ISNUMBER(SEARCH("cầu",'01_MASTER_DATABASE'!B158)),ISNUMBER(SEARCH("uPVC",'01_MASTER_DATABASE'!B158))),"Xuất sắc (Uf &lt;= 1.6)","Trung bình (Không cầu)")</f>
        <v/>
      </c>
      <c r="E161" s="114">
        <f>IF(OR(ISNUMBER(SEARCH("Thermal",'01_MASTER_DATABASE'!B158)),ISNUMBER(SEARCH("cầu",'01_MASTER_DATABASE'!B158)),ISNUMBER(SEARCH("uPVC",'01_MASTER_DATABASE'!B158))),"Class 4 (Đến 2000 Pa)","Class 3 (Đến 1500 Pa)")</f>
        <v/>
      </c>
      <c r="F161" s="114">
        <f>IF(OR(ISNUMBER(SEARCH("Thermal",'01_MASTER_DATABASE'!B158)),ISNUMBER(SEARCH("cầu",'01_MASTER_DATABASE'!B158)),ISNUMBER(SEARCH("uPVC",'01_MASTER_DATABASE'!B158))),"Tuyệt đối (Class 9A)","Tốt (Class 7A)")</f>
        <v/>
      </c>
      <c r="G161" s="114">
        <f>IF(OR(ISNUMBER(SEARCH("Thermal",'01_MASTER_DATABASE'!B158)),ISNUMBER(SEARCH("cầu",'01_MASTER_DATABASE'!B158)),ISNUMBER(SEARCH("uPVC",'01_MASTER_DATABASE'!B158))),"Tuyệt đối (Class 4)","Tốt (Class 3)")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IF(OR(ISNUMBER(SEARCH("Thermal",'01_MASTER_DATABASE'!B159)),ISNUMBER(SEARCH("cầu",'01_MASTER_DATABASE'!B159)),ISNUMBER(SEARCH("uPVC",'01_MASTER_DATABASE'!B159))),"Xuất sắc (&gt;=40dB)","Tốt (&gt;=30dB)")</f>
        <v/>
      </c>
      <c r="D162" s="114">
        <f>IF(OR(ISNUMBER(SEARCH("Thermal",'01_MASTER_DATABASE'!B159)),ISNUMBER(SEARCH("cầu",'01_MASTER_DATABASE'!B159)),ISNUMBER(SEARCH("uPVC",'01_MASTER_DATABASE'!B159))),"Xuất sắc (Uf &lt;= 1.6)","Trung bình (Không cầu)")</f>
        <v/>
      </c>
      <c r="E162" s="114">
        <f>IF(OR(ISNUMBER(SEARCH("Thermal",'01_MASTER_DATABASE'!B159)),ISNUMBER(SEARCH("cầu",'01_MASTER_DATABASE'!B159)),ISNUMBER(SEARCH("uPVC",'01_MASTER_DATABASE'!B159))),"Class 4 (Đến 2000 Pa)","Class 3 (Đến 1500 Pa)")</f>
        <v/>
      </c>
      <c r="F162" s="114">
        <f>IF(OR(ISNUMBER(SEARCH("Thermal",'01_MASTER_DATABASE'!B159)),ISNUMBER(SEARCH("cầu",'01_MASTER_DATABASE'!B159)),ISNUMBER(SEARCH("uPVC",'01_MASTER_DATABASE'!B159))),"Tuyệt đối (Class 9A)","Tốt (Class 7A)")</f>
        <v/>
      </c>
      <c r="G162" s="114">
        <f>IF(OR(ISNUMBER(SEARCH("Thermal",'01_MASTER_DATABASE'!B159)),ISNUMBER(SEARCH("cầu",'01_MASTER_DATABASE'!B159)),ISNUMBER(SEARCH("uPVC",'01_MASTER_DATABASE'!B159))),"Tuyệt đối (Class 4)","Tốt (Class 3)")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IF(OR(ISNUMBER(SEARCH("Thermal",'01_MASTER_DATABASE'!B160)),ISNUMBER(SEARCH("cầu",'01_MASTER_DATABASE'!B160)),ISNUMBER(SEARCH("uPVC",'01_MASTER_DATABASE'!B160))),"Xuất sắc (&gt;=40dB)","Tốt (&gt;=30dB)")</f>
        <v/>
      </c>
      <c r="D163" s="114">
        <f>IF(OR(ISNUMBER(SEARCH("Thermal",'01_MASTER_DATABASE'!B160)),ISNUMBER(SEARCH("cầu",'01_MASTER_DATABASE'!B160)),ISNUMBER(SEARCH("uPVC",'01_MASTER_DATABASE'!B160))),"Xuất sắc (Uf &lt;= 1.6)","Trung bình (Không cầu)")</f>
        <v/>
      </c>
      <c r="E163" s="114">
        <f>IF(OR(ISNUMBER(SEARCH("Thermal",'01_MASTER_DATABASE'!B160)),ISNUMBER(SEARCH("cầu",'01_MASTER_DATABASE'!B160)),ISNUMBER(SEARCH("uPVC",'01_MASTER_DATABASE'!B160))),"Class 4 (Đến 2000 Pa)","Class 3 (Đến 1500 Pa)")</f>
        <v/>
      </c>
      <c r="F163" s="114">
        <f>IF(OR(ISNUMBER(SEARCH("Thermal",'01_MASTER_DATABASE'!B160)),ISNUMBER(SEARCH("cầu",'01_MASTER_DATABASE'!B160)),ISNUMBER(SEARCH("uPVC",'01_MASTER_DATABASE'!B160))),"Tuyệt đối (Class 9A)","Tốt (Class 7A)")</f>
        <v/>
      </c>
      <c r="G163" s="114">
        <f>IF(OR(ISNUMBER(SEARCH("Thermal",'01_MASTER_DATABASE'!B160)),ISNUMBER(SEARCH("cầu",'01_MASTER_DATABASE'!B160)),ISNUMBER(SEARCH("uPVC",'01_MASTER_DATABASE'!B160))),"Tuyệt đối (Class 4)","Tốt (Class 3)")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IF(OR(ISNUMBER(SEARCH("Thermal",'01_MASTER_DATABASE'!B161)),ISNUMBER(SEARCH("cầu",'01_MASTER_DATABASE'!B161)),ISNUMBER(SEARCH("uPVC",'01_MASTER_DATABASE'!B161))),"Xuất sắc (&gt;=40dB)","Tốt (&gt;=30dB)")</f>
        <v/>
      </c>
      <c r="D164" s="114">
        <f>IF(OR(ISNUMBER(SEARCH("Thermal",'01_MASTER_DATABASE'!B161)),ISNUMBER(SEARCH("cầu",'01_MASTER_DATABASE'!B161)),ISNUMBER(SEARCH("uPVC",'01_MASTER_DATABASE'!B161))),"Xuất sắc (Uf &lt;= 1.6)","Trung bình (Không cầu)")</f>
        <v/>
      </c>
      <c r="E164" s="114">
        <f>IF(OR(ISNUMBER(SEARCH("Thermal",'01_MASTER_DATABASE'!B161)),ISNUMBER(SEARCH("cầu",'01_MASTER_DATABASE'!B161)),ISNUMBER(SEARCH("uPVC",'01_MASTER_DATABASE'!B161))),"Class 4 (Đến 2000 Pa)","Class 3 (Đến 1500 Pa)")</f>
        <v/>
      </c>
      <c r="F164" s="114">
        <f>IF(OR(ISNUMBER(SEARCH("Thermal",'01_MASTER_DATABASE'!B161)),ISNUMBER(SEARCH("cầu",'01_MASTER_DATABASE'!B161)),ISNUMBER(SEARCH("uPVC",'01_MASTER_DATABASE'!B161))),"Tuyệt đối (Class 9A)","Tốt (Class 7A)")</f>
        <v/>
      </c>
      <c r="G164" s="114">
        <f>IF(OR(ISNUMBER(SEARCH("Thermal",'01_MASTER_DATABASE'!B161)),ISNUMBER(SEARCH("cầu",'01_MASTER_DATABASE'!B161)),ISNUMBER(SEARCH("uPVC",'01_MASTER_DATABASE'!B161))),"Tuyệt đối (Class 4)","Tốt (Class 3)")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IF(OR(ISNUMBER(SEARCH("Thermal",'01_MASTER_DATABASE'!B162)),ISNUMBER(SEARCH("cầu",'01_MASTER_DATABASE'!B162)),ISNUMBER(SEARCH("uPVC",'01_MASTER_DATABASE'!B162))),"Xuất sắc (&gt;=40dB)","Tốt (&gt;=30dB)")</f>
        <v/>
      </c>
      <c r="D165" s="114">
        <f>IF(OR(ISNUMBER(SEARCH("Thermal",'01_MASTER_DATABASE'!B162)),ISNUMBER(SEARCH("cầu",'01_MASTER_DATABASE'!B162)),ISNUMBER(SEARCH("uPVC",'01_MASTER_DATABASE'!B162))),"Xuất sắc (Uf &lt;= 1.6)","Trung bình (Không cầu)")</f>
        <v/>
      </c>
      <c r="E165" s="114">
        <f>IF(OR(ISNUMBER(SEARCH("Thermal",'01_MASTER_DATABASE'!B162)),ISNUMBER(SEARCH("cầu",'01_MASTER_DATABASE'!B162)),ISNUMBER(SEARCH("uPVC",'01_MASTER_DATABASE'!B162))),"Class 4 (Đến 2000 Pa)","Class 3 (Đến 1500 Pa)")</f>
        <v/>
      </c>
      <c r="F165" s="114">
        <f>IF(OR(ISNUMBER(SEARCH("Thermal",'01_MASTER_DATABASE'!B162)),ISNUMBER(SEARCH("cầu",'01_MASTER_DATABASE'!B162)),ISNUMBER(SEARCH("uPVC",'01_MASTER_DATABASE'!B162))),"Tuyệt đối (Class 9A)","Tốt (Class 7A)")</f>
        <v/>
      </c>
      <c r="G165" s="114">
        <f>IF(OR(ISNUMBER(SEARCH("Thermal",'01_MASTER_DATABASE'!B162)),ISNUMBER(SEARCH("cầu",'01_MASTER_DATABASE'!B162)),ISNUMBER(SEARCH("uPVC",'01_MASTER_DATABASE'!B162))),"Tuyệt đối (Class 4)","Tốt (Class 3)")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IF(OR(ISNUMBER(SEARCH("Thermal",'01_MASTER_DATABASE'!B163)),ISNUMBER(SEARCH("cầu",'01_MASTER_DATABASE'!B163)),ISNUMBER(SEARCH("uPVC",'01_MASTER_DATABASE'!B163))),"Xuất sắc (&gt;=40dB)","Tốt (&gt;=30dB)")</f>
        <v/>
      </c>
      <c r="D166" s="114">
        <f>IF(OR(ISNUMBER(SEARCH("Thermal",'01_MASTER_DATABASE'!B163)),ISNUMBER(SEARCH("cầu",'01_MASTER_DATABASE'!B163)),ISNUMBER(SEARCH("uPVC",'01_MASTER_DATABASE'!B163))),"Xuất sắc (Uf &lt;= 1.6)","Trung bình (Không cầu)")</f>
        <v/>
      </c>
      <c r="E166" s="114">
        <f>IF(OR(ISNUMBER(SEARCH("Thermal",'01_MASTER_DATABASE'!B163)),ISNUMBER(SEARCH("cầu",'01_MASTER_DATABASE'!B163)),ISNUMBER(SEARCH("uPVC",'01_MASTER_DATABASE'!B163))),"Class 4 (Đến 2000 Pa)","Class 3 (Đến 1500 Pa)")</f>
        <v/>
      </c>
      <c r="F166" s="114">
        <f>IF(OR(ISNUMBER(SEARCH("Thermal",'01_MASTER_DATABASE'!B163)),ISNUMBER(SEARCH("cầu",'01_MASTER_DATABASE'!B163)),ISNUMBER(SEARCH("uPVC",'01_MASTER_DATABASE'!B163))),"Tuyệt đối (Class 9A)","Tốt (Class 7A)")</f>
        <v/>
      </c>
      <c r="G166" s="114">
        <f>IF(OR(ISNUMBER(SEARCH("Thermal",'01_MASTER_DATABASE'!B163)),ISNUMBER(SEARCH("cầu",'01_MASTER_DATABASE'!B163)),ISNUMBER(SEARCH("uPVC",'01_MASTER_DATABASE'!B163))),"Tuyệt đối (Class 4)","Tốt (Class 3)")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IF(OR(ISNUMBER(SEARCH("Thermal",'01_MASTER_DATABASE'!B164)),ISNUMBER(SEARCH("cầu",'01_MASTER_DATABASE'!B164)),ISNUMBER(SEARCH("uPVC",'01_MASTER_DATABASE'!B164))),"Xuất sắc (&gt;=40dB)","Tốt (&gt;=30dB)")</f>
        <v/>
      </c>
      <c r="D167" s="114">
        <f>IF(OR(ISNUMBER(SEARCH("Thermal",'01_MASTER_DATABASE'!B164)),ISNUMBER(SEARCH("cầu",'01_MASTER_DATABASE'!B164)),ISNUMBER(SEARCH("uPVC",'01_MASTER_DATABASE'!B164))),"Xuất sắc (Uf &lt;= 1.6)","Trung bình (Không cầu)")</f>
        <v/>
      </c>
      <c r="E167" s="114">
        <f>IF(OR(ISNUMBER(SEARCH("Thermal",'01_MASTER_DATABASE'!B164)),ISNUMBER(SEARCH("cầu",'01_MASTER_DATABASE'!B164)),ISNUMBER(SEARCH("uPVC",'01_MASTER_DATABASE'!B164))),"Class 4 (Đến 2000 Pa)","Class 3 (Đến 1500 Pa)")</f>
        <v/>
      </c>
      <c r="F167" s="114">
        <f>IF(OR(ISNUMBER(SEARCH("Thermal",'01_MASTER_DATABASE'!B164)),ISNUMBER(SEARCH("cầu",'01_MASTER_DATABASE'!B164)),ISNUMBER(SEARCH("uPVC",'01_MASTER_DATABASE'!B164))),"Tuyệt đối (Class 9A)","Tốt (Class 7A)")</f>
        <v/>
      </c>
      <c r="G167" s="114">
        <f>IF(OR(ISNUMBER(SEARCH("Thermal",'01_MASTER_DATABASE'!B164)),ISNUMBER(SEARCH("cầu",'01_MASTER_DATABASE'!B164)),ISNUMBER(SEARCH("uPVC",'01_MASTER_DATABASE'!B164))),"Tuyệt đối (Class 4)","Tốt (Class 3)")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IF(OR(ISNUMBER(SEARCH("Thermal",'01_MASTER_DATABASE'!B165)),ISNUMBER(SEARCH("cầu",'01_MASTER_DATABASE'!B165)),ISNUMBER(SEARCH("uPVC",'01_MASTER_DATABASE'!B165))),"Xuất sắc (&gt;=40dB)","Tốt (&gt;=30dB)")</f>
        <v/>
      </c>
      <c r="D168" s="114">
        <f>IF(OR(ISNUMBER(SEARCH("Thermal",'01_MASTER_DATABASE'!B165)),ISNUMBER(SEARCH("cầu",'01_MASTER_DATABASE'!B165)),ISNUMBER(SEARCH("uPVC",'01_MASTER_DATABASE'!B165))),"Xuất sắc (Uf &lt;= 1.6)","Trung bình (Không cầu)")</f>
        <v/>
      </c>
      <c r="E168" s="114">
        <f>IF(OR(ISNUMBER(SEARCH("Thermal",'01_MASTER_DATABASE'!B165)),ISNUMBER(SEARCH("cầu",'01_MASTER_DATABASE'!B165)),ISNUMBER(SEARCH("uPVC",'01_MASTER_DATABASE'!B165))),"Class 4 (Đến 2000 Pa)","Class 3 (Đến 1500 Pa)")</f>
        <v/>
      </c>
      <c r="F168" s="114">
        <f>IF(OR(ISNUMBER(SEARCH("Thermal",'01_MASTER_DATABASE'!B165)),ISNUMBER(SEARCH("cầu",'01_MASTER_DATABASE'!B165)),ISNUMBER(SEARCH("uPVC",'01_MASTER_DATABASE'!B165))),"Tuyệt đối (Class 9A)","Tốt (Class 7A)")</f>
        <v/>
      </c>
      <c r="G168" s="114">
        <f>IF(OR(ISNUMBER(SEARCH("Thermal",'01_MASTER_DATABASE'!B165)),ISNUMBER(SEARCH("cầu",'01_MASTER_DATABASE'!B165)),ISNUMBER(SEARCH("uPVC",'01_MASTER_DATABASE'!B165))),"Tuyệt đối (Class 4)","Tốt (Class 3)")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IF(OR(ISNUMBER(SEARCH("Thermal",'01_MASTER_DATABASE'!B166)),ISNUMBER(SEARCH("cầu",'01_MASTER_DATABASE'!B166)),ISNUMBER(SEARCH("uPVC",'01_MASTER_DATABASE'!B166))),"Xuất sắc (&gt;=40dB)","Tốt (&gt;=30dB)")</f>
        <v/>
      </c>
      <c r="D169" s="114">
        <f>IF(OR(ISNUMBER(SEARCH("Thermal",'01_MASTER_DATABASE'!B166)),ISNUMBER(SEARCH("cầu",'01_MASTER_DATABASE'!B166)),ISNUMBER(SEARCH("uPVC",'01_MASTER_DATABASE'!B166))),"Xuất sắc (Uf &lt;= 1.6)","Trung bình (Không cầu)")</f>
        <v/>
      </c>
      <c r="E169" s="114">
        <f>IF(OR(ISNUMBER(SEARCH("Thermal",'01_MASTER_DATABASE'!B166)),ISNUMBER(SEARCH("cầu",'01_MASTER_DATABASE'!B166)),ISNUMBER(SEARCH("uPVC",'01_MASTER_DATABASE'!B166))),"Class 4 (Đến 2000 Pa)","Class 3 (Đến 1500 Pa)")</f>
        <v/>
      </c>
      <c r="F169" s="114">
        <f>IF(OR(ISNUMBER(SEARCH("Thermal",'01_MASTER_DATABASE'!B166)),ISNUMBER(SEARCH("cầu",'01_MASTER_DATABASE'!B166)),ISNUMBER(SEARCH("uPVC",'01_MASTER_DATABASE'!B166))),"Tuyệt đối (Class 9A)","Tốt (Class 7A)")</f>
        <v/>
      </c>
      <c r="G169" s="114">
        <f>IF(OR(ISNUMBER(SEARCH("Thermal",'01_MASTER_DATABASE'!B166)),ISNUMBER(SEARCH("cầu",'01_MASTER_DATABASE'!B166)),ISNUMBER(SEARCH("uPVC",'01_MASTER_DATABASE'!B166))),"Tuyệt đối (Class 4)","Tốt (Class 3)")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IF(OR(ISNUMBER(SEARCH("Thermal",'01_MASTER_DATABASE'!B167)),ISNUMBER(SEARCH("cầu",'01_MASTER_DATABASE'!B167)),ISNUMBER(SEARCH("uPVC",'01_MASTER_DATABASE'!B167))),"Xuất sắc (&gt;=40dB)","Tốt (&gt;=30dB)")</f>
        <v/>
      </c>
      <c r="D170" s="114">
        <f>IF(OR(ISNUMBER(SEARCH("Thermal",'01_MASTER_DATABASE'!B167)),ISNUMBER(SEARCH("cầu",'01_MASTER_DATABASE'!B167)),ISNUMBER(SEARCH("uPVC",'01_MASTER_DATABASE'!B167))),"Xuất sắc (Uf &lt;= 1.6)","Trung bình (Không cầu)")</f>
        <v/>
      </c>
      <c r="E170" s="114">
        <f>IF(OR(ISNUMBER(SEARCH("Thermal",'01_MASTER_DATABASE'!B167)),ISNUMBER(SEARCH("cầu",'01_MASTER_DATABASE'!B167)),ISNUMBER(SEARCH("uPVC",'01_MASTER_DATABASE'!B167))),"Class 4 (Đến 2000 Pa)","Class 3 (Đến 1500 Pa)")</f>
        <v/>
      </c>
      <c r="F170" s="114">
        <f>IF(OR(ISNUMBER(SEARCH("Thermal",'01_MASTER_DATABASE'!B167)),ISNUMBER(SEARCH("cầu",'01_MASTER_DATABASE'!B167)),ISNUMBER(SEARCH("uPVC",'01_MASTER_DATABASE'!B167))),"Tuyệt đối (Class 9A)","Tốt (Class 7A)")</f>
        <v/>
      </c>
      <c r="G170" s="114">
        <f>IF(OR(ISNUMBER(SEARCH("Thermal",'01_MASTER_DATABASE'!B167)),ISNUMBER(SEARCH("cầu",'01_MASTER_DATABASE'!B167)),ISNUMBER(SEARCH("uPVC",'01_MASTER_DATABASE'!B167))),"Tuyệt đối (Class 4)","Tốt (Class 3)")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IF(OR(ISNUMBER(SEARCH("Thermal",'01_MASTER_DATABASE'!B168)),ISNUMBER(SEARCH("cầu",'01_MASTER_DATABASE'!B168)),ISNUMBER(SEARCH("uPVC",'01_MASTER_DATABASE'!B168))),"Xuất sắc (&gt;=40dB)","Tốt (&gt;=30dB)")</f>
        <v/>
      </c>
      <c r="D171" s="114">
        <f>IF(OR(ISNUMBER(SEARCH("Thermal",'01_MASTER_DATABASE'!B168)),ISNUMBER(SEARCH("cầu",'01_MASTER_DATABASE'!B168)),ISNUMBER(SEARCH("uPVC",'01_MASTER_DATABASE'!B168))),"Xuất sắc (Uf &lt;= 1.6)","Trung bình (Không cầu)")</f>
        <v/>
      </c>
      <c r="E171" s="114">
        <f>IF(OR(ISNUMBER(SEARCH("Thermal",'01_MASTER_DATABASE'!B168)),ISNUMBER(SEARCH("cầu",'01_MASTER_DATABASE'!B168)),ISNUMBER(SEARCH("uPVC",'01_MASTER_DATABASE'!B168))),"Class 4 (Đến 2000 Pa)","Class 3 (Đến 1500 Pa)")</f>
        <v/>
      </c>
      <c r="F171" s="114">
        <f>IF(OR(ISNUMBER(SEARCH("Thermal",'01_MASTER_DATABASE'!B168)),ISNUMBER(SEARCH("cầu",'01_MASTER_DATABASE'!B168)),ISNUMBER(SEARCH("uPVC",'01_MASTER_DATABASE'!B168))),"Tuyệt đối (Class 9A)","Tốt (Class 7A)")</f>
        <v/>
      </c>
      <c r="G171" s="114">
        <f>IF(OR(ISNUMBER(SEARCH("Thermal",'01_MASTER_DATABASE'!B168)),ISNUMBER(SEARCH("cầu",'01_MASTER_DATABASE'!B168)),ISNUMBER(SEARCH("uPVC",'01_MASTER_DATABASE'!B168))),"Tuyệt đối (Class 4)","Tốt (Class 3)")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IF(OR(ISNUMBER(SEARCH("Thermal",'01_MASTER_DATABASE'!B169)),ISNUMBER(SEARCH("cầu",'01_MASTER_DATABASE'!B169)),ISNUMBER(SEARCH("uPVC",'01_MASTER_DATABASE'!B169))),"Xuất sắc (&gt;=40dB)","Tốt (&gt;=30dB)")</f>
        <v/>
      </c>
      <c r="D172" s="114">
        <f>IF(OR(ISNUMBER(SEARCH("Thermal",'01_MASTER_DATABASE'!B169)),ISNUMBER(SEARCH("cầu",'01_MASTER_DATABASE'!B169)),ISNUMBER(SEARCH("uPVC",'01_MASTER_DATABASE'!B169))),"Xuất sắc (Uf &lt;= 1.6)","Trung bình (Không cầu)")</f>
        <v/>
      </c>
      <c r="E172" s="114">
        <f>IF(OR(ISNUMBER(SEARCH("Thermal",'01_MASTER_DATABASE'!B169)),ISNUMBER(SEARCH("cầu",'01_MASTER_DATABASE'!B169)),ISNUMBER(SEARCH("uPVC",'01_MASTER_DATABASE'!B169))),"Class 4 (Đến 2000 Pa)","Class 3 (Đến 1500 Pa)")</f>
        <v/>
      </c>
      <c r="F172" s="114">
        <f>IF(OR(ISNUMBER(SEARCH("Thermal",'01_MASTER_DATABASE'!B169)),ISNUMBER(SEARCH("cầu",'01_MASTER_DATABASE'!B169)),ISNUMBER(SEARCH("uPVC",'01_MASTER_DATABASE'!B169))),"Tuyệt đối (Class 9A)","Tốt (Class 7A)")</f>
        <v/>
      </c>
      <c r="G172" s="114">
        <f>IF(OR(ISNUMBER(SEARCH("Thermal",'01_MASTER_DATABASE'!B169)),ISNUMBER(SEARCH("cầu",'01_MASTER_DATABASE'!B169)),ISNUMBER(SEARCH("uPVC",'01_MASTER_DATABASE'!B169))),"Tuyệt đối (Class 4)","Tốt (Class 3)")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IF(OR(ISNUMBER(SEARCH("Thermal",'01_MASTER_DATABASE'!B170)),ISNUMBER(SEARCH("cầu",'01_MASTER_DATABASE'!B170)),ISNUMBER(SEARCH("uPVC",'01_MASTER_DATABASE'!B170))),"Xuất sắc (&gt;=40dB)","Tốt (&gt;=30dB)")</f>
        <v/>
      </c>
      <c r="D173" s="114">
        <f>IF(OR(ISNUMBER(SEARCH("Thermal",'01_MASTER_DATABASE'!B170)),ISNUMBER(SEARCH("cầu",'01_MASTER_DATABASE'!B170)),ISNUMBER(SEARCH("uPVC",'01_MASTER_DATABASE'!B170))),"Xuất sắc (Uf &lt;= 1.6)","Trung bình (Không cầu)")</f>
        <v/>
      </c>
      <c r="E173" s="114">
        <f>IF(OR(ISNUMBER(SEARCH("Thermal",'01_MASTER_DATABASE'!B170)),ISNUMBER(SEARCH("cầu",'01_MASTER_DATABASE'!B170)),ISNUMBER(SEARCH("uPVC",'01_MASTER_DATABASE'!B170))),"Class 4 (Đến 2000 Pa)","Class 3 (Đến 1500 Pa)")</f>
        <v/>
      </c>
      <c r="F173" s="114">
        <f>IF(OR(ISNUMBER(SEARCH("Thermal",'01_MASTER_DATABASE'!B170)),ISNUMBER(SEARCH("cầu",'01_MASTER_DATABASE'!B170)),ISNUMBER(SEARCH("uPVC",'01_MASTER_DATABASE'!B170))),"Tuyệt đối (Class 9A)","Tốt (Class 7A)")</f>
        <v/>
      </c>
      <c r="G173" s="114">
        <f>IF(OR(ISNUMBER(SEARCH("Thermal",'01_MASTER_DATABASE'!B170)),ISNUMBER(SEARCH("cầu",'01_MASTER_DATABASE'!B170)),ISNUMBER(SEARCH("uPVC",'01_MASTER_DATABASE'!B170))),"Tuyệt đối (Class 4)","Tốt (Class 3)")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IF(OR(ISNUMBER(SEARCH("Thermal",'01_MASTER_DATABASE'!B171)),ISNUMBER(SEARCH("cầu",'01_MASTER_DATABASE'!B171)),ISNUMBER(SEARCH("uPVC",'01_MASTER_DATABASE'!B171))),"Xuất sắc (&gt;=40dB)","Tốt (&gt;=30dB)")</f>
        <v/>
      </c>
      <c r="D174" s="114">
        <f>IF(OR(ISNUMBER(SEARCH("Thermal",'01_MASTER_DATABASE'!B171)),ISNUMBER(SEARCH("cầu",'01_MASTER_DATABASE'!B171)),ISNUMBER(SEARCH("uPVC",'01_MASTER_DATABASE'!B171))),"Xuất sắc (Uf &lt;= 1.6)","Trung bình (Không cầu)")</f>
        <v/>
      </c>
      <c r="E174" s="114">
        <f>IF(OR(ISNUMBER(SEARCH("Thermal",'01_MASTER_DATABASE'!B171)),ISNUMBER(SEARCH("cầu",'01_MASTER_DATABASE'!B171)),ISNUMBER(SEARCH("uPVC",'01_MASTER_DATABASE'!B171))),"Class 4 (Đến 2000 Pa)","Class 3 (Đến 1500 Pa)")</f>
        <v/>
      </c>
      <c r="F174" s="114">
        <f>IF(OR(ISNUMBER(SEARCH("Thermal",'01_MASTER_DATABASE'!B171)),ISNUMBER(SEARCH("cầu",'01_MASTER_DATABASE'!B171)),ISNUMBER(SEARCH("uPVC",'01_MASTER_DATABASE'!B171))),"Tuyệt đối (Class 9A)","Tốt (Class 7A)")</f>
        <v/>
      </c>
      <c r="G174" s="114">
        <f>IF(OR(ISNUMBER(SEARCH("Thermal",'01_MASTER_DATABASE'!B171)),ISNUMBER(SEARCH("cầu",'01_MASTER_DATABASE'!B171)),ISNUMBER(SEARCH("uPVC",'01_MASTER_DATABASE'!B171))),"Tuyệt đối (Class 4)","Tốt (Class 3)")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IF(OR(ISNUMBER(SEARCH("Thermal",'01_MASTER_DATABASE'!B172)),ISNUMBER(SEARCH("cầu",'01_MASTER_DATABASE'!B172)),ISNUMBER(SEARCH("uPVC",'01_MASTER_DATABASE'!B172))),"Xuất sắc (&gt;=40dB)","Tốt (&gt;=30dB)")</f>
        <v/>
      </c>
      <c r="D175" s="114">
        <f>IF(OR(ISNUMBER(SEARCH("Thermal",'01_MASTER_DATABASE'!B172)),ISNUMBER(SEARCH("cầu",'01_MASTER_DATABASE'!B172)),ISNUMBER(SEARCH("uPVC",'01_MASTER_DATABASE'!B172))),"Xuất sắc (Uf &lt;= 1.6)","Trung bình (Không cầu)")</f>
        <v/>
      </c>
      <c r="E175" s="114">
        <f>IF(OR(ISNUMBER(SEARCH("Thermal",'01_MASTER_DATABASE'!B172)),ISNUMBER(SEARCH("cầu",'01_MASTER_DATABASE'!B172)),ISNUMBER(SEARCH("uPVC",'01_MASTER_DATABASE'!B172))),"Class 4 (Đến 2000 Pa)","Class 3 (Đến 1500 Pa)")</f>
        <v/>
      </c>
      <c r="F175" s="114">
        <f>IF(OR(ISNUMBER(SEARCH("Thermal",'01_MASTER_DATABASE'!B172)),ISNUMBER(SEARCH("cầu",'01_MASTER_DATABASE'!B172)),ISNUMBER(SEARCH("uPVC",'01_MASTER_DATABASE'!B172))),"Tuyệt đối (Class 9A)","Tốt (Class 7A)")</f>
        <v/>
      </c>
      <c r="G175" s="114">
        <f>IF(OR(ISNUMBER(SEARCH("Thermal",'01_MASTER_DATABASE'!B172)),ISNUMBER(SEARCH("cầu",'01_MASTER_DATABASE'!B172)),ISNUMBER(SEARCH("uPVC",'01_MASTER_DATABASE'!B172))),"Tuyệt đối (Class 4)","Tốt (Class 3)")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IF(OR(ISNUMBER(SEARCH("Thermal",'01_MASTER_DATABASE'!B173)),ISNUMBER(SEARCH("cầu",'01_MASTER_DATABASE'!B173)),ISNUMBER(SEARCH("uPVC",'01_MASTER_DATABASE'!B173))),"Xuất sắc (&gt;=40dB)","Tốt (&gt;=30dB)")</f>
        <v/>
      </c>
      <c r="D176" s="114">
        <f>IF(OR(ISNUMBER(SEARCH("Thermal",'01_MASTER_DATABASE'!B173)),ISNUMBER(SEARCH("cầu",'01_MASTER_DATABASE'!B173)),ISNUMBER(SEARCH("uPVC",'01_MASTER_DATABASE'!B173))),"Xuất sắc (Uf &lt;= 1.6)","Trung bình (Không cầu)")</f>
        <v/>
      </c>
      <c r="E176" s="114">
        <f>IF(OR(ISNUMBER(SEARCH("Thermal",'01_MASTER_DATABASE'!B173)),ISNUMBER(SEARCH("cầu",'01_MASTER_DATABASE'!B173)),ISNUMBER(SEARCH("uPVC",'01_MASTER_DATABASE'!B173))),"Class 4 (Đến 2000 Pa)","Class 3 (Đến 1500 Pa)")</f>
        <v/>
      </c>
      <c r="F176" s="114">
        <f>IF(OR(ISNUMBER(SEARCH("Thermal",'01_MASTER_DATABASE'!B173)),ISNUMBER(SEARCH("cầu",'01_MASTER_DATABASE'!B173)),ISNUMBER(SEARCH("uPVC",'01_MASTER_DATABASE'!B173))),"Tuyệt đối (Class 9A)","Tốt (Class 7A)")</f>
        <v/>
      </c>
      <c r="G176" s="114">
        <f>IF(OR(ISNUMBER(SEARCH("Thermal",'01_MASTER_DATABASE'!B173)),ISNUMBER(SEARCH("cầu",'01_MASTER_DATABASE'!B173)),ISNUMBER(SEARCH("uPVC",'01_MASTER_DATABASE'!B173))),"Tuyệt đối (Class 4)","Tốt (Class 3)")</f>
        <v/>
      </c>
    </row>
  </sheetData>
  <mergeCells count="1">
    <mergeCell ref="A1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30" customWidth="1" min="4" max="4"/>
    <col width="20" customWidth="1" min="5" max="5"/>
    <col width="22" customWidth="1" min="6" max="6"/>
    <col width="22" customWidth="1" min="7" max="7"/>
  </cols>
  <sheetData>
    <row r="1" ht="20" customHeight="1">
      <c r="A1" s="109" t="inlineStr">
        <is>
          <t>MẪU RÃNH PROFILE VÀ PHỤ KIỆN TƯƠNG THÍCH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Chuẩn Rãnh Profile</t>
        </is>
      </c>
      <c r="D4" s="110" t="inlineStr">
        <is>
          <t>Thương Hiệu Phụ Kiện Tương Thích</t>
        </is>
      </c>
      <c r="E4" s="110" t="inlineStr">
        <is>
          <t>Loại Khóa Đề Xuất</t>
        </is>
      </c>
      <c r="F4" s="110" t="inlineStr">
        <is>
          <t>Tay Nắm</t>
        </is>
      </c>
      <c r="G4" s="110" t="inlineStr">
        <is>
          <t>Bản Lề Đi Kèm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IF(ISNUMBER(SEARCH("rãnh C",'01_MASTER_DATABASE'!I2)), "Rãnh C Tiêu Chuẩn Châu Âu", "Rãnh 22 Truyền Thống")</f>
        <v/>
      </c>
      <c r="D5" s="114">
        <f>'01_MASTER_DATABASE'!Q2</f>
        <v/>
      </c>
      <c r="E5" s="114">
        <f>IF(ISNUMBER(SEARCH("toilet",'01_MASTER_DATABASE'!C2)), "Khóa đơn điểm", "Khóa đa điểm an toàn")</f>
        <v/>
      </c>
      <c r="F5" s="114" t="inlineStr">
        <is>
          <t>Đồng bộ theo hãng phụ kiện</t>
        </is>
      </c>
      <c r="G5" s="114">
        <f>IF(ISNUMBER(SEARCH("bản lề ẩn",'01_MASTER_DATABASE'!Q2)), "Bản lề ẩn cao cấp", "Bản lề nổi tiêu chuẩn")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IF(ISNUMBER(SEARCH("rãnh C",'01_MASTER_DATABASE'!I3)), "Rãnh C Tiêu Chuẩn Châu Âu", "Rãnh 22 Truyền Thống")</f>
        <v/>
      </c>
      <c r="D6" s="114">
        <f>'01_MASTER_DATABASE'!Q3</f>
        <v/>
      </c>
      <c r="E6" s="114">
        <f>IF(ISNUMBER(SEARCH("toilet",'01_MASTER_DATABASE'!C3)), "Khóa đơn điểm", "Khóa đa điểm an toàn")</f>
        <v/>
      </c>
      <c r="F6" s="114" t="inlineStr">
        <is>
          <t>Đồng bộ theo hãng phụ kiện</t>
        </is>
      </c>
      <c r="G6" s="114">
        <f>IF(ISNUMBER(SEARCH("bản lề ẩn",'01_MASTER_DATABASE'!Q3)), "Bản lề ẩn cao cấp", "Bản lề nổi tiêu chuẩn")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IF(ISNUMBER(SEARCH("rãnh C",'01_MASTER_DATABASE'!I4)), "Rãnh C Tiêu Chuẩn Châu Âu", "Rãnh 22 Truyền Thống")</f>
        <v/>
      </c>
      <c r="D7" s="114">
        <f>'01_MASTER_DATABASE'!Q4</f>
        <v/>
      </c>
      <c r="E7" s="114">
        <f>IF(ISNUMBER(SEARCH("toilet",'01_MASTER_DATABASE'!C4)), "Khóa đơn điểm", "Khóa đa điểm an toàn")</f>
        <v/>
      </c>
      <c r="F7" s="114" t="inlineStr">
        <is>
          <t>Đồng bộ theo hãng phụ kiện</t>
        </is>
      </c>
      <c r="G7" s="114">
        <f>IF(ISNUMBER(SEARCH("bản lề ẩn",'01_MASTER_DATABASE'!Q4)), "Bản lề ẩn cao cấp", "Bản lề nổi tiêu chuẩn")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IF(ISNUMBER(SEARCH("rãnh C",'01_MASTER_DATABASE'!I5)), "Rãnh C Tiêu Chuẩn Châu Âu", "Rãnh 22 Truyền Thống")</f>
        <v/>
      </c>
      <c r="D8" s="114">
        <f>'01_MASTER_DATABASE'!Q5</f>
        <v/>
      </c>
      <c r="E8" s="114">
        <f>IF(ISNUMBER(SEARCH("toilet",'01_MASTER_DATABASE'!C5)), "Khóa đơn điểm", "Khóa đa điểm an toàn")</f>
        <v/>
      </c>
      <c r="F8" s="114" t="inlineStr">
        <is>
          <t>Đồng bộ theo hãng phụ kiện</t>
        </is>
      </c>
      <c r="G8" s="114">
        <f>IF(ISNUMBER(SEARCH("bản lề ẩn",'01_MASTER_DATABASE'!Q5)), "Bản lề ẩn cao cấp", "Bản lề nổi tiêu chuẩn")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IF(ISNUMBER(SEARCH("rãnh C",'01_MASTER_DATABASE'!I6)), "Rãnh C Tiêu Chuẩn Châu Âu", "Rãnh 22 Truyền Thống")</f>
        <v/>
      </c>
      <c r="D9" s="114">
        <f>'01_MASTER_DATABASE'!Q6</f>
        <v/>
      </c>
      <c r="E9" s="114">
        <f>IF(ISNUMBER(SEARCH("toilet",'01_MASTER_DATABASE'!C6)), "Khóa đơn điểm", "Khóa đa điểm an toàn")</f>
        <v/>
      </c>
      <c r="F9" s="114" t="inlineStr">
        <is>
          <t>Đồng bộ theo hãng phụ kiện</t>
        </is>
      </c>
      <c r="G9" s="114">
        <f>IF(ISNUMBER(SEARCH("bản lề ẩn",'01_MASTER_DATABASE'!Q6)), "Bản lề ẩn cao cấp", "Bản lề nổi tiêu chuẩn")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IF(ISNUMBER(SEARCH("rãnh C",'01_MASTER_DATABASE'!I7)), "Rãnh C Tiêu Chuẩn Châu Âu", "Rãnh 22 Truyền Thống")</f>
        <v/>
      </c>
      <c r="D10" s="114">
        <f>'01_MASTER_DATABASE'!Q7</f>
        <v/>
      </c>
      <c r="E10" s="114">
        <f>IF(ISNUMBER(SEARCH("toilet",'01_MASTER_DATABASE'!C7)), "Khóa đơn điểm", "Khóa đa điểm an toàn")</f>
        <v/>
      </c>
      <c r="F10" s="114" t="inlineStr">
        <is>
          <t>Đồng bộ theo hãng phụ kiện</t>
        </is>
      </c>
      <c r="G10" s="114">
        <f>IF(ISNUMBER(SEARCH("bản lề ẩn",'01_MASTER_DATABASE'!Q7)), "Bản lề ẩn cao cấp", "Bản lề nổi tiêu chuẩn")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IF(ISNUMBER(SEARCH("rãnh C",'01_MASTER_DATABASE'!I8)), "Rãnh C Tiêu Chuẩn Châu Âu", "Rãnh 22 Truyền Thống")</f>
        <v/>
      </c>
      <c r="D11" s="114">
        <f>'01_MASTER_DATABASE'!Q8</f>
        <v/>
      </c>
      <c r="E11" s="114">
        <f>IF(ISNUMBER(SEARCH("toilet",'01_MASTER_DATABASE'!C8)), "Khóa đơn điểm", "Khóa đa điểm an toàn")</f>
        <v/>
      </c>
      <c r="F11" s="114" t="inlineStr">
        <is>
          <t>Đồng bộ theo hãng phụ kiện</t>
        </is>
      </c>
      <c r="G11" s="114">
        <f>IF(ISNUMBER(SEARCH("bản lề ẩn",'01_MASTER_DATABASE'!Q8)), "Bản lề ẩn cao cấp", "Bản lề nổi tiêu chuẩn")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IF(ISNUMBER(SEARCH("rãnh C",'01_MASTER_DATABASE'!I9)), "Rãnh C Tiêu Chuẩn Châu Âu", "Rãnh 22 Truyền Thống")</f>
        <v/>
      </c>
      <c r="D12" s="114">
        <f>'01_MASTER_DATABASE'!Q9</f>
        <v/>
      </c>
      <c r="E12" s="114">
        <f>IF(ISNUMBER(SEARCH("toilet",'01_MASTER_DATABASE'!C9)), "Khóa đơn điểm", "Khóa đa điểm an toàn")</f>
        <v/>
      </c>
      <c r="F12" s="114" t="inlineStr">
        <is>
          <t>Đồng bộ theo hãng phụ kiện</t>
        </is>
      </c>
      <c r="G12" s="114">
        <f>IF(ISNUMBER(SEARCH("bản lề ẩn",'01_MASTER_DATABASE'!Q9)), "Bản lề ẩn cao cấp", "Bản lề nổi tiêu chuẩn")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IF(ISNUMBER(SEARCH("rãnh C",'01_MASTER_DATABASE'!I10)), "Rãnh C Tiêu Chuẩn Châu Âu", "Rãnh 22 Truyền Thống")</f>
        <v/>
      </c>
      <c r="D13" s="114">
        <f>'01_MASTER_DATABASE'!Q10</f>
        <v/>
      </c>
      <c r="E13" s="114">
        <f>IF(ISNUMBER(SEARCH("toilet",'01_MASTER_DATABASE'!C10)), "Khóa đơn điểm", "Khóa đa điểm an toàn")</f>
        <v/>
      </c>
      <c r="F13" s="114" t="inlineStr">
        <is>
          <t>Đồng bộ theo hãng phụ kiện</t>
        </is>
      </c>
      <c r="G13" s="114">
        <f>IF(ISNUMBER(SEARCH("bản lề ẩn",'01_MASTER_DATABASE'!Q10)), "Bản lề ẩn cao cấp", "Bản lề nổi tiêu chuẩn")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IF(ISNUMBER(SEARCH("rãnh C",'01_MASTER_DATABASE'!I11)), "Rãnh C Tiêu Chuẩn Châu Âu", "Rãnh 22 Truyền Thống")</f>
        <v/>
      </c>
      <c r="D14" s="114">
        <f>'01_MASTER_DATABASE'!Q11</f>
        <v/>
      </c>
      <c r="E14" s="114">
        <f>IF(ISNUMBER(SEARCH("toilet",'01_MASTER_DATABASE'!C11)), "Khóa đơn điểm", "Khóa đa điểm an toàn")</f>
        <v/>
      </c>
      <c r="F14" s="114" t="inlineStr">
        <is>
          <t>Đồng bộ theo hãng phụ kiện</t>
        </is>
      </c>
      <c r="G14" s="114">
        <f>IF(ISNUMBER(SEARCH("bản lề ẩn",'01_MASTER_DATABASE'!Q11)), "Bản lề ẩn cao cấp", "Bản lề nổi tiêu chuẩn")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IF(ISNUMBER(SEARCH("rãnh C",'01_MASTER_DATABASE'!I12)), "Rãnh C Tiêu Chuẩn Châu Âu", "Rãnh 22 Truyền Thống")</f>
        <v/>
      </c>
      <c r="D15" s="114">
        <f>'01_MASTER_DATABASE'!Q12</f>
        <v/>
      </c>
      <c r="E15" s="114">
        <f>IF(ISNUMBER(SEARCH("toilet",'01_MASTER_DATABASE'!C12)), "Khóa đơn điểm", "Khóa đa điểm an toàn")</f>
        <v/>
      </c>
      <c r="F15" s="114" t="inlineStr">
        <is>
          <t>Đồng bộ theo hãng phụ kiện</t>
        </is>
      </c>
      <c r="G15" s="114">
        <f>IF(ISNUMBER(SEARCH("bản lề ẩn",'01_MASTER_DATABASE'!Q12)), "Bản lề ẩn cao cấp", "Bản lề nổi tiêu chuẩn")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IF(ISNUMBER(SEARCH("rãnh C",'01_MASTER_DATABASE'!I13)), "Rãnh C Tiêu Chuẩn Châu Âu", "Rãnh 22 Truyền Thống")</f>
        <v/>
      </c>
      <c r="D16" s="114">
        <f>'01_MASTER_DATABASE'!Q13</f>
        <v/>
      </c>
      <c r="E16" s="114">
        <f>IF(ISNUMBER(SEARCH("toilet",'01_MASTER_DATABASE'!C13)), "Khóa đơn điểm", "Khóa đa điểm an toàn")</f>
        <v/>
      </c>
      <c r="F16" s="114" t="inlineStr">
        <is>
          <t>Đồng bộ theo hãng phụ kiện</t>
        </is>
      </c>
      <c r="G16" s="114">
        <f>IF(ISNUMBER(SEARCH("bản lề ẩn",'01_MASTER_DATABASE'!Q13)), "Bản lề ẩn cao cấp", "Bản lề nổi tiêu chuẩn")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IF(ISNUMBER(SEARCH("rãnh C",'01_MASTER_DATABASE'!I14)), "Rãnh C Tiêu Chuẩn Châu Âu", "Rãnh 22 Truyền Thống")</f>
        <v/>
      </c>
      <c r="D17" s="114">
        <f>'01_MASTER_DATABASE'!Q14</f>
        <v/>
      </c>
      <c r="E17" s="114">
        <f>IF(ISNUMBER(SEARCH("toilet",'01_MASTER_DATABASE'!C14)), "Khóa đơn điểm", "Khóa đa điểm an toàn")</f>
        <v/>
      </c>
      <c r="F17" s="114" t="inlineStr">
        <is>
          <t>Đồng bộ theo hãng phụ kiện</t>
        </is>
      </c>
      <c r="G17" s="114">
        <f>IF(ISNUMBER(SEARCH("bản lề ẩn",'01_MASTER_DATABASE'!Q14)), "Bản lề ẩn cao cấp", "Bản lề nổi tiêu chuẩn")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IF(ISNUMBER(SEARCH("rãnh C",'01_MASTER_DATABASE'!I15)), "Rãnh C Tiêu Chuẩn Châu Âu", "Rãnh 22 Truyền Thống")</f>
        <v/>
      </c>
      <c r="D18" s="114">
        <f>'01_MASTER_DATABASE'!Q15</f>
        <v/>
      </c>
      <c r="E18" s="114">
        <f>IF(ISNUMBER(SEARCH("toilet",'01_MASTER_DATABASE'!C15)), "Khóa đơn điểm", "Khóa đa điểm an toàn")</f>
        <v/>
      </c>
      <c r="F18" s="114" t="inlineStr">
        <is>
          <t>Đồng bộ theo hãng phụ kiện</t>
        </is>
      </c>
      <c r="G18" s="114">
        <f>IF(ISNUMBER(SEARCH("bản lề ẩn",'01_MASTER_DATABASE'!Q15)), "Bản lề ẩn cao cấp", "Bản lề nổi tiêu chuẩn")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IF(ISNUMBER(SEARCH("rãnh C",'01_MASTER_DATABASE'!I16)), "Rãnh C Tiêu Chuẩn Châu Âu", "Rãnh 22 Truyền Thống")</f>
        <v/>
      </c>
      <c r="D19" s="114">
        <f>'01_MASTER_DATABASE'!Q16</f>
        <v/>
      </c>
      <c r="E19" s="114">
        <f>IF(ISNUMBER(SEARCH("toilet",'01_MASTER_DATABASE'!C16)), "Khóa đơn điểm", "Khóa đa điểm an toàn")</f>
        <v/>
      </c>
      <c r="F19" s="114" t="inlineStr">
        <is>
          <t>Đồng bộ theo hãng phụ kiện</t>
        </is>
      </c>
      <c r="G19" s="114">
        <f>IF(ISNUMBER(SEARCH("bản lề ẩn",'01_MASTER_DATABASE'!Q16)), "Bản lề ẩn cao cấp", "Bản lề nổi tiêu chuẩn")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IF(ISNUMBER(SEARCH("rãnh C",'01_MASTER_DATABASE'!I17)), "Rãnh C Tiêu Chuẩn Châu Âu", "Rãnh 22 Truyền Thống")</f>
        <v/>
      </c>
      <c r="D20" s="114">
        <f>'01_MASTER_DATABASE'!Q17</f>
        <v/>
      </c>
      <c r="E20" s="114">
        <f>IF(ISNUMBER(SEARCH("toilet",'01_MASTER_DATABASE'!C17)), "Khóa đơn điểm", "Khóa đa điểm an toàn")</f>
        <v/>
      </c>
      <c r="F20" s="114" t="inlineStr">
        <is>
          <t>Đồng bộ theo hãng phụ kiện</t>
        </is>
      </c>
      <c r="G20" s="114">
        <f>IF(ISNUMBER(SEARCH("bản lề ẩn",'01_MASTER_DATABASE'!Q17)), "Bản lề ẩn cao cấp", "Bản lề nổi tiêu chuẩn")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IF(ISNUMBER(SEARCH("rãnh C",'01_MASTER_DATABASE'!I18)), "Rãnh C Tiêu Chuẩn Châu Âu", "Rãnh 22 Truyền Thống")</f>
        <v/>
      </c>
      <c r="D21" s="114">
        <f>'01_MASTER_DATABASE'!Q18</f>
        <v/>
      </c>
      <c r="E21" s="114">
        <f>IF(ISNUMBER(SEARCH("toilet",'01_MASTER_DATABASE'!C18)), "Khóa đơn điểm", "Khóa đa điểm an toàn")</f>
        <v/>
      </c>
      <c r="F21" s="114" t="inlineStr">
        <is>
          <t>Đồng bộ theo hãng phụ kiện</t>
        </is>
      </c>
      <c r="G21" s="114">
        <f>IF(ISNUMBER(SEARCH("bản lề ẩn",'01_MASTER_DATABASE'!Q18)), "Bản lề ẩn cao cấp", "Bản lề nổi tiêu chuẩn")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IF(ISNUMBER(SEARCH("rãnh C",'01_MASTER_DATABASE'!I19)), "Rãnh C Tiêu Chuẩn Châu Âu", "Rãnh 22 Truyền Thống")</f>
        <v/>
      </c>
      <c r="D22" s="114">
        <f>'01_MASTER_DATABASE'!Q19</f>
        <v/>
      </c>
      <c r="E22" s="114">
        <f>IF(ISNUMBER(SEARCH("toilet",'01_MASTER_DATABASE'!C19)), "Khóa đơn điểm", "Khóa đa điểm an toàn")</f>
        <v/>
      </c>
      <c r="F22" s="114" t="inlineStr">
        <is>
          <t>Đồng bộ theo hãng phụ kiện</t>
        </is>
      </c>
      <c r="G22" s="114">
        <f>IF(ISNUMBER(SEARCH("bản lề ẩn",'01_MASTER_DATABASE'!Q19)), "Bản lề ẩn cao cấp", "Bản lề nổi tiêu chuẩn")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IF(ISNUMBER(SEARCH("rãnh C",'01_MASTER_DATABASE'!I20)), "Rãnh C Tiêu Chuẩn Châu Âu", "Rãnh 22 Truyền Thống")</f>
        <v/>
      </c>
      <c r="D23" s="114">
        <f>'01_MASTER_DATABASE'!Q20</f>
        <v/>
      </c>
      <c r="E23" s="114">
        <f>IF(ISNUMBER(SEARCH("toilet",'01_MASTER_DATABASE'!C20)), "Khóa đơn điểm", "Khóa đa điểm an toàn")</f>
        <v/>
      </c>
      <c r="F23" s="114" t="inlineStr">
        <is>
          <t>Đồng bộ theo hãng phụ kiện</t>
        </is>
      </c>
      <c r="G23" s="114">
        <f>IF(ISNUMBER(SEARCH("bản lề ẩn",'01_MASTER_DATABASE'!Q20)), "Bản lề ẩn cao cấp", "Bản lề nổi tiêu chuẩn")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IF(ISNUMBER(SEARCH("rãnh C",'01_MASTER_DATABASE'!I21)), "Rãnh C Tiêu Chuẩn Châu Âu", "Rãnh 22 Truyền Thống")</f>
        <v/>
      </c>
      <c r="D24" s="114">
        <f>'01_MASTER_DATABASE'!Q21</f>
        <v/>
      </c>
      <c r="E24" s="114">
        <f>IF(ISNUMBER(SEARCH("toilet",'01_MASTER_DATABASE'!C21)), "Khóa đơn điểm", "Khóa đa điểm an toàn")</f>
        <v/>
      </c>
      <c r="F24" s="114" t="inlineStr">
        <is>
          <t>Đồng bộ theo hãng phụ kiện</t>
        </is>
      </c>
      <c r="G24" s="114">
        <f>IF(ISNUMBER(SEARCH("bản lề ẩn",'01_MASTER_DATABASE'!Q21)), "Bản lề ẩn cao cấp", "Bản lề nổi tiêu chuẩn")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IF(ISNUMBER(SEARCH("rãnh C",'01_MASTER_DATABASE'!I22)), "Rãnh C Tiêu Chuẩn Châu Âu", "Rãnh 22 Truyền Thống")</f>
        <v/>
      </c>
      <c r="D25" s="114">
        <f>'01_MASTER_DATABASE'!Q22</f>
        <v/>
      </c>
      <c r="E25" s="114">
        <f>IF(ISNUMBER(SEARCH("toilet",'01_MASTER_DATABASE'!C22)), "Khóa đơn điểm", "Khóa đa điểm an toàn")</f>
        <v/>
      </c>
      <c r="F25" s="114" t="inlineStr">
        <is>
          <t>Đồng bộ theo hãng phụ kiện</t>
        </is>
      </c>
      <c r="G25" s="114">
        <f>IF(ISNUMBER(SEARCH("bản lề ẩn",'01_MASTER_DATABASE'!Q22)), "Bản lề ẩn cao cấp", "Bản lề nổi tiêu chuẩn")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IF(ISNUMBER(SEARCH("rãnh C",'01_MASTER_DATABASE'!I23)), "Rãnh C Tiêu Chuẩn Châu Âu", "Rãnh 22 Truyền Thống")</f>
        <v/>
      </c>
      <c r="D26" s="114">
        <f>'01_MASTER_DATABASE'!Q23</f>
        <v/>
      </c>
      <c r="E26" s="114">
        <f>IF(ISNUMBER(SEARCH("toilet",'01_MASTER_DATABASE'!C23)), "Khóa đơn điểm", "Khóa đa điểm an toàn")</f>
        <v/>
      </c>
      <c r="F26" s="114" t="inlineStr">
        <is>
          <t>Đồng bộ theo hãng phụ kiện</t>
        </is>
      </c>
      <c r="G26" s="114">
        <f>IF(ISNUMBER(SEARCH("bản lề ẩn",'01_MASTER_DATABASE'!Q23)), "Bản lề ẩn cao cấp", "Bản lề nổi tiêu chuẩn")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IF(ISNUMBER(SEARCH("rãnh C",'01_MASTER_DATABASE'!I24)), "Rãnh C Tiêu Chuẩn Châu Âu", "Rãnh 22 Truyền Thống")</f>
        <v/>
      </c>
      <c r="D27" s="114">
        <f>'01_MASTER_DATABASE'!Q24</f>
        <v/>
      </c>
      <c r="E27" s="114">
        <f>IF(ISNUMBER(SEARCH("toilet",'01_MASTER_DATABASE'!C24)), "Khóa đơn điểm", "Khóa đa điểm an toàn")</f>
        <v/>
      </c>
      <c r="F27" s="114" t="inlineStr">
        <is>
          <t>Đồng bộ theo hãng phụ kiện</t>
        </is>
      </c>
      <c r="G27" s="114">
        <f>IF(ISNUMBER(SEARCH("bản lề ẩn",'01_MASTER_DATABASE'!Q24)), "Bản lề ẩn cao cấp", "Bản lề nổi tiêu chuẩn")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IF(ISNUMBER(SEARCH("rãnh C",'01_MASTER_DATABASE'!I25)), "Rãnh C Tiêu Chuẩn Châu Âu", "Rãnh 22 Truyền Thống")</f>
        <v/>
      </c>
      <c r="D28" s="114">
        <f>'01_MASTER_DATABASE'!Q25</f>
        <v/>
      </c>
      <c r="E28" s="114">
        <f>IF(ISNUMBER(SEARCH("toilet",'01_MASTER_DATABASE'!C25)), "Khóa đơn điểm", "Khóa đa điểm an toàn")</f>
        <v/>
      </c>
      <c r="F28" s="114" t="inlineStr">
        <is>
          <t>Đồng bộ theo hãng phụ kiện</t>
        </is>
      </c>
      <c r="G28" s="114">
        <f>IF(ISNUMBER(SEARCH("bản lề ẩn",'01_MASTER_DATABASE'!Q25)), "Bản lề ẩn cao cấp", "Bản lề nổi tiêu chuẩn")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IF(ISNUMBER(SEARCH("rãnh C",'01_MASTER_DATABASE'!I26)), "Rãnh C Tiêu Chuẩn Châu Âu", "Rãnh 22 Truyền Thống")</f>
        <v/>
      </c>
      <c r="D29" s="114">
        <f>'01_MASTER_DATABASE'!Q26</f>
        <v/>
      </c>
      <c r="E29" s="114">
        <f>IF(ISNUMBER(SEARCH("toilet",'01_MASTER_DATABASE'!C26)), "Khóa đơn điểm", "Khóa đa điểm an toàn")</f>
        <v/>
      </c>
      <c r="F29" s="114" t="inlineStr">
        <is>
          <t>Đồng bộ theo hãng phụ kiện</t>
        </is>
      </c>
      <c r="G29" s="114">
        <f>IF(ISNUMBER(SEARCH("bản lề ẩn",'01_MASTER_DATABASE'!Q26)), "Bản lề ẩn cao cấp", "Bản lề nổi tiêu chuẩn")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IF(ISNUMBER(SEARCH("rãnh C",'01_MASTER_DATABASE'!I27)), "Rãnh C Tiêu Chuẩn Châu Âu", "Rãnh 22 Truyền Thống")</f>
        <v/>
      </c>
      <c r="D30" s="114">
        <f>'01_MASTER_DATABASE'!Q27</f>
        <v/>
      </c>
      <c r="E30" s="114">
        <f>IF(ISNUMBER(SEARCH("toilet",'01_MASTER_DATABASE'!C27)), "Khóa đơn điểm", "Khóa đa điểm an toàn")</f>
        <v/>
      </c>
      <c r="F30" s="114" t="inlineStr">
        <is>
          <t>Đồng bộ theo hãng phụ kiện</t>
        </is>
      </c>
      <c r="G30" s="114">
        <f>IF(ISNUMBER(SEARCH("bản lề ẩn",'01_MASTER_DATABASE'!Q27)), "Bản lề ẩn cao cấp", "Bản lề nổi tiêu chuẩn")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IF(ISNUMBER(SEARCH("rãnh C",'01_MASTER_DATABASE'!I28)), "Rãnh C Tiêu Chuẩn Châu Âu", "Rãnh 22 Truyền Thống")</f>
        <v/>
      </c>
      <c r="D31" s="114">
        <f>'01_MASTER_DATABASE'!Q28</f>
        <v/>
      </c>
      <c r="E31" s="114">
        <f>IF(ISNUMBER(SEARCH("toilet",'01_MASTER_DATABASE'!C28)), "Khóa đơn điểm", "Khóa đa điểm an toàn")</f>
        <v/>
      </c>
      <c r="F31" s="114" t="inlineStr">
        <is>
          <t>Đồng bộ theo hãng phụ kiện</t>
        </is>
      </c>
      <c r="G31" s="114">
        <f>IF(ISNUMBER(SEARCH("bản lề ẩn",'01_MASTER_DATABASE'!Q28)), "Bản lề ẩn cao cấp", "Bản lề nổi tiêu chuẩn")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IF(ISNUMBER(SEARCH("rãnh C",'01_MASTER_DATABASE'!I29)), "Rãnh C Tiêu Chuẩn Châu Âu", "Rãnh 22 Truyền Thống")</f>
        <v/>
      </c>
      <c r="D32" s="114">
        <f>'01_MASTER_DATABASE'!Q29</f>
        <v/>
      </c>
      <c r="E32" s="114">
        <f>IF(ISNUMBER(SEARCH("toilet",'01_MASTER_DATABASE'!C29)), "Khóa đơn điểm", "Khóa đa điểm an toàn")</f>
        <v/>
      </c>
      <c r="F32" s="114" t="inlineStr">
        <is>
          <t>Đồng bộ theo hãng phụ kiện</t>
        </is>
      </c>
      <c r="G32" s="114">
        <f>IF(ISNUMBER(SEARCH("bản lề ẩn",'01_MASTER_DATABASE'!Q29)), "Bản lề ẩn cao cấp", "Bản lề nổi tiêu chuẩn")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IF(ISNUMBER(SEARCH("rãnh C",'01_MASTER_DATABASE'!I30)), "Rãnh C Tiêu Chuẩn Châu Âu", "Rãnh 22 Truyền Thống")</f>
        <v/>
      </c>
      <c r="D33" s="114">
        <f>'01_MASTER_DATABASE'!Q30</f>
        <v/>
      </c>
      <c r="E33" s="114">
        <f>IF(ISNUMBER(SEARCH("toilet",'01_MASTER_DATABASE'!C30)), "Khóa đơn điểm", "Khóa đa điểm an toàn")</f>
        <v/>
      </c>
      <c r="F33" s="114" t="inlineStr">
        <is>
          <t>Đồng bộ theo hãng phụ kiện</t>
        </is>
      </c>
      <c r="G33" s="114">
        <f>IF(ISNUMBER(SEARCH("bản lề ẩn",'01_MASTER_DATABASE'!Q30)), "Bản lề ẩn cao cấp", "Bản lề nổi tiêu chuẩn")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IF(ISNUMBER(SEARCH("rãnh C",'01_MASTER_DATABASE'!I31)), "Rãnh C Tiêu Chuẩn Châu Âu", "Rãnh 22 Truyền Thống")</f>
        <v/>
      </c>
      <c r="D34" s="114">
        <f>'01_MASTER_DATABASE'!Q31</f>
        <v/>
      </c>
      <c r="E34" s="114">
        <f>IF(ISNUMBER(SEARCH("toilet",'01_MASTER_DATABASE'!C31)), "Khóa đơn điểm", "Khóa đa điểm an toàn")</f>
        <v/>
      </c>
      <c r="F34" s="114" t="inlineStr">
        <is>
          <t>Đồng bộ theo hãng phụ kiện</t>
        </is>
      </c>
      <c r="G34" s="114">
        <f>IF(ISNUMBER(SEARCH("bản lề ẩn",'01_MASTER_DATABASE'!Q31)), "Bản lề ẩn cao cấp", "Bản lề nổi tiêu chuẩn")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IF(ISNUMBER(SEARCH("rãnh C",'01_MASTER_DATABASE'!I32)), "Rãnh C Tiêu Chuẩn Châu Âu", "Rãnh 22 Truyền Thống")</f>
        <v/>
      </c>
      <c r="D35" s="114">
        <f>'01_MASTER_DATABASE'!Q32</f>
        <v/>
      </c>
      <c r="E35" s="114">
        <f>IF(ISNUMBER(SEARCH("toilet",'01_MASTER_DATABASE'!C32)), "Khóa đơn điểm", "Khóa đa điểm an toàn")</f>
        <v/>
      </c>
      <c r="F35" s="114" t="inlineStr">
        <is>
          <t>Đồng bộ theo hãng phụ kiện</t>
        </is>
      </c>
      <c r="G35" s="114">
        <f>IF(ISNUMBER(SEARCH("bản lề ẩn",'01_MASTER_DATABASE'!Q32)), "Bản lề ẩn cao cấp", "Bản lề nổi tiêu chuẩn")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IF(ISNUMBER(SEARCH("rãnh C",'01_MASTER_DATABASE'!I33)), "Rãnh C Tiêu Chuẩn Châu Âu", "Rãnh 22 Truyền Thống")</f>
        <v/>
      </c>
      <c r="D36" s="114">
        <f>'01_MASTER_DATABASE'!Q33</f>
        <v/>
      </c>
      <c r="E36" s="114">
        <f>IF(ISNUMBER(SEARCH("toilet",'01_MASTER_DATABASE'!C33)), "Khóa đơn điểm", "Khóa đa điểm an toàn")</f>
        <v/>
      </c>
      <c r="F36" s="114" t="inlineStr">
        <is>
          <t>Đồng bộ theo hãng phụ kiện</t>
        </is>
      </c>
      <c r="G36" s="114">
        <f>IF(ISNUMBER(SEARCH("bản lề ẩn",'01_MASTER_DATABASE'!Q33)), "Bản lề ẩn cao cấp", "Bản lề nổi tiêu chuẩn")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IF(ISNUMBER(SEARCH("rãnh C",'01_MASTER_DATABASE'!I34)), "Rãnh C Tiêu Chuẩn Châu Âu", "Rãnh 22 Truyền Thống")</f>
        <v/>
      </c>
      <c r="D37" s="114">
        <f>'01_MASTER_DATABASE'!Q34</f>
        <v/>
      </c>
      <c r="E37" s="114">
        <f>IF(ISNUMBER(SEARCH("toilet",'01_MASTER_DATABASE'!C34)), "Khóa đơn điểm", "Khóa đa điểm an toàn")</f>
        <v/>
      </c>
      <c r="F37" s="114" t="inlineStr">
        <is>
          <t>Đồng bộ theo hãng phụ kiện</t>
        </is>
      </c>
      <c r="G37" s="114">
        <f>IF(ISNUMBER(SEARCH("bản lề ẩn",'01_MASTER_DATABASE'!Q34)), "Bản lề ẩn cao cấp", "Bản lề nổi tiêu chuẩn")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IF(ISNUMBER(SEARCH("rãnh C",'01_MASTER_DATABASE'!I35)), "Rãnh C Tiêu Chuẩn Châu Âu", "Rãnh 22 Truyền Thống")</f>
        <v/>
      </c>
      <c r="D38" s="114">
        <f>'01_MASTER_DATABASE'!Q35</f>
        <v/>
      </c>
      <c r="E38" s="114">
        <f>IF(ISNUMBER(SEARCH("toilet",'01_MASTER_DATABASE'!C35)), "Khóa đơn điểm", "Khóa đa điểm an toàn")</f>
        <v/>
      </c>
      <c r="F38" s="114" t="inlineStr">
        <is>
          <t>Đồng bộ theo hãng phụ kiện</t>
        </is>
      </c>
      <c r="G38" s="114">
        <f>IF(ISNUMBER(SEARCH("bản lề ẩn",'01_MASTER_DATABASE'!Q35)), "Bản lề ẩn cao cấp", "Bản lề nổi tiêu chuẩn")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IF(ISNUMBER(SEARCH("rãnh C",'01_MASTER_DATABASE'!I36)), "Rãnh C Tiêu Chuẩn Châu Âu", "Rãnh 22 Truyền Thống")</f>
        <v/>
      </c>
      <c r="D39" s="114">
        <f>'01_MASTER_DATABASE'!Q36</f>
        <v/>
      </c>
      <c r="E39" s="114">
        <f>IF(ISNUMBER(SEARCH("toilet",'01_MASTER_DATABASE'!C36)), "Khóa đơn điểm", "Khóa đa điểm an toàn")</f>
        <v/>
      </c>
      <c r="F39" s="114" t="inlineStr">
        <is>
          <t>Đồng bộ theo hãng phụ kiện</t>
        </is>
      </c>
      <c r="G39" s="114">
        <f>IF(ISNUMBER(SEARCH("bản lề ẩn",'01_MASTER_DATABASE'!Q36)), "Bản lề ẩn cao cấp", "Bản lề nổi tiêu chuẩn")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IF(ISNUMBER(SEARCH("rãnh C",'01_MASTER_DATABASE'!I37)), "Rãnh C Tiêu Chuẩn Châu Âu", "Rãnh 22 Truyền Thống")</f>
        <v/>
      </c>
      <c r="D40" s="114">
        <f>'01_MASTER_DATABASE'!Q37</f>
        <v/>
      </c>
      <c r="E40" s="114">
        <f>IF(ISNUMBER(SEARCH("toilet",'01_MASTER_DATABASE'!C37)), "Khóa đơn điểm", "Khóa đa điểm an toàn")</f>
        <v/>
      </c>
      <c r="F40" s="114" t="inlineStr">
        <is>
          <t>Đồng bộ theo hãng phụ kiện</t>
        </is>
      </c>
      <c r="G40" s="114">
        <f>IF(ISNUMBER(SEARCH("bản lề ẩn",'01_MASTER_DATABASE'!Q37)), "Bản lề ẩn cao cấp", "Bản lề nổi tiêu chuẩn")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IF(ISNUMBER(SEARCH("rãnh C",'01_MASTER_DATABASE'!I38)), "Rãnh C Tiêu Chuẩn Châu Âu", "Rãnh 22 Truyền Thống")</f>
        <v/>
      </c>
      <c r="D41" s="114">
        <f>'01_MASTER_DATABASE'!Q38</f>
        <v/>
      </c>
      <c r="E41" s="114">
        <f>IF(ISNUMBER(SEARCH("toilet",'01_MASTER_DATABASE'!C38)), "Khóa đơn điểm", "Khóa đa điểm an toàn")</f>
        <v/>
      </c>
      <c r="F41" s="114" t="inlineStr">
        <is>
          <t>Đồng bộ theo hãng phụ kiện</t>
        </is>
      </c>
      <c r="G41" s="114">
        <f>IF(ISNUMBER(SEARCH("bản lề ẩn",'01_MASTER_DATABASE'!Q38)), "Bản lề ẩn cao cấp", "Bản lề nổi tiêu chuẩn")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IF(ISNUMBER(SEARCH("rãnh C",'01_MASTER_DATABASE'!I39)), "Rãnh C Tiêu Chuẩn Châu Âu", "Rãnh 22 Truyền Thống")</f>
        <v/>
      </c>
      <c r="D42" s="114">
        <f>'01_MASTER_DATABASE'!Q39</f>
        <v/>
      </c>
      <c r="E42" s="114">
        <f>IF(ISNUMBER(SEARCH("toilet",'01_MASTER_DATABASE'!C39)), "Khóa đơn điểm", "Khóa đa điểm an toàn")</f>
        <v/>
      </c>
      <c r="F42" s="114" t="inlineStr">
        <is>
          <t>Đồng bộ theo hãng phụ kiện</t>
        </is>
      </c>
      <c r="G42" s="114">
        <f>IF(ISNUMBER(SEARCH("bản lề ẩn",'01_MASTER_DATABASE'!Q39)), "Bản lề ẩn cao cấp", "Bản lề nổi tiêu chuẩn")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IF(ISNUMBER(SEARCH("rãnh C",'01_MASTER_DATABASE'!I40)), "Rãnh C Tiêu Chuẩn Châu Âu", "Rãnh 22 Truyền Thống")</f>
        <v/>
      </c>
      <c r="D43" s="114">
        <f>'01_MASTER_DATABASE'!Q40</f>
        <v/>
      </c>
      <c r="E43" s="114">
        <f>IF(ISNUMBER(SEARCH("toilet",'01_MASTER_DATABASE'!C40)), "Khóa đơn điểm", "Khóa đa điểm an toàn")</f>
        <v/>
      </c>
      <c r="F43" s="114" t="inlineStr">
        <is>
          <t>Đồng bộ theo hãng phụ kiện</t>
        </is>
      </c>
      <c r="G43" s="114">
        <f>IF(ISNUMBER(SEARCH("bản lề ẩn",'01_MASTER_DATABASE'!Q40)), "Bản lề ẩn cao cấp", "Bản lề nổi tiêu chuẩn")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IF(ISNUMBER(SEARCH("rãnh C",'01_MASTER_DATABASE'!I41)), "Rãnh C Tiêu Chuẩn Châu Âu", "Rãnh 22 Truyền Thống")</f>
        <v/>
      </c>
      <c r="D44" s="114">
        <f>'01_MASTER_DATABASE'!Q41</f>
        <v/>
      </c>
      <c r="E44" s="114">
        <f>IF(ISNUMBER(SEARCH("toilet",'01_MASTER_DATABASE'!C41)), "Khóa đơn điểm", "Khóa đa điểm an toàn")</f>
        <v/>
      </c>
      <c r="F44" s="114" t="inlineStr">
        <is>
          <t>Đồng bộ theo hãng phụ kiện</t>
        </is>
      </c>
      <c r="G44" s="114">
        <f>IF(ISNUMBER(SEARCH("bản lề ẩn",'01_MASTER_DATABASE'!Q41)), "Bản lề ẩn cao cấp", "Bản lề nổi tiêu chuẩn")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IF(ISNUMBER(SEARCH("rãnh C",'01_MASTER_DATABASE'!I42)), "Rãnh C Tiêu Chuẩn Châu Âu", "Rãnh 22 Truyền Thống")</f>
        <v/>
      </c>
      <c r="D45" s="114">
        <f>'01_MASTER_DATABASE'!Q42</f>
        <v/>
      </c>
      <c r="E45" s="114">
        <f>IF(ISNUMBER(SEARCH("toilet",'01_MASTER_DATABASE'!C42)), "Khóa đơn điểm", "Khóa đa điểm an toàn")</f>
        <v/>
      </c>
      <c r="F45" s="114" t="inlineStr">
        <is>
          <t>Đồng bộ theo hãng phụ kiện</t>
        </is>
      </c>
      <c r="G45" s="114">
        <f>IF(ISNUMBER(SEARCH("bản lề ẩn",'01_MASTER_DATABASE'!Q42)), "Bản lề ẩn cao cấp", "Bản lề nổi tiêu chuẩn")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IF(ISNUMBER(SEARCH("rãnh C",'01_MASTER_DATABASE'!I43)), "Rãnh C Tiêu Chuẩn Châu Âu", "Rãnh 22 Truyền Thống")</f>
        <v/>
      </c>
      <c r="D46" s="114">
        <f>'01_MASTER_DATABASE'!Q43</f>
        <v/>
      </c>
      <c r="E46" s="114">
        <f>IF(ISNUMBER(SEARCH("toilet",'01_MASTER_DATABASE'!C43)), "Khóa đơn điểm", "Khóa đa điểm an toàn")</f>
        <v/>
      </c>
      <c r="F46" s="114" t="inlineStr">
        <is>
          <t>Đồng bộ theo hãng phụ kiện</t>
        </is>
      </c>
      <c r="G46" s="114">
        <f>IF(ISNUMBER(SEARCH("bản lề ẩn",'01_MASTER_DATABASE'!Q43)), "Bản lề ẩn cao cấp", "Bản lề nổi tiêu chuẩn")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IF(ISNUMBER(SEARCH("rãnh C",'01_MASTER_DATABASE'!I44)), "Rãnh C Tiêu Chuẩn Châu Âu", "Rãnh 22 Truyền Thống")</f>
        <v/>
      </c>
      <c r="D47" s="114">
        <f>'01_MASTER_DATABASE'!Q44</f>
        <v/>
      </c>
      <c r="E47" s="114">
        <f>IF(ISNUMBER(SEARCH("toilet",'01_MASTER_DATABASE'!C44)), "Khóa đơn điểm", "Khóa đa điểm an toàn")</f>
        <v/>
      </c>
      <c r="F47" s="114" t="inlineStr">
        <is>
          <t>Đồng bộ theo hãng phụ kiện</t>
        </is>
      </c>
      <c r="G47" s="114">
        <f>IF(ISNUMBER(SEARCH("bản lề ẩn",'01_MASTER_DATABASE'!Q44)), "Bản lề ẩn cao cấp", "Bản lề nổi tiêu chuẩn")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IF(ISNUMBER(SEARCH("rãnh C",'01_MASTER_DATABASE'!I45)), "Rãnh C Tiêu Chuẩn Châu Âu", "Rãnh 22 Truyền Thống")</f>
        <v/>
      </c>
      <c r="D48" s="114">
        <f>'01_MASTER_DATABASE'!Q45</f>
        <v/>
      </c>
      <c r="E48" s="114">
        <f>IF(ISNUMBER(SEARCH("toilet",'01_MASTER_DATABASE'!C45)), "Khóa đơn điểm", "Khóa đa điểm an toàn")</f>
        <v/>
      </c>
      <c r="F48" s="114" t="inlineStr">
        <is>
          <t>Đồng bộ theo hãng phụ kiện</t>
        </is>
      </c>
      <c r="G48" s="114">
        <f>IF(ISNUMBER(SEARCH("bản lề ẩn",'01_MASTER_DATABASE'!Q45)), "Bản lề ẩn cao cấp", "Bản lề nổi tiêu chuẩn")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IF(ISNUMBER(SEARCH("rãnh C",'01_MASTER_DATABASE'!I46)), "Rãnh C Tiêu Chuẩn Châu Âu", "Rãnh 22 Truyền Thống")</f>
        <v/>
      </c>
      <c r="D49" s="114">
        <f>'01_MASTER_DATABASE'!Q46</f>
        <v/>
      </c>
      <c r="E49" s="114">
        <f>IF(ISNUMBER(SEARCH("toilet",'01_MASTER_DATABASE'!C46)), "Khóa đơn điểm", "Khóa đa điểm an toàn")</f>
        <v/>
      </c>
      <c r="F49" s="114" t="inlineStr">
        <is>
          <t>Đồng bộ theo hãng phụ kiện</t>
        </is>
      </c>
      <c r="G49" s="114">
        <f>IF(ISNUMBER(SEARCH("bản lề ẩn",'01_MASTER_DATABASE'!Q46)), "Bản lề ẩn cao cấp", "Bản lề nổi tiêu chuẩn")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IF(ISNUMBER(SEARCH("rãnh C",'01_MASTER_DATABASE'!I47)), "Rãnh C Tiêu Chuẩn Châu Âu", "Rãnh 22 Truyền Thống")</f>
        <v/>
      </c>
      <c r="D50" s="114">
        <f>'01_MASTER_DATABASE'!Q47</f>
        <v/>
      </c>
      <c r="E50" s="114">
        <f>IF(ISNUMBER(SEARCH("toilet",'01_MASTER_DATABASE'!C47)), "Khóa đơn điểm", "Khóa đa điểm an toàn")</f>
        <v/>
      </c>
      <c r="F50" s="114" t="inlineStr">
        <is>
          <t>Đồng bộ theo hãng phụ kiện</t>
        </is>
      </c>
      <c r="G50" s="114">
        <f>IF(ISNUMBER(SEARCH("bản lề ẩn",'01_MASTER_DATABASE'!Q47)), "Bản lề ẩn cao cấp", "Bản lề nổi tiêu chuẩn")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IF(ISNUMBER(SEARCH("rãnh C",'01_MASTER_DATABASE'!I48)), "Rãnh C Tiêu Chuẩn Châu Âu", "Rãnh 22 Truyền Thống")</f>
        <v/>
      </c>
      <c r="D51" s="114">
        <f>'01_MASTER_DATABASE'!Q48</f>
        <v/>
      </c>
      <c r="E51" s="114">
        <f>IF(ISNUMBER(SEARCH("toilet",'01_MASTER_DATABASE'!C48)), "Khóa đơn điểm", "Khóa đa điểm an toàn")</f>
        <v/>
      </c>
      <c r="F51" s="114" t="inlineStr">
        <is>
          <t>Đồng bộ theo hãng phụ kiện</t>
        </is>
      </c>
      <c r="G51" s="114">
        <f>IF(ISNUMBER(SEARCH("bản lề ẩn",'01_MASTER_DATABASE'!Q48)), "Bản lề ẩn cao cấp", "Bản lề nổi tiêu chuẩn")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IF(ISNUMBER(SEARCH("rãnh C",'01_MASTER_DATABASE'!I49)), "Rãnh C Tiêu Chuẩn Châu Âu", "Rãnh 22 Truyền Thống")</f>
        <v/>
      </c>
      <c r="D52" s="114">
        <f>'01_MASTER_DATABASE'!Q49</f>
        <v/>
      </c>
      <c r="E52" s="114">
        <f>IF(ISNUMBER(SEARCH("toilet",'01_MASTER_DATABASE'!C49)), "Khóa đơn điểm", "Khóa đa điểm an toàn")</f>
        <v/>
      </c>
      <c r="F52" s="114" t="inlineStr">
        <is>
          <t>Đồng bộ theo hãng phụ kiện</t>
        </is>
      </c>
      <c r="G52" s="114">
        <f>IF(ISNUMBER(SEARCH("bản lề ẩn",'01_MASTER_DATABASE'!Q49)), "Bản lề ẩn cao cấp", "Bản lề nổi tiêu chuẩn")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IF(ISNUMBER(SEARCH("rãnh C",'01_MASTER_DATABASE'!I50)), "Rãnh C Tiêu Chuẩn Châu Âu", "Rãnh 22 Truyền Thống")</f>
        <v/>
      </c>
      <c r="D53" s="114">
        <f>'01_MASTER_DATABASE'!Q50</f>
        <v/>
      </c>
      <c r="E53" s="114">
        <f>IF(ISNUMBER(SEARCH("toilet",'01_MASTER_DATABASE'!C50)), "Khóa đơn điểm", "Khóa đa điểm an toàn")</f>
        <v/>
      </c>
      <c r="F53" s="114" t="inlineStr">
        <is>
          <t>Đồng bộ theo hãng phụ kiện</t>
        </is>
      </c>
      <c r="G53" s="114">
        <f>IF(ISNUMBER(SEARCH("bản lề ẩn",'01_MASTER_DATABASE'!Q50)), "Bản lề ẩn cao cấp", "Bản lề nổi tiêu chuẩn")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IF(ISNUMBER(SEARCH("rãnh C",'01_MASTER_DATABASE'!I51)), "Rãnh C Tiêu Chuẩn Châu Âu", "Rãnh 22 Truyền Thống")</f>
        <v/>
      </c>
      <c r="D54" s="114">
        <f>'01_MASTER_DATABASE'!Q51</f>
        <v/>
      </c>
      <c r="E54" s="114">
        <f>IF(ISNUMBER(SEARCH("toilet",'01_MASTER_DATABASE'!C51)), "Khóa đơn điểm", "Khóa đa điểm an toàn")</f>
        <v/>
      </c>
      <c r="F54" s="114" t="inlineStr">
        <is>
          <t>Đồng bộ theo hãng phụ kiện</t>
        </is>
      </c>
      <c r="G54" s="114">
        <f>IF(ISNUMBER(SEARCH("bản lề ẩn",'01_MASTER_DATABASE'!Q51)), "Bản lề ẩn cao cấp", "Bản lề nổi tiêu chuẩn")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IF(ISNUMBER(SEARCH("rãnh C",'01_MASTER_DATABASE'!I52)), "Rãnh C Tiêu Chuẩn Châu Âu", "Rãnh 22 Truyền Thống")</f>
        <v/>
      </c>
      <c r="D55" s="114">
        <f>'01_MASTER_DATABASE'!Q52</f>
        <v/>
      </c>
      <c r="E55" s="114">
        <f>IF(ISNUMBER(SEARCH("toilet",'01_MASTER_DATABASE'!C52)), "Khóa đơn điểm", "Khóa đa điểm an toàn")</f>
        <v/>
      </c>
      <c r="F55" s="114" t="inlineStr">
        <is>
          <t>Đồng bộ theo hãng phụ kiện</t>
        </is>
      </c>
      <c r="G55" s="114">
        <f>IF(ISNUMBER(SEARCH("bản lề ẩn",'01_MASTER_DATABASE'!Q52)), "Bản lề ẩn cao cấp", "Bản lề nổi tiêu chuẩn")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IF(ISNUMBER(SEARCH("rãnh C",'01_MASTER_DATABASE'!I53)), "Rãnh C Tiêu Chuẩn Châu Âu", "Rãnh 22 Truyền Thống")</f>
        <v/>
      </c>
      <c r="D56" s="114">
        <f>'01_MASTER_DATABASE'!Q53</f>
        <v/>
      </c>
      <c r="E56" s="114">
        <f>IF(ISNUMBER(SEARCH("toilet",'01_MASTER_DATABASE'!C53)), "Khóa đơn điểm", "Khóa đa điểm an toàn")</f>
        <v/>
      </c>
      <c r="F56" s="114" t="inlineStr">
        <is>
          <t>Đồng bộ theo hãng phụ kiện</t>
        </is>
      </c>
      <c r="G56" s="114">
        <f>IF(ISNUMBER(SEARCH("bản lề ẩn",'01_MASTER_DATABASE'!Q53)), "Bản lề ẩn cao cấp", "Bản lề nổi tiêu chuẩn")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IF(ISNUMBER(SEARCH("rãnh C",'01_MASTER_DATABASE'!I54)), "Rãnh C Tiêu Chuẩn Châu Âu", "Rãnh 22 Truyền Thống")</f>
        <v/>
      </c>
      <c r="D57" s="114">
        <f>'01_MASTER_DATABASE'!Q54</f>
        <v/>
      </c>
      <c r="E57" s="114">
        <f>IF(ISNUMBER(SEARCH("toilet",'01_MASTER_DATABASE'!C54)), "Khóa đơn điểm", "Khóa đa điểm an toàn")</f>
        <v/>
      </c>
      <c r="F57" s="114" t="inlineStr">
        <is>
          <t>Đồng bộ theo hãng phụ kiện</t>
        </is>
      </c>
      <c r="G57" s="114">
        <f>IF(ISNUMBER(SEARCH("bản lề ẩn",'01_MASTER_DATABASE'!Q54)), "Bản lề ẩn cao cấp", "Bản lề nổi tiêu chuẩn")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IF(ISNUMBER(SEARCH("rãnh C",'01_MASTER_DATABASE'!I55)), "Rãnh C Tiêu Chuẩn Châu Âu", "Rãnh 22 Truyền Thống")</f>
        <v/>
      </c>
      <c r="D58" s="114">
        <f>'01_MASTER_DATABASE'!Q55</f>
        <v/>
      </c>
      <c r="E58" s="114">
        <f>IF(ISNUMBER(SEARCH("toilet",'01_MASTER_DATABASE'!C55)), "Khóa đơn điểm", "Khóa đa điểm an toàn")</f>
        <v/>
      </c>
      <c r="F58" s="114" t="inlineStr">
        <is>
          <t>Đồng bộ theo hãng phụ kiện</t>
        </is>
      </c>
      <c r="G58" s="114">
        <f>IF(ISNUMBER(SEARCH("bản lề ẩn",'01_MASTER_DATABASE'!Q55)), "Bản lề ẩn cao cấp", "Bản lề nổi tiêu chuẩn")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IF(ISNUMBER(SEARCH("rãnh C",'01_MASTER_DATABASE'!I56)), "Rãnh C Tiêu Chuẩn Châu Âu", "Rãnh 22 Truyền Thống")</f>
        <v/>
      </c>
      <c r="D59" s="114">
        <f>'01_MASTER_DATABASE'!Q56</f>
        <v/>
      </c>
      <c r="E59" s="114">
        <f>IF(ISNUMBER(SEARCH("toilet",'01_MASTER_DATABASE'!C56)), "Khóa đơn điểm", "Khóa đa điểm an toàn")</f>
        <v/>
      </c>
      <c r="F59" s="114" t="inlineStr">
        <is>
          <t>Đồng bộ theo hãng phụ kiện</t>
        </is>
      </c>
      <c r="G59" s="114">
        <f>IF(ISNUMBER(SEARCH("bản lề ẩn",'01_MASTER_DATABASE'!Q56)), "Bản lề ẩn cao cấp", "Bản lề nổi tiêu chuẩn")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IF(ISNUMBER(SEARCH("rãnh C",'01_MASTER_DATABASE'!I57)), "Rãnh C Tiêu Chuẩn Châu Âu", "Rãnh 22 Truyền Thống")</f>
        <v/>
      </c>
      <c r="D60" s="114">
        <f>'01_MASTER_DATABASE'!Q57</f>
        <v/>
      </c>
      <c r="E60" s="114">
        <f>IF(ISNUMBER(SEARCH("toilet",'01_MASTER_DATABASE'!C57)), "Khóa đơn điểm", "Khóa đa điểm an toàn")</f>
        <v/>
      </c>
      <c r="F60" s="114" t="inlineStr">
        <is>
          <t>Đồng bộ theo hãng phụ kiện</t>
        </is>
      </c>
      <c r="G60" s="114">
        <f>IF(ISNUMBER(SEARCH("bản lề ẩn",'01_MASTER_DATABASE'!Q57)), "Bản lề ẩn cao cấp", "Bản lề nổi tiêu chuẩn")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IF(ISNUMBER(SEARCH("rãnh C",'01_MASTER_DATABASE'!I58)), "Rãnh C Tiêu Chuẩn Châu Âu", "Rãnh 22 Truyền Thống")</f>
        <v/>
      </c>
      <c r="D61" s="114">
        <f>'01_MASTER_DATABASE'!Q58</f>
        <v/>
      </c>
      <c r="E61" s="114">
        <f>IF(ISNUMBER(SEARCH("toilet",'01_MASTER_DATABASE'!C58)), "Khóa đơn điểm", "Khóa đa điểm an toàn")</f>
        <v/>
      </c>
      <c r="F61" s="114" t="inlineStr">
        <is>
          <t>Đồng bộ theo hãng phụ kiện</t>
        </is>
      </c>
      <c r="G61" s="114">
        <f>IF(ISNUMBER(SEARCH("bản lề ẩn",'01_MASTER_DATABASE'!Q58)), "Bản lề ẩn cao cấp", "Bản lề nổi tiêu chuẩn")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IF(ISNUMBER(SEARCH("rãnh C",'01_MASTER_DATABASE'!I59)), "Rãnh C Tiêu Chuẩn Châu Âu", "Rãnh 22 Truyền Thống")</f>
        <v/>
      </c>
      <c r="D62" s="114">
        <f>'01_MASTER_DATABASE'!Q59</f>
        <v/>
      </c>
      <c r="E62" s="114">
        <f>IF(ISNUMBER(SEARCH("toilet",'01_MASTER_DATABASE'!C59)), "Khóa đơn điểm", "Khóa đa điểm an toàn")</f>
        <v/>
      </c>
      <c r="F62" s="114" t="inlineStr">
        <is>
          <t>Đồng bộ theo hãng phụ kiện</t>
        </is>
      </c>
      <c r="G62" s="114">
        <f>IF(ISNUMBER(SEARCH("bản lề ẩn",'01_MASTER_DATABASE'!Q59)), "Bản lề ẩn cao cấp", "Bản lề nổi tiêu chuẩn")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IF(ISNUMBER(SEARCH("rãnh C",'01_MASTER_DATABASE'!I60)), "Rãnh C Tiêu Chuẩn Châu Âu", "Rãnh 22 Truyền Thống")</f>
        <v/>
      </c>
      <c r="D63" s="114">
        <f>'01_MASTER_DATABASE'!Q60</f>
        <v/>
      </c>
      <c r="E63" s="114">
        <f>IF(ISNUMBER(SEARCH("toilet",'01_MASTER_DATABASE'!C60)), "Khóa đơn điểm", "Khóa đa điểm an toàn")</f>
        <v/>
      </c>
      <c r="F63" s="114" t="inlineStr">
        <is>
          <t>Đồng bộ theo hãng phụ kiện</t>
        </is>
      </c>
      <c r="G63" s="114">
        <f>IF(ISNUMBER(SEARCH("bản lề ẩn",'01_MASTER_DATABASE'!Q60)), "Bản lề ẩn cao cấp", "Bản lề nổi tiêu chuẩn")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IF(ISNUMBER(SEARCH("rãnh C",'01_MASTER_DATABASE'!I61)), "Rãnh C Tiêu Chuẩn Châu Âu", "Rãnh 22 Truyền Thống")</f>
        <v/>
      </c>
      <c r="D64" s="114">
        <f>'01_MASTER_DATABASE'!Q61</f>
        <v/>
      </c>
      <c r="E64" s="114">
        <f>IF(ISNUMBER(SEARCH("toilet",'01_MASTER_DATABASE'!C61)), "Khóa đơn điểm", "Khóa đa điểm an toàn")</f>
        <v/>
      </c>
      <c r="F64" s="114" t="inlineStr">
        <is>
          <t>Đồng bộ theo hãng phụ kiện</t>
        </is>
      </c>
      <c r="G64" s="114">
        <f>IF(ISNUMBER(SEARCH("bản lề ẩn",'01_MASTER_DATABASE'!Q61)), "Bản lề ẩn cao cấp", "Bản lề nổi tiêu chuẩn")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IF(ISNUMBER(SEARCH("rãnh C",'01_MASTER_DATABASE'!I62)), "Rãnh C Tiêu Chuẩn Châu Âu", "Rãnh 22 Truyền Thống")</f>
        <v/>
      </c>
      <c r="D65" s="114">
        <f>'01_MASTER_DATABASE'!Q62</f>
        <v/>
      </c>
      <c r="E65" s="114">
        <f>IF(ISNUMBER(SEARCH("toilet",'01_MASTER_DATABASE'!C62)), "Khóa đơn điểm", "Khóa đa điểm an toàn")</f>
        <v/>
      </c>
      <c r="F65" s="114" t="inlineStr">
        <is>
          <t>Đồng bộ theo hãng phụ kiện</t>
        </is>
      </c>
      <c r="G65" s="114">
        <f>IF(ISNUMBER(SEARCH("bản lề ẩn",'01_MASTER_DATABASE'!Q62)), "Bản lề ẩn cao cấp", "Bản lề nổi tiêu chuẩn")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IF(ISNUMBER(SEARCH("rãnh C",'01_MASTER_DATABASE'!I63)), "Rãnh C Tiêu Chuẩn Châu Âu", "Rãnh 22 Truyền Thống")</f>
        <v/>
      </c>
      <c r="D66" s="114">
        <f>'01_MASTER_DATABASE'!Q63</f>
        <v/>
      </c>
      <c r="E66" s="114">
        <f>IF(ISNUMBER(SEARCH("toilet",'01_MASTER_DATABASE'!C63)), "Khóa đơn điểm", "Khóa đa điểm an toàn")</f>
        <v/>
      </c>
      <c r="F66" s="114" t="inlineStr">
        <is>
          <t>Đồng bộ theo hãng phụ kiện</t>
        </is>
      </c>
      <c r="G66" s="114">
        <f>IF(ISNUMBER(SEARCH("bản lề ẩn",'01_MASTER_DATABASE'!Q63)), "Bản lề ẩn cao cấp", "Bản lề nổi tiêu chuẩn")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IF(ISNUMBER(SEARCH("rãnh C",'01_MASTER_DATABASE'!I64)), "Rãnh C Tiêu Chuẩn Châu Âu", "Rãnh 22 Truyền Thống")</f>
        <v/>
      </c>
      <c r="D67" s="114">
        <f>'01_MASTER_DATABASE'!Q64</f>
        <v/>
      </c>
      <c r="E67" s="114">
        <f>IF(ISNUMBER(SEARCH("toilet",'01_MASTER_DATABASE'!C64)), "Khóa đơn điểm", "Khóa đa điểm an toàn")</f>
        <v/>
      </c>
      <c r="F67" s="114" t="inlineStr">
        <is>
          <t>Đồng bộ theo hãng phụ kiện</t>
        </is>
      </c>
      <c r="G67" s="114">
        <f>IF(ISNUMBER(SEARCH("bản lề ẩn",'01_MASTER_DATABASE'!Q64)), "Bản lề ẩn cao cấp", "Bản lề nổi tiêu chuẩn")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IF(ISNUMBER(SEARCH("rãnh C",'01_MASTER_DATABASE'!I65)), "Rãnh C Tiêu Chuẩn Châu Âu", "Rãnh 22 Truyền Thống")</f>
        <v/>
      </c>
      <c r="D68" s="114">
        <f>'01_MASTER_DATABASE'!Q65</f>
        <v/>
      </c>
      <c r="E68" s="114">
        <f>IF(ISNUMBER(SEARCH("toilet",'01_MASTER_DATABASE'!C65)), "Khóa đơn điểm", "Khóa đa điểm an toàn")</f>
        <v/>
      </c>
      <c r="F68" s="114" t="inlineStr">
        <is>
          <t>Đồng bộ theo hãng phụ kiện</t>
        </is>
      </c>
      <c r="G68" s="114">
        <f>IF(ISNUMBER(SEARCH("bản lề ẩn",'01_MASTER_DATABASE'!Q65)), "Bản lề ẩn cao cấp", "Bản lề nổi tiêu chuẩn")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IF(ISNUMBER(SEARCH("rãnh C",'01_MASTER_DATABASE'!I66)), "Rãnh C Tiêu Chuẩn Châu Âu", "Rãnh 22 Truyền Thống")</f>
        <v/>
      </c>
      <c r="D69" s="114">
        <f>'01_MASTER_DATABASE'!Q66</f>
        <v/>
      </c>
      <c r="E69" s="114">
        <f>IF(ISNUMBER(SEARCH("toilet",'01_MASTER_DATABASE'!C66)), "Khóa đơn điểm", "Khóa đa điểm an toàn")</f>
        <v/>
      </c>
      <c r="F69" s="114" t="inlineStr">
        <is>
          <t>Đồng bộ theo hãng phụ kiện</t>
        </is>
      </c>
      <c r="G69" s="114">
        <f>IF(ISNUMBER(SEARCH("bản lề ẩn",'01_MASTER_DATABASE'!Q66)), "Bản lề ẩn cao cấp", "Bản lề nổi tiêu chuẩn")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IF(ISNUMBER(SEARCH("rãnh C",'01_MASTER_DATABASE'!I67)), "Rãnh C Tiêu Chuẩn Châu Âu", "Rãnh 22 Truyền Thống")</f>
        <v/>
      </c>
      <c r="D70" s="114">
        <f>'01_MASTER_DATABASE'!Q67</f>
        <v/>
      </c>
      <c r="E70" s="114">
        <f>IF(ISNUMBER(SEARCH("toilet",'01_MASTER_DATABASE'!C67)), "Khóa đơn điểm", "Khóa đa điểm an toàn")</f>
        <v/>
      </c>
      <c r="F70" s="114" t="inlineStr">
        <is>
          <t>Đồng bộ theo hãng phụ kiện</t>
        </is>
      </c>
      <c r="G70" s="114">
        <f>IF(ISNUMBER(SEARCH("bản lề ẩn",'01_MASTER_DATABASE'!Q67)), "Bản lề ẩn cao cấp", "Bản lề nổi tiêu chuẩn")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IF(ISNUMBER(SEARCH("rãnh C",'01_MASTER_DATABASE'!I68)), "Rãnh C Tiêu Chuẩn Châu Âu", "Rãnh 22 Truyền Thống")</f>
        <v/>
      </c>
      <c r="D71" s="114">
        <f>'01_MASTER_DATABASE'!Q68</f>
        <v/>
      </c>
      <c r="E71" s="114">
        <f>IF(ISNUMBER(SEARCH("toilet",'01_MASTER_DATABASE'!C68)), "Khóa đơn điểm", "Khóa đa điểm an toàn")</f>
        <v/>
      </c>
      <c r="F71" s="114" t="inlineStr">
        <is>
          <t>Đồng bộ theo hãng phụ kiện</t>
        </is>
      </c>
      <c r="G71" s="114">
        <f>IF(ISNUMBER(SEARCH("bản lề ẩn",'01_MASTER_DATABASE'!Q68)), "Bản lề ẩn cao cấp", "Bản lề nổi tiêu chuẩn")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IF(ISNUMBER(SEARCH("rãnh C",'01_MASTER_DATABASE'!I69)), "Rãnh C Tiêu Chuẩn Châu Âu", "Rãnh 22 Truyền Thống")</f>
        <v/>
      </c>
      <c r="D72" s="114">
        <f>'01_MASTER_DATABASE'!Q69</f>
        <v/>
      </c>
      <c r="E72" s="114">
        <f>IF(ISNUMBER(SEARCH("toilet",'01_MASTER_DATABASE'!C69)), "Khóa đơn điểm", "Khóa đa điểm an toàn")</f>
        <v/>
      </c>
      <c r="F72" s="114" t="inlineStr">
        <is>
          <t>Đồng bộ theo hãng phụ kiện</t>
        </is>
      </c>
      <c r="G72" s="114">
        <f>IF(ISNUMBER(SEARCH("bản lề ẩn",'01_MASTER_DATABASE'!Q69)), "Bản lề ẩn cao cấp", "Bản lề nổi tiêu chuẩn")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IF(ISNUMBER(SEARCH("rãnh C",'01_MASTER_DATABASE'!I70)), "Rãnh C Tiêu Chuẩn Châu Âu", "Rãnh 22 Truyền Thống")</f>
        <v/>
      </c>
      <c r="D73" s="114">
        <f>'01_MASTER_DATABASE'!Q70</f>
        <v/>
      </c>
      <c r="E73" s="114">
        <f>IF(ISNUMBER(SEARCH("toilet",'01_MASTER_DATABASE'!C70)), "Khóa đơn điểm", "Khóa đa điểm an toàn")</f>
        <v/>
      </c>
      <c r="F73" s="114" t="inlineStr">
        <is>
          <t>Đồng bộ theo hãng phụ kiện</t>
        </is>
      </c>
      <c r="G73" s="114">
        <f>IF(ISNUMBER(SEARCH("bản lề ẩn",'01_MASTER_DATABASE'!Q70)), "Bản lề ẩn cao cấp", "Bản lề nổi tiêu chuẩn")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IF(ISNUMBER(SEARCH("rãnh C",'01_MASTER_DATABASE'!I71)), "Rãnh C Tiêu Chuẩn Châu Âu", "Rãnh 22 Truyền Thống")</f>
        <v/>
      </c>
      <c r="D74" s="114">
        <f>'01_MASTER_DATABASE'!Q71</f>
        <v/>
      </c>
      <c r="E74" s="114">
        <f>IF(ISNUMBER(SEARCH("toilet",'01_MASTER_DATABASE'!C71)), "Khóa đơn điểm", "Khóa đa điểm an toàn")</f>
        <v/>
      </c>
      <c r="F74" s="114" t="inlineStr">
        <is>
          <t>Đồng bộ theo hãng phụ kiện</t>
        </is>
      </c>
      <c r="G74" s="114">
        <f>IF(ISNUMBER(SEARCH("bản lề ẩn",'01_MASTER_DATABASE'!Q71)), "Bản lề ẩn cao cấp", "Bản lề nổi tiêu chuẩn")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IF(ISNUMBER(SEARCH("rãnh C",'01_MASTER_DATABASE'!I72)), "Rãnh C Tiêu Chuẩn Châu Âu", "Rãnh 22 Truyền Thống")</f>
        <v/>
      </c>
      <c r="D75" s="114">
        <f>'01_MASTER_DATABASE'!Q72</f>
        <v/>
      </c>
      <c r="E75" s="114">
        <f>IF(ISNUMBER(SEARCH("toilet",'01_MASTER_DATABASE'!C72)), "Khóa đơn điểm", "Khóa đa điểm an toàn")</f>
        <v/>
      </c>
      <c r="F75" s="114" t="inlineStr">
        <is>
          <t>Đồng bộ theo hãng phụ kiện</t>
        </is>
      </c>
      <c r="G75" s="114">
        <f>IF(ISNUMBER(SEARCH("bản lề ẩn",'01_MASTER_DATABASE'!Q72)), "Bản lề ẩn cao cấp", "Bản lề nổi tiêu chuẩn")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IF(ISNUMBER(SEARCH("rãnh C",'01_MASTER_DATABASE'!I73)), "Rãnh C Tiêu Chuẩn Châu Âu", "Rãnh 22 Truyền Thống")</f>
        <v/>
      </c>
      <c r="D76" s="114">
        <f>'01_MASTER_DATABASE'!Q73</f>
        <v/>
      </c>
      <c r="E76" s="114">
        <f>IF(ISNUMBER(SEARCH("toilet",'01_MASTER_DATABASE'!C73)), "Khóa đơn điểm", "Khóa đa điểm an toàn")</f>
        <v/>
      </c>
      <c r="F76" s="114" t="inlineStr">
        <is>
          <t>Đồng bộ theo hãng phụ kiện</t>
        </is>
      </c>
      <c r="G76" s="114">
        <f>IF(ISNUMBER(SEARCH("bản lề ẩn",'01_MASTER_DATABASE'!Q73)), "Bản lề ẩn cao cấp", "Bản lề nổi tiêu chuẩn")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IF(ISNUMBER(SEARCH("rãnh C",'01_MASTER_DATABASE'!I74)), "Rãnh C Tiêu Chuẩn Châu Âu", "Rãnh 22 Truyền Thống")</f>
        <v/>
      </c>
      <c r="D77" s="114">
        <f>'01_MASTER_DATABASE'!Q74</f>
        <v/>
      </c>
      <c r="E77" s="114">
        <f>IF(ISNUMBER(SEARCH("toilet",'01_MASTER_DATABASE'!C74)), "Khóa đơn điểm", "Khóa đa điểm an toàn")</f>
        <v/>
      </c>
      <c r="F77" s="114" t="inlineStr">
        <is>
          <t>Đồng bộ theo hãng phụ kiện</t>
        </is>
      </c>
      <c r="G77" s="114">
        <f>IF(ISNUMBER(SEARCH("bản lề ẩn",'01_MASTER_DATABASE'!Q74)), "Bản lề ẩn cao cấp", "Bản lề nổi tiêu chuẩn")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IF(ISNUMBER(SEARCH("rãnh C",'01_MASTER_DATABASE'!I75)), "Rãnh C Tiêu Chuẩn Châu Âu", "Rãnh 22 Truyền Thống")</f>
        <v/>
      </c>
      <c r="D78" s="114">
        <f>'01_MASTER_DATABASE'!Q75</f>
        <v/>
      </c>
      <c r="E78" s="114">
        <f>IF(ISNUMBER(SEARCH("toilet",'01_MASTER_DATABASE'!C75)), "Khóa đơn điểm", "Khóa đa điểm an toàn")</f>
        <v/>
      </c>
      <c r="F78" s="114" t="inlineStr">
        <is>
          <t>Đồng bộ theo hãng phụ kiện</t>
        </is>
      </c>
      <c r="G78" s="114">
        <f>IF(ISNUMBER(SEARCH("bản lề ẩn",'01_MASTER_DATABASE'!Q75)), "Bản lề ẩn cao cấp", "Bản lề nổi tiêu chuẩn")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IF(ISNUMBER(SEARCH("rãnh C",'01_MASTER_DATABASE'!I76)), "Rãnh C Tiêu Chuẩn Châu Âu", "Rãnh 22 Truyền Thống")</f>
        <v/>
      </c>
      <c r="D79" s="114">
        <f>'01_MASTER_DATABASE'!Q76</f>
        <v/>
      </c>
      <c r="E79" s="114">
        <f>IF(ISNUMBER(SEARCH("toilet",'01_MASTER_DATABASE'!C76)), "Khóa đơn điểm", "Khóa đa điểm an toàn")</f>
        <v/>
      </c>
      <c r="F79" s="114" t="inlineStr">
        <is>
          <t>Đồng bộ theo hãng phụ kiện</t>
        </is>
      </c>
      <c r="G79" s="114">
        <f>IF(ISNUMBER(SEARCH("bản lề ẩn",'01_MASTER_DATABASE'!Q76)), "Bản lề ẩn cao cấp", "Bản lề nổi tiêu chuẩn")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IF(ISNUMBER(SEARCH("rãnh C",'01_MASTER_DATABASE'!I77)), "Rãnh C Tiêu Chuẩn Châu Âu", "Rãnh 22 Truyền Thống")</f>
        <v/>
      </c>
      <c r="D80" s="114">
        <f>'01_MASTER_DATABASE'!Q77</f>
        <v/>
      </c>
      <c r="E80" s="114">
        <f>IF(ISNUMBER(SEARCH("toilet",'01_MASTER_DATABASE'!C77)), "Khóa đơn điểm", "Khóa đa điểm an toàn")</f>
        <v/>
      </c>
      <c r="F80" s="114" t="inlineStr">
        <is>
          <t>Đồng bộ theo hãng phụ kiện</t>
        </is>
      </c>
      <c r="G80" s="114">
        <f>IF(ISNUMBER(SEARCH("bản lề ẩn",'01_MASTER_DATABASE'!Q77)), "Bản lề ẩn cao cấp", "Bản lề nổi tiêu chuẩn")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IF(ISNUMBER(SEARCH("rãnh C",'01_MASTER_DATABASE'!I78)), "Rãnh C Tiêu Chuẩn Châu Âu", "Rãnh 22 Truyền Thống")</f>
        <v/>
      </c>
      <c r="D81" s="114">
        <f>'01_MASTER_DATABASE'!Q78</f>
        <v/>
      </c>
      <c r="E81" s="114">
        <f>IF(ISNUMBER(SEARCH("toilet",'01_MASTER_DATABASE'!C78)), "Khóa đơn điểm", "Khóa đa điểm an toàn")</f>
        <v/>
      </c>
      <c r="F81" s="114" t="inlineStr">
        <is>
          <t>Đồng bộ theo hãng phụ kiện</t>
        </is>
      </c>
      <c r="G81" s="114">
        <f>IF(ISNUMBER(SEARCH("bản lề ẩn",'01_MASTER_DATABASE'!Q78)), "Bản lề ẩn cao cấp", "Bản lề nổi tiêu chuẩn")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IF(ISNUMBER(SEARCH("rãnh C",'01_MASTER_DATABASE'!I79)), "Rãnh C Tiêu Chuẩn Châu Âu", "Rãnh 22 Truyền Thống")</f>
        <v/>
      </c>
      <c r="D82" s="114">
        <f>'01_MASTER_DATABASE'!Q79</f>
        <v/>
      </c>
      <c r="E82" s="114">
        <f>IF(ISNUMBER(SEARCH("toilet",'01_MASTER_DATABASE'!C79)), "Khóa đơn điểm", "Khóa đa điểm an toàn")</f>
        <v/>
      </c>
      <c r="F82" s="114" t="inlineStr">
        <is>
          <t>Đồng bộ theo hãng phụ kiện</t>
        </is>
      </c>
      <c r="G82" s="114">
        <f>IF(ISNUMBER(SEARCH("bản lề ẩn",'01_MASTER_DATABASE'!Q79)), "Bản lề ẩn cao cấp", "Bản lề nổi tiêu chuẩn")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IF(ISNUMBER(SEARCH("rãnh C",'01_MASTER_DATABASE'!I80)), "Rãnh C Tiêu Chuẩn Châu Âu", "Rãnh 22 Truyền Thống")</f>
        <v/>
      </c>
      <c r="D83" s="114">
        <f>'01_MASTER_DATABASE'!Q80</f>
        <v/>
      </c>
      <c r="E83" s="114">
        <f>IF(ISNUMBER(SEARCH("toilet",'01_MASTER_DATABASE'!C80)), "Khóa đơn điểm", "Khóa đa điểm an toàn")</f>
        <v/>
      </c>
      <c r="F83" s="114" t="inlineStr">
        <is>
          <t>Đồng bộ theo hãng phụ kiện</t>
        </is>
      </c>
      <c r="G83" s="114">
        <f>IF(ISNUMBER(SEARCH("bản lề ẩn",'01_MASTER_DATABASE'!Q80)), "Bản lề ẩn cao cấp", "Bản lề nổi tiêu chuẩn")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IF(ISNUMBER(SEARCH("rãnh C",'01_MASTER_DATABASE'!I81)), "Rãnh C Tiêu Chuẩn Châu Âu", "Rãnh 22 Truyền Thống")</f>
        <v/>
      </c>
      <c r="D84" s="114">
        <f>'01_MASTER_DATABASE'!Q81</f>
        <v/>
      </c>
      <c r="E84" s="114">
        <f>IF(ISNUMBER(SEARCH("toilet",'01_MASTER_DATABASE'!C81)), "Khóa đơn điểm", "Khóa đa điểm an toàn")</f>
        <v/>
      </c>
      <c r="F84" s="114" t="inlineStr">
        <is>
          <t>Đồng bộ theo hãng phụ kiện</t>
        </is>
      </c>
      <c r="G84" s="114">
        <f>IF(ISNUMBER(SEARCH("bản lề ẩn",'01_MASTER_DATABASE'!Q81)), "Bản lề ẩn cao cấp", "Bản lề nổi tiêu chuẩn")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IF(ISNUMBER(SEARCH("rãnh C",'01_MASTER_DATABASE'!I82)), "Rãnh C Tiêu Chuẩn Châu Âu", "Rãnh 22 Truyền Thống")</f>
        <v/>
      </c>
      <c r="D85" s="114">
        <f>'01_MASTER_DATABASE'!Q82</f>
        <v/>
      </c>
      <c r="E85" s="114">
        <f>IF(ISNUMBER(SEARCH("toilet",'01_MASTER_DATABASE'!C82)), "Khóa đơn điểm", "Khóa đa điểm an toàn")</f>
        <v/>
      </c>
      <c r="F85" s="114" t="inlineStr">
        <is>
          <t>Đồng bộ theo hãng phụ kiện</t>
        </is>
      </c>
      <c r="G85" s="114">
        <f>IF(ISNUMBER(SEARCH("bản lề ẩn",'01_MASTER_DATABASE'!Q82)), "Bản lề ẩn cao cấp", "Bản lề nổi tiêu chuẩn")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IF(ISNUMBER(SEARCH("rãnh C",'01_MASTER_DATABASE'!I83)), "Rãnh C Tiêu Chuẩn Châu Âu", "Rãnh 22 Truyền Thống")</f>
        <v/>
      </c>
      <c r="D86" s="114">
        <f>'01_MASTER_DATABASE'!Q83</f>
        <v/>
      </c>
      <c r="E86" s="114">
        <f>IF(ISNUMBER(SEARCH("toilet",'01_MASTER_DATABASE'!C83)), "Khóa đơn điểm", "Khóa đa điểm an toàn")</f>
        <v/>
      </c>
      <c r="F86" s="114" t="inlineStr">
        <is>
          <t>Đồng bộ theo hãng phụ kiện</t>
        </is>
      </c>
      <c r="G86" s="114">
        <f>IF(ISNUMBER(SEARCH("bản lề ẩn",'01_MASTER_DATABASE'!Q83)), "Bản lề ẩn cao cấp", "Bản lề nổi tiêu chuẩn")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IF(ISNUMBER(SEARCH("rãnh C",'01_MASTER_DATABASE'!I84)), "Rãnh C Tiêu Chuẩn Châu Âu", "Rãnh 22 Truyền Thống")</f>
        <v/>
      </c>
      <c r="D87" s="114">
        <f>'01_MASTER_DATABASE'!Q84</f>
        <v/>
      </c>
      <c r="E87" s="114">
        <f>IF(ISNUMBER(SEARCH("toilet",'01_MASTER_DATABASE'!C84)), "Khóa đơn điểm", "Khóa đa điểm an toàn")</f>
        <v/>
      </c>
      <c r="F87" s="114" t="inlineStr">
        <is>
          <t>Đồng bộ theo hãng phụ kiện</t>
        </is>
      </c>
      <c r="G87" s="114">
        <f>IF(ISNUMBER(SEARCH("bản lề ẩn",'01_MASTER_DATABASE'!Q84)), "Bản lề ẩn cao cấp", "Bản lề nổi tiêu chuẩn")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IF(ISNUMBER(SEARCH("rãnh C",'01_MASTER_DATABASE'!I85)), "Rãnh C Tiêu Chuẩn Châu Âu", "Rãnh 22 Truyền Thống")</f>
        <v/>
      </c>
      <c r="D88" s="114">
        <f>'01_MASTER_DATABASE'!Q85</f>
        <v/>
      </c>
      <c r="E88" s="114">
        <f>IF(ISNUMBER(SEARCH("toilet",'01_MASTER_DATABASE'!C85)), "Khóa đơn điểm", "Khóa đa điểm an toàn")</f>
        <v/>
      </c>
      <c r="F88" s="114" t="inlineStr">
        <is>
          <t>Đồng bộ theo hãng phụ kiện</t>
        </is>
      </c>
      <c r="G88" s="114">
        <f>IF(ISNUMBER(SEARCH("bản lề ẩn",'01_MASTER_DATABASE'!Q85)), "Bản lề ẩn cao cấp", "Bản lề nổi tiêu chuẩn")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IF(ISNUMBER(SEARCH("rãnh C",'01_MASTER_DATABASE'!I86)), "Rãnh C Tiêu Chuẩn Châu Âu", "Rãnh 22 Truyền Thống")</f>
        <v/>
      </c>
      <c r="D89" s="114">
        <f>'01_MASTER_DATABASE'!Q86</f>
        <v/>
      </c>
      <c r="E89" s="114">
        <f>IF(ISNUMBER(SEARCH("toilet",'01_MASTER_DATABASE'!C86)), "Khóa đơn điểm", "Khóa đa điểm an toàn")</f>
        <v/>
      </c>
      <c r="F89" s="114" t="inlineStr">
        <is>
          <t>Đồng bộ theo hãng phụ kiện</t>
        </is>
      </c>
      <c r="G89" s="114">
        <f>IF(ISNUMBER(SEARCH("bản lề ẩn",'01_MASTER_DATABASE'!Q86)), "Bản lề ẩn cao cấp", "Bản lề nổi tiêu chuẩn")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IF(ISNUMBER(SEARCH("rãnh C",'01_MASTER_DATABASE'!I87)), "Rãnh C Tiêu Chuẩn Châu Âu", "Rãnh 22 Truyền Thống")</f>
        <v/>
      </c>
      <c r="D90" s="114">
        <f>'01_MASTER_DATABASE'!Q87</f>
        <v/>
      </c>
      <c r="E90" s="114">
        <f>IF(ISNUMBER(SEARCH("toilet",'01_MASTER_DATABASE'!C87)), "Khóa đơn điểm", "Khóa đa điểm an toàn")</f>
        <v/>
      </c>
      <c r="F90" s="114" t="inlineStr">
        <is>
          <t>Đồng bộ theo hãng phụ kiện</t>
        </is>
      </c>
      <c r="G90" s="114">
        <f>IF(ISNUMBER(SEARCH("bản lề ẩn",'01_MASTER_DATABASE'!Q87)), "Bản lề ẩn cao cấp", "Bản lề nổi tiêu chuẩn")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IF(ISNUMBER(SEARCH("rãnh C",'01_MASTER_DATABASE'!I88)), "Rãnh C Tiêu Chuẩn Châu Âu", "Rãnh 22 Truyền Thống")</f>
        <v/>
      </c>
      <c r="D91" s="114">
        <f>'01_MASTER_DATABASE'!Q88</f>
        <v/>
      </c>
      <c r="E91" s="114">
        <f>IF(ISNUMBER(SEARCH("toilet",'01_MASTER_DATABASE'!C88)), "Khóa đơn điểm", "Khóa đa điểm an toàn")</f>
        <v/>
      </c>
      <c r="F91" s="114" t="inlineStr">
        <is>
          <t>Đồng bộ theo hãng phụ kiện</t>
        </is>
      </c>
      <c r="G91" s="114">
        <f>IF(ISNUMBER(SEARCH("bản lề ẩn",'01_MASTER_DATABASE'!Q88)), "Bản lề ẩn cao cấp", "Bản lề nổi tiêu chuẩn")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IF(ISNUMBER(SEARCH("rãnh C",'01_MASTER_DATABASE'!I89)), "Rãnh C Tiêu Chuẩn Châu Âu", "Rãnh 22 Truyền Thống")</f>
        <v/>
      </c>
      <c r="D92" s="114">
        <f>'01_MASTER_DATABASE'!Q89</f>
        <v/>
      </c>
      <c r="E92" s="114">
        <f>IF(ISNUMBER(SEARCH("toilet",'01_MASTER_DATABASE'!C89)), "Khóa đơn điểm", "Khóa đa điểm an toàn")</f>
        <v/>
      </c>
      <c r="F92" s="114" t="inlineStr">
        <is>
          <t>Đồng bộ theo hãng phụ kiện</t>
        </is>
      </c>
      <c r="G92" s="114">
        <f>IF(ISNUMBER(SEARCH("bản lề ẩn",'01_MASTER_DATABASE'!Q89)), "Bản lề ẩn cao cấp", "Bản lề nổi tiêu chuẩn")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IF(ISNUMBER(SEARCH("rãnh C",'01_MASTER_DATABASE'!I90)), "Rãnh C Tiêu Chuẩn Châu Âu", "Rãnh 22 Truyền Thống")</f>
        <v/>
      </c>
      <c r="D93" s="114">
        <f>'01_MASTER_DATABASE'!Q90</f>
        <v/>
      </c>
      <c r="E93" s="114">
        <f>IF(ISNUMBER(SEARCH("toilet",'01_MASTER_DATABASE'!C90)), "Khóa đơn điểm", "Khóa đa điểm an toàn")</f>
        <v/>
      </c>
      <c r="F93" s="114" t="inlineStr">
        <is>
          <t>Đồng bộ theo hãng phụ kiện</t>
        </is>
      </c>
      <c r="G93" s="114">
        <f>IF(ISNUMBER(SEARCH("bản lề ẩn",'01_MASTER_DATABASE'!Q90)), "Bản lề ẩn cao cấp", "Bản lề nổi tiêu chuẩn")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IF(ISNUMBER(SEARCH("rãnh C",'01_MASTER_DATABASE'!I91)), "Rãnh C Tiêu Chuẩn Châu Âu", "Rãnh 22 Truyền Thống")</f>
        <v/>
      </c>
      <c r="D94" s="114">
        <f>'01_MASTER_DATABASE'!Q91</f>
        <v/>
      </c>
      <c r="E94" s="114">
        <f>IF(ISNUMBER(SEARCH("toilet",'01_MASTER_DATABASE'!C91)), "Khóa đơn điểm", "Khóa đa điểm an toàn")</f>
        <v/>
      </c>
      <c r="F94" s="114" t="inlineStr">
        <is>
          <t>Đồng bộ theo hãng phụ kiện</t>
        </is>
      </c>
      <c r="G94" s="114">
        <f>IF(ISNUMBER(SEARCH("bản lề ẩn",'01_MASTER_DATABASE'!Q91)), "Bản lề ẩn cao cấp", "Bản lề nổi tiêu chuẩn")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IF(ISNUMBER(SEARCH("rãnh C",'01_MASTER_DATABASE'!I92)), "Rãnh C Tiêu Chuẩn Châu Âu", "Rãnh 22 Truyền Thống")</f>
        <v/>
      </c>
      <c r="D95" s="114">
        <f>'01_MASTER_DATABASE'!Q92</f>
        <v/>
      </c>
      <c r="E95" s="114">
        <f>IF(ISNUMBER(SEARCH("toilet",'01_MASTER_DATABASE'!C92)), "Khóa đơn điểm", "Khóa đa điểm an toàn")</f>
        <v/>
      </c>
      <c r="F95" s="114" t="inlineStr">
        <is>
          <t>Đồng bộ theo hãng phụ kiện</t>
        </is>
      </c>
      <c r="G95" s="114">
        <f>IF(ISNUMBER(SEARCH("bản lề ẩn",'01_MASTER_DATABASE'!Q92)), "Bản lề ẩn cao cấp", "Bản lề nổi tiêu chuẩn")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IF(ISNUMBER(SEARCH("rãnh C",'01_MASTER_DATABASE'!I93)), "Rãnh C Tiêu Chuẩn Châu Âu", "Rãnh 22 Truyền Thống")</f>
        <v/>
      </c>
      <c r="D96" s="114">
        <f>'01_MASTER_DATABASE'!Q93</f>
        <v/>
      </c>
      <c r="E96" s="114">
        <f>IF(ISNUMBER(SEARCH("toilet",'01_MASTER_DATABASE'!C93)), "Khóa đơn điểm", "Khóa đa điểm an toàn")</f>
        <v/>
      </c>
      <c r="F96" s="114" t="inlineStr">
        <is>
          <t>Đồng bộ theo hãng phụ kiện</t>
        </is>
      </c>
      <c r="G96" s="114">
        <f>IF(ISNUMBER(SEARCH("bản lề ẩn",'01_MASTER_DATABASE'!Q93)), "Bản lề ẩn cao cấp", "Bản lề nổi tiêu chuẩn")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IF(ISNUMBER(SEARCH("rãnh C",'01_MASTER_DATABASE'!I94)), "Rãnh C Tiêu Chuẩn Châu Âu", "Rãnh 22 Truyền Thống")</f>
        <v/>
      </c>
      <c r="D97" s="114">
        <f>'01_MASTER_DATABASE'!Q94</f>
        <v/>
      </c>
      <c r="E97" s="114">
        <f>IF(ISNUMBER(SEARCH("toilet",'01_MASTER_DATABASE'!C94)), "Khóa đơn điểm", "Khóa đa điểm an toàn")</f>
        <v/>
      </c>
      <c r="F97" s="114" t="inlineStr">
        <is>
          <t>Đồng bộ theo hãng phụ kiện</t>
        </is>
      </c>
      <c r="G97" s="114">
        <f>IF(ISNUMBER(SEARCH("bản lề ẩn",'01_MASTER_DATABASE'!Q94)), "Bản lề ẩn cao cấp", "Bản lề nổi tiêu chuẩn")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IF(ISNUMBER(SEARCH("rãnh C",'01_MASTER_DATABASE'!I95)), "Rãnh C Tiêu Chuẩn Châu Âu", "Rãnh 22 Truyền Thống")</f>
        <v/>
      </c>
      <c r="D98" s="114">
        <f>'01_MASTER_DATABASE'!Q95</f>
        <v/>
      </c>
      <c r="E98" s="114">
        <f>IF(ISNUMBER(SEARCH("toilet",'01_MASTER_DATABASE'!C95)), "Khóa đơn điểm", "Khóa đa điểm an toàn")</f>
        <v/>
      </c>
      <c r="F98" s="114" t="inlineStr">
        <is>
          <t>Đồng bộ theo hãng phụ kiện</t>
        </is>
      </c>
      <c r="G98" s="114">
        <f>IF(ISNUMBER(SEARCH("bản lề ẩn",'01_MASTER_DATABASE'!Q95)), "Bản lề ẩn cao cấp", "Bản lề nổi tiêu chuẩn")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IF(ISNUMBER(SEARCH("rãnh C",'01_MASTER_DATABASE'!I96)), "Rãnh C Tiêu Chuẩn Châu Âu", "Rãnh 22 Truyền Thống")</f>
        <v/>
      </c>
      <c r="D99" s="114">
        <f>'01_MASTER_DATABASE'!Q96</f>
        <v/>
      </c>
      <c r="E99" s="114">
        <f>IF(ISNUMBER(SEARCH("toilet",'01_MASTER_DATABASE'!C96)), "Khóa đơn điểm", "Khóa đa điểm an toàn")</f>
        <v/>
      </c>
      <c r="F99" s="114" t="inlineStr">
        <is>
          <t>Đồng bộ theo hãng phụ kiện</t>
        </is>
      </c>
      <c r="G99" s="114">
        <f>IF(ISNUMBER(SEARCH("bản lề ẩn",'01_MASTER_DATABASE'!Q96)), "Bản lề ẩn cao cấp", "Bản lề nổi tiêu chuẩn")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IF(ISNUMBER(SEARCH("rãnh C",'01_MASTER_DATABASE'!I97)), "Rãnh C Tiêu Chuẩn Châu Âu", "Rãnh 22 Truyền Thống")</f>
        <v/>
      </c>
      <c r="D100" s="114">
        <f>'01_MASTER_DATABASE'!Q97</f>
        <v/>
      </c>
      <c r="E100" s="114">
        <f>IF(ISNUMBER(SEARCH("toilet",'01_MASTER_DATABASE'!C97)), "Khóa đơn điểm", "Khóa đa điểm an toàn")</f>
        <v/>
      </c>
      <c r="F100" s="114" t="inlineStr">
        <is>
          <t>Đồng bộ theo hãng phụ kiện</t>
        </is>
      </c>
      <c r="G100" s="114">
        <f>IF(ISNUMBER(SEARCH("bản lề ẩn",'01_MASTER_DATABASE'!Q97)), "Bản lề ẩn cao cấp", "Bản lề nổi tiêu chuẩn")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IF(ISNUMBER(SEARCH("rãnh C",'01_MASTER_DATABASE'!I98)), "Rãnh C Tiêu Chuẩn Châu Âu", "Rãnh 22 Truyền Thống")</f>
        <v/>
      </c>
      <c r="D101" s="114">
        <f>'01_MASTER_DATABASE'!Q98</f>
        <v/>
      </c>
      <c r="E101" s="114">
        <f>IF(ISNUMBER(SEARCH("toilet",'01_MASTER_DATABASE'!C98)), "Khóa đơn điểm", "Khóa đa điểm an toàn")</f>
        <v/>
      </c>
      <c r="F101" s="114" t="inlineStr">
        <is>
          <t>Đồng bộ theo hãng phụ kiện</t>
        </is>
      </c>
      <c r="G101" s="114">
        <f>IF(ISNUMBER(SEARCH("bản lề ẩn",'01_MASTER_DATABASE'!Q98)), "Bản lề ẩn cao cấp", "Bản lề nổi tiêu chuẩn")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IF(ISNUMBER(SEARCH("rãnh C",'01_MASTER_DATABASE'!I99)), "Rãnh C Tiêu Chuẩn Châu Âu", "Rãnh 22 Truyền Thống")</f>
        <v/>
      </c>
      <c r="D102" s="114">
        <f>'01_MASTER_DATABASE'!Q99</f>
        <v/>
      </c>
      <c r="E102" s="114">
        <f>IF(ISNUMBER(SEARCH("toilet",'01_MASTER_DATABASE'!C99)), "Khóa đơn điểm", "Khóa đa điểm an toàn")</f>
        <v/>
      </c>
      <c r="F102" s="114" t="inlineStr">
        <is>
          <t>Đồng bộ theo hãng phụ kiện</t>
        </is>
      </c>
      <c r="G102" s="114">
        <f>IF(ISNUMBER(SEARCH("bản lề ẩn",'01_MASTER_DATABASE'!Q99)), "Bản lề ẩn cao cấp", "Bản lề nổi tiêu chuẩn")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IF(ISNUMBER(SEARCH("rãnh C",'01_MASTER_DATABASE'!I100)), "Rãnh C Tiêu Chuẩn Châu Âu", "Rãnh 22 Truyền Thống")</f>
        <v/>
      </c>
      <c r="D103" s="114">
        <f>'01_MASTER_DATABASE'!Q100</f>
        <v/>
      </c>
      <c r="E103" s="114">
        <f>IF(ISNUMBER(SEARCH("toilet",'01_MASTER_DATABASE'!C100)), "Khóa đơn điểm", "Khóa đa điểm an toàn")</f>
        <v/>
      </c>
      <c r="F103" s="114" t="inlineStr">
        <is>
          <t>Đồng bộ theo hãng phụ kiện</t>
        </is>
      </c>
      <c r="G103" s="114">
        <f>IF(ISNUMBER(SEARCH("bản lề ẩn",'01_MASTER_DATABASE'!Q100)), "Bản lề ẩn cao cấp", "Bản lề nổi tiêu chuẩn")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IF(ISNUMBER(SEARCH("rãnh C",'01_MASTER_DATABASE'!I101)), "Rãnh C Tiêu Chuẩn Châu Âu", "Rãnh 22 Truyền Thống")</f>
        <v/>
      </c>
      <c r="D104" s="114">
        <f>'01_MASTER_DATABASE'!Q101</f>
        <v/>
      </c>
      <c r="E104" s="114">
        <f>IF(ISNUMBER(SEARCH("toilet",'01_MASTER_DATABASE'!C101)), "Khóa đơn điểm", "Khóa đa điểm an toàn")</f>
        <v/>
      </c>
      <c r="F104" s="114" t="inlineStr">
        <is>
          <t>Đồng bộ theo hãng phụ kiện</t>
        </is>
      </c>
      <c r="G104" s="114">
        <f>IF(ISNUMBER(SEARCH("bản lề ẩn",'01_MASTER_DATABASE'!Q101)), "Bản lề ẩn cao cấp", "Bản lề nổi tiêu chuẩn")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IF(ISNUMBER(SEARCH("rãnh C",'01_MASTER_DATABASE'!I102)), "Rãnh C Tiêu Chuẩn Châu Âu", "Rãnh 22 Truyền Thống")</f>
        <v/>
      </c>
      <c r="D105" s="114">
        <f>'01_MASTER_DATABASE'!Q102</f>
        <v/>
      </c>
      <c r="E105" s="114">
        <f>IF(ISNUMBER(SEARCH("toilet",'01_MASTER_DATABASE'!C102)), "Khóa đơn điểm", "Khóa đa điểm an toàn")</f>
        <v/>
      </c>
      <c r="F105" s="114" t="inlineStr">
        <is>
          <t>Đồng bộ theo hãng phụ kiện</t>
        </is>
      </c>
      <c r="G105" s="114">
        <f>IF(ISNUMBER(SEARCH("bản lề ẩn",'01_MASTER_DATABASE'!Q102)), "Bản lề ẩn cao cấp", "Bản lề nổi tiêu chuẩn")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IF(ISNUMBER(SEARCH("rãnh C",'01_MASTER_DATABASE'!I103)), "Rãnh C Tiêu Chuẩn Châu Âu", "Rãnh 22 Truyền Thống")</f>
        <v/>
      </c>
      <c r="D106" s="114">
        <f>'01_MASTER_DATABASE'!Q103</f>
        <v/>
      </c>
      <c r="E106" s="114">
        <f>IF(ISNUMBER(SEARCH("toilet",'01_MASTER_DATABASE'!C103)), "Khóa đơn điểm", "Khóa đa điểm an toàn")</f>
        <v/>
      </c>
      <c r="F106" s="114" t="inlineStr">
        <is>
          <t>Đồng bộ theo hãng phụ kiện</t>
        </is>
      </c>
      <c r="G106" s="114">
        <f>IF(ISNUMBER(SEARCH("bản lề ẩn",'01_MASTER_DATABASE'!Q103)), "Bản lề ẩn cao cấp", "Bản lề nổi tiêu chuẩn")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IF(ISNUMBER(SEARCH("rãnh C",'01_MASTER_DATABASE'!I104)), "Rãnh C Tiêu Chuẩn Châu Âu", "Rãnh 22 Truyền Thống")</f>
        <v/>
      </c>
      <c r="D107" s="114">
        <f>'01_MASTER_DATABASE'!Q104</f>
        <v/>
      </c>
      <c r="E107" s="114">
        <f>IF(ISNUMBER(SEARCH("toilet",'01_MASTER_DATABASE'!C104)), "Khóa đơn điểm", "Khóa đa điểm an toàn")</f>
        <v/>
      </c>
      <c r="F107" s="114" t="inlineStr">
        <is>
          <t>Đồng bộ theo hãng phụ kiện</t>
        </is>
      </c>
      <c r="G107" s="114">
        <f>IF(ISNUMBER(SEARCH("bản lề ẩn",'01_MASTER_DATABASE'!Q104)), "Bản lề ẩn cao cấp", "Bản lề nổi tiêu chuẩn")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IF(ISNUMBER(SEARCH("rãnh C",'01_MASTER_DATABASE'!I105)), "Rãnh C Tiêu Chuẩn Châu Âu", "Rãnh 22 Truyền Thống")</f>
        <v/>
      </c>
      <c r="D108" s="114">
        <f>'01_MASTER_DATABASE'!Q105</f>
        <v/>
      </c>
      <c r="E108" s="114">
        <f>IF(ISNUMBER(SEARCH("toilet",'01_MASTER_DATABASE'!C105)), "Khóa đơn điểm", "Khóa đa điểm an toàn")</f>
        <v/>
      </c>
      <c r="F108" s="114" t="inlineStr">
        <is>
          <t>Đồng bộ theo hãng phụ kiện</t>
        </is>
      </c>
      <c r="G108" s="114">
        <f>IF(ISNUMBER(SEARCH("bản lề ẩn",'01_MASTER_DATABASE'!Q105)), "Bản lề ẩn cao cấp", "Bản lề nổi tiêu chuẩn")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IF(ISNUMBER(SEARCH("rãnh C",'01_MASTER_DATABASE'!I106)), "Rãnh C Tiêu Chuẩn Châu Âu", "Rãnh 22 Truyền Thống")</f>
        <v/>
      </c>
      <c r="D109" s="114">
        <f>'01_MASTER_DATABASE'!Q106</f>
        <v/>
      </c>
      <c r="E109" s="114">
        <f>IF(ISNUMBER(SEARCH("toilet",'01_MASTER_DATABASE'!C106)), "Khóa đơn điểm", "Khóa đa điểm an toàn")</f>
        <v/>
      </c>
      <c r="F109" s="114" t="inlineStr">
        <is>
          <t>Đồng bộ theo hãng phụ kiện</t>
        </is>
      </c>
      <c r="G109" s="114">
        <f>IF(ISNUMBER(SEARCH("bản lề ẩn",'01_MASTER_DATABASE'!Q106)), "Bản lề ẩn cao cấp", "Bản lề nổi tiêu chuẩn")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IF(ISNUMBER(SEARCH("rãnh C",'01_MASTER_DATABASE'!I107)), "Rãnh C Tiêu Chuẩn Châu Âu", "Rãnh 22 Truyền Thống")</f>
        <v/>
      </c>
      <c r="D110" s="114">
        <f>'01_MASTER_DATABASE'!Q107</f>
        <v/>
      </c>
      <c r="E110" s="114">
        <f>IF(ISNUMBER(SEARCH("toilet",'01_MASTER_DATABASE'!C107)), "Khóa đơn điểm", "Khóa đa điểm an toàn")</f>
        <v/>
      </c>
      <c r="F110" s="114" t="inlineStr">
        <is>
          <t>Đồng bộ theo hãng phụ kiện</t>
        </is>
      </c>
      <c r="G110" s="114">
        <f>IF(ISNUMBER(SEARCH("bản lề ẩn",'01_MASTER_DATABASE'!Q107)), "Bản lề ẩn cao cấp", "Bản lề nổi tiêu chuẩn")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IF(ISNUMBER(SEARCH("rãnh C",'01_MASTER_DATABASE'!I108)), "Rãnh C Tiêu Chuẩn Châu Âu", "Rãnh 22 Truyền Thống")</f>
        <v/>
      </c>
      <c r="D111" s="114">
        <f>'01_MASTER_DATABASE'!Q108</f>
        <v/>
      </c>
      <c r="E111" s="114">
        <f>IF(ISNUMBER(SEARCH("toilet",'01_MASTER_DATABASE'!C108)), "Khóa đơn điểm", "Khóa đa điểm an toàn")</f>
        <v/>
      </c>
      <c r="F111" s="114" t="inlineStr">
        <is>
          <t>Đồng bộ theo hãng phụ kiện</t>
        </is>
      </c>
      <c r="G111" s="114">
        <f>IF(ISNUMBER(SEARCH("bản lề ẩn",'01_MASTER_DATABASE'!Q108)), "Bản lề ẩn cao cấp", "Bản lề nổi tiêu chuẩn")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IF(ISNUMBER(SEARCH("rãnh C",'01_MASTER_DATABASE'!I109)), "Rãnh C Tiêu Chuẩn Châu Âu", "Rãnh 22 Truyền Thống")</f>
        <v/>
      </c>
      <c r="D112" s="114">
        <f>'01_MASTER_DATABASE'!Q109</f>
        <v/>
      </c>
      <c r="E112" s="114">
        <f>IF(ISNUMBER(SEARCH("toilet",'01_MASTER_DATABASE'!C109)), "Khóa đơn điểm", "Khóa đa điểm an toàn")</f>
        <v/>
      </c>
      <c r="F112" s="114" t="inlineStr">
        <is>
          <t>Đồng bộ theo hãng phụ kiện</t>
        </is>
      </c>
      <c r="G112" s="114">
        <f>IF(ISNUMBER(SEARCH("bản lề ẩn",'01_MASTER_DATABASE'!Q109)), "Bản lề ẩn cao cấp", "Bản lề nổi tiêu chuẩn")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IF(ISNUMBER(SEARCH("rãnh C",'01_MASTER_DATABASE'!I110)), "Rãnh C Tiêu Chuẩn Châu Âu", "Rãnh 22 Truyền Thống")</f>
        <v/>
      </c>
      <c r="D113" s="114">
        <f>'01_MASTER_DATABASE'!Q110</f>
        <v/>
      </c>
      <c r="E113" s="114">
        <f>IF(ISNUMBER(SEARCH("toilet",'01_MASTER_DATABASE'!C110)), "Khóa đơn điểm", "Khóa đa điểm an toàn")</f>
        <v/>
      </c>
      <c r="F113" s="114" t="inlineStr">
        <is>
          <t>Đồng bộ theo hãng phụ kiện</t>
        </is>
      </c>
      <c r="G113" s="114">
        <f>IF(ISNUMBER(SEARCH("bản lề ẩn",'01_MASTER_DATABASE'!Q110)), "Bản lề ẩn cao cấp", "Bản lề nổi tiêu chuẩn")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IF(ISNUMBER(SEARCH("rãnh C",'01_MASTER_DATABASE'!I111)), "Rãnh C Tiêu Chuẩn Châu Âu", "Rãnh 22 Truyền Thống")</f>
        <v/>
      </c>
      <c r="D114" s="114">
        <f>'01_MASTER_DATABASE'!Q111</f>
        <v/>
      </c>
      <c r="E114" s="114">
        <f>IF(ISNUMBER(SEARCH("toilet",'01_MASTER_DATABASE'!C111)), "Khóa đơn điểm", "Khóa đa điểm an toàn")</f>
        <v/>
      </c>
      <c r="F114" s="114" t="inlineStr">
        <is>
          <t>Đồng bộ theo hãng phụ kiện</t>
        </is>
      </c>
      <c r="G114" s="114">
        <f>IF(ISNUMBER(SEARCH("bản lề ẩn",'01_MASTER_DATABASE'!Q111)), "Bản lề ẩn cao cấp", "Bản lề nổi tiêu chuẩn")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IF(ISNUMBER(SEARCH("rãnh C",'01_MASTER_DATABASE'!I112)), "Rãnh C Tiêu Chuẩn Châu Âu", "Rãnh 22 Truyền Thống")</f>
        <v/>
      </c>
      <c r="D115" s="114">
        <f>'01_MASTER_DATABASE'!Q112</f>
        <v/>
      </c>
      <c r="E115" s="114">
        <f>IF(ISNUMBER(SEARCH("toilet",'01_MASTER_DATABASE'!C112)), "Khóa đơn điểm", "Khóa đa điểm an toàn")</f>
        <v/>
      </c>
      <c r="F115" s="114" t="inlineStr">
        <is>
          <t>Đồng bộ theo hãng phụ kiện</t>
        </is>
      </c>
      <c r="G115" s="114">
        <f>IF(ISNUMBER(SEARCH("bản lề ẩn",'01_MASTER_DATABASE'!Q112)), "Bản lề ẩn cao cấp", "Bản lề nổi tiêu chuẩn")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IF(ISNUMBER(SEARCH("rãnh C",'01_MASTER_DATABASE'!I113)), "Rãnh C Tiêu Chuẩn Châu Âu", "Rãnh 22 Truyền Thống")</f>
        <v/>
      </c>
      <c r="D116" s="114">
        <f>'01_MASTER_DATABASE'!Q113</f>
        <v/>
      </c>
      <c r="E116" s="114">
        <f>IF(ISNUMBER(SEARCH("toilet",'01_MASTER_DATABASE'!C113)), "Khóa đơn điểm", "Khóa đa điểm an toàn")</f>
        <v/>
      </c>
      <c r="F116" s="114" t="inlineStr">
        <is>
          <t>Đồng bộ theo hãng phụ kiện</t>
        </is>
      </c>
      <c r="G116" s="114">
        <f>IF(ISNUMBER(SEARCH("bản lề ẩn",'01_MASTER_DATABASE'!Q113)), "Bản lề ẩn cao cấp", "Bản lề nổi tiêu chuẩn")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IF(ISNUMBER(SEARCH("rãnh C",'01_MASTER_DATABASE'!I114)), "Rãnh C Tiêu Chuẩn Châu Âu", "Rãnh 22 Truyền Thống")</f>
        <v/>
      </c>
      <c r="D117" s="114">
        <f>'01_MASTER_DATABASE'!Q114</f>
        <v/>
      </c>
      <c r="E117" s="114">
        <f>IF(ISNUMBER(SEARCH("toilet",'01_MASTER_DATABASE'!C114)), "Khóa đơn điểm", "Khóa đa điểm an toàn")</f>
        <v/>
      </c>
      <c r="F117" s="114" t="inlineStr">
        <is>
          <t>Đồng bộ theo hãng phụ kiện</t>
        </is>
      </c>
      <c r="G117" s="114">
        <f>IF(ISNUMBER(SEARCH("bản lề ẩn",'01_MASTER_DATABASE'!Q114)), "Bản lề ẩn cao cấp", "Bản lề nổi tiêu chuẩn")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IF(ISNUMBER(SEARCH("rãnh C",'01_MASTER_DATABASE'!I115)), "Rãnh C Tiêu Chuẩn Châu Âu", "Rãnh 22 Truyền Thống")</f>
        <v/>
      </c>
      <c r="D118" s="114">
        <f>'01_MASTER_DATABASE'!Q115</f>
        <v/>
      </c>
      <c r="E118" s="114">
        <f>IF(ISNUMBER(SEARCH("toilet",'01_MASTER_DATABASE'!C115)), "Khóa đơn điểm", "Khóa đa điểm an toàn")</f>
        <v/>
      </c>
      <c r="F118" s="114" t="inlineStr">
        <is>
          <t>Đồng bộ theo hãng phụ kiện</t>
        </is>
      </c>
      <c r="G118" s="114">
        <f>IF(ISNUMBER(SEARCH("bản lề ẩn",'01_MASTER_DATABASE'!Q115)), "Bản lề ẩn cao cấp", "Bản lề nổi tiêu chuẩn")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IF(ISNUMBER(SEARCH("rãnh C",'01_MASTER_DATABASE'!I116)), "Rãnh C Tiêu Chuẩn Châu Âu", "Rãnh 22 Truyền Thống")</f>
        <v/>
      </c>
      <c r="D119" s="114">
        <f>'01_MASTER_DATABASE'!Q116</f>
        <v/>
      </c>
      <c r="E119" s="114">
        <f>IF(ISNUMBER(SEARCH("toilet",'01_MASTER_DATABASE'!C116)), "Khóa đơn điểm", "Khóa đa điểm an toàn")</f>
        <v/>
      </c>
      <c r="F119" s="114" t="inlineStr">
        <is>
          <t>Đồng bộ theo hãng phụ kiện</t>
        </is>
      </c>
      <c r="G119" s="114">
        <f>IF(ISNUMBER(SEARCH("bản lề ẩn",'01_MASTER_DATABASE'!Q116)), "Bản lề ẩn cao cấp", "Bản lề nổi tiêu chuẩn")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IF(ISNUMBER(SEARCH("rãnh C",'01_MASTER_DATABASE'!I117)), "Rãnh C Tiêu Chuẩn Châu Âu", "Rãnh 22 Truyền Thống")</f>
        <v/>
      </c>
      <c r="D120" s="114">
        <f>'01_MASTER_DATABASE'!Q117</f>
        <v/>
      </c>
      <c r="E120" s="114">
        <f>IF(ISNUMBER(SEARCH("toilet",'01_MASTER_DATABASE'!C117)), "Khóa đơn điểm", "Khóa đa điểm an toàn")</f>
        <v/>
      </c>
      <c r="F120" s="114" t="inlineStr">
        <is>
          <t>Đồng bộ theo hãng phụ kiện</t>
        </is>
      </c>
      <c r="G120" s="114">
        <f>IF(ISNUMBER(SEARCH("bản lề ẩn",'01_MASTER_DATABASE'!Q117)), "Bản lề ẩn cao cấp", "Bản lề nổi tiêu chuẩn")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IF(ISNUMBER(SEARCH("rãnh C",'01_MASTER_DATABASE'!I118)), "Rãnh C Tiêu Chuẩn Châu Âu", "Rãnh 22 Truyền Thống")</f>
        <v/>
      </c>
      <c r="D121" s="114">
        <f>'01_MASTER_DATABASE'!Q118</f>
        <v/>
      </c>
      <c r="E121" s="114">
        <f>IF(ISNUMBER(SEARCH("toilet",'01_MASTER_DATABASE'!C118)), "Khóa đơn điểm", "Khóa đa điểm an toàn")</f>
        <v/>
      </c>
      <c r="F121" s="114" t="inlineStr">
        <is>
          <t>Đồng bộ theo hãng phụ kiện</t>
        </is>
      </c>
      <c r="G121" s="114">
        <f>IF(ISNUMBER(SEARCH("bản lề ẩn",'01_MASTER_DATABASE'!Q118)), "Bản lề ẩn cao cấp", "Bản lề nổi tiêu chuẩn")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IF(ISNUMBER(SEARCH("rãnh C",'01_MASTER_DATABASE'!I119)), "Rãnh C Tiêu Chuẩn Châu Âu", "Rãnh 22 Truyền Thống")</f>
        <v/>
      </c>
      <c r="D122" s="114">
        <f>'01_MASTER_DATABASE'!Q119</f>
        <v/>
      </c>
      <c r="E122" s="114">
        <f>IF(ISNUMBER(SEARCH("toilet",'01_MASTER_DATABASE'!C119)), "Khóa đơn điểm", "Khóa đa điểm an toàn")</f>
        <v/>
      </c>
      <c r="F122" s="114" t="inlineStr">
        <is>
          <t>Đồng bộ theo hãng phụ kiện</t>
        </is>
      </c>
      <c r="G122" s="114">
        <f>IF(ISNUMBER(SEARCH("bản lề ẩn",'01_MASTER_DATABASE'!Q119)), "Bản lề ẩn cao cấp", "Bản lề nổi tiêu chuẩn")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IF(ISNUMBER(SEARCH("rãnh C",'01_MASTER_DATABASE'!I120)), "Rãnh C Tiêu Chuẩn Châu Âu", "Rãnh 22 Truyền Thống")</f>
        <v/>
      </c>
      <c r="D123" s="114">
        <f>'01_MASTER_DATABASE'!Q120</f>
        <v/>
      </c>
      <c r="E123" s="114">
        <f>IF(ISNUMBER(SEARCH("toilet",'01_MASTER_DATABASE'!C120)), "Khóa đơn điểm", "Khóa đa điểm an toàn")</f>
        <v/>
      </c>
      <c r="F123" s="114" t="inlineStr">
        <is>
          <t>Đồng bộ theo hãng phụ kiện</t>
        </is>
      </c>
      <c r="G123" s="114">
        <f>IF(ISNUMBER(SEARCH("bản lề ẩn",'01_MASTER_DATABASE'!Q120)), "Bản lề ẩn cao cấp", "Bản lề nổi tiêu chuẩn")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IF(ISNUMBER(SEARCH("rãnh C",'01_MASTER_DATABASE'!I121)), "Rãnh C Tiêu Chuẩn Châu Âu", "Rãnh 22 Truyền Thống")</f>
        <v/>
      </c>
      <c r="D124" s="114">
        <f>'01_MASTER_DATABASE'!Q121</f>
        <v/>
      </c>
      <c r="E124" s="114">
        <f>IF(ISNUMBER(SEARCH("toilet",'01_MASTER_DATABASE'!C121)), "Khóa đơn điểm", "Khóa đa điểm an toàn")</f>
        <v/>
      </c>
      <c r="F124" s="114" t="inlineStr">
        <is>
          <t>Đồng bộ theo hãng phụ kiện</t>
        </is>
      </c>
      <c r="G124" s="114">
        <f>IF(ISNUMBER(SEARCH("bản lề ẩn",'01_MASTER_DATABASE'!Q121)), "Bản lề ẩn cao cấp", "Bản lề nổi tiêu chuẩn")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IF(ISNUMBER(SEARCH("rãnh C",'01_MASTER_DATABASE'!I122)), "Rãnh C Tiêu Chuẩn Châu Âu", "Rãnh 22 Truyền Thống")</f>
        <v/>
      </c>
      <c r="D125" s="114">
        <f>'01_MASTER_DATABASE'!Q122</f>
        <v/>
      </c>
      <c r="E125" s="114">
        <f>IF(ISNUMBER(SEARCH("toilet",'01_MASTER_DATABASE'!C122)), "Khóa đơn điểm", "Khóa đa điểm an toàn")</f>
        <v/>
      </c>
      <c r="F125" s="114" t="inlineStr">
        <is>
          <t>Đồng bộ theo hãng phụ kiện</t>
        </is>
      </c>
      <c r="G125" s="114">
        <f>IF(ISNUMBER(SEARCH("bản lề ẩn",'01_MASTER_DATABASE'!Q122)), "Bản lề ẩn cao cấp", "Bản lề nổi tiêu chuẩn")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IF(ISNUMBER(SEARCH("rãnh C",'01_MASTER_DATABASE'!I123)), "Rãnh C Tiêu Chuẩn Châu Âu", "Rãnh 22 Truyền Thống")</f>
        <v/>
      </c>
      <c r="D126" s="114">
        <f>'01_MASTER_DATABASE'!Q123</f>
        <v/>
      </c>
      <c r="E126" s="114">
        <f>IF(ISNUMBER(SEARCH("toilet",'01_MASTER_DATABASE'!C123)), "Khóa đơn điểm", "Khóa đa điểm an toàn")</f>
        <v/>
      </c>
      <c r="F126" s="114" t="inlineStr">
        <is>
          <t>Đồng bộ theo hãng phụ kiện</t>
        </is>
      </c>
      <c r="G126" s="114">
        <f>IF(ISNUMBER(SEARCH("bản lề ẩn",'01_MASTER_DATABASE'!Q123)), "Bản lề ẩn cao cấp", "Bản lề nổi tiêu chuẩn")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IF(ISNUMBER(SEARCH("rãnh C",'01_MASTER_DATABASE'!I124)), "Rãnh C Tiêu Chuẩn Châu Âu", "Rãnh 22 Truyền Thống")</f>
        <v/>
      </c>
      <c r="D127" s="114">
        <f>'01_MASTER_DATABASE'!Q124</f>
        <v/>
      </c>
      <c r="E127" s="114">
        <f>IF(ISNUMBER(SEARCH("toilet",'01_MASTER_DATABASE'!C124)), "Khóa đơn điểm", "Khóa đa điểm an toàn")</f>
        <v/>
      </c>
      <c r="F127" s="114" t="inlineStr">
        <is>
          <t>Đồng bộ theo hãng phụ kiện</t>
        </is>
      </c>
      <c r="G127" s="114">
        <f>IF(ISNUMBER(SEARCH("bản lề ẩn",'01_MASTER_DATABASE'!Q124)), "Bản lề ẩn cao cấp", "Bản lề nổi tiêu chuẩn")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IF(ISNUMBER(SEARCH("rãnh C",'01_MASTER_DATABASE'!I125)), "Rãnh C Tiêu Chuẩn Châu Âu", "Rãnh 22 Truyền Thống")</f>
        <v/>
      </c>
      <c r="D128" s="114">
        <f>'01_MASTER_DATABASE'!Q125</f>
        <v/>
      </c>
      <c r="E128" s="114">
        <f>IF(ISNUMBER(SEARCH("toilet",'01_MASTER_DATABASE'!C125)), "Khóa đơn điểm", "Khóa đa điểm an toàn")</f>
        <v/>
      </c>
      <c r="F128" s="114" t="inlineStr">
        <is>
          <t>Đồng bộ theo hãng phụ kiện</t>
        </is>
      </c>
      <c r="G128" s="114">
        <f>IF(ISNUMBER(SEARCH("bản lề ẩn",'01_MASTER_DATABASE'!Q125)), "Bản lề ẩn cao cấp", "Bản lề nổi tiêu chuẩn")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IF(ISNUMBER(SEARCH("rãnh C",'01_MASTER_DATABASE'!I126)), "Rãnh C Tiêu Chuẩn Châu Âu", "Rãnh 22 Truyền Thống")</f>
        <v/>
      </c>
      <c r="D129" s="114">
        <f>'01_MASTER_DATABASE'!Q126</f>
        <v/>
      </c>
      <c r="E129" s="114">
        <f>IF(ISNUMBER(SEARCH("toilet",'01_MASTER_DATABASE'!C126)), "Khóa đơn điểm", "Khóa đa điểm an toàn")</f>
        <v/>
      </c>
      <c r="F129" s="114" t="inlineStr">
        <is>
          <t>Đồng bộ theo hãng phụ kiện</t>
        </is>
      </c>
      <c r="G129" s="114">
        <f>IF(ISNUMBER(SEARCH("bản lề ẩn",'01_MASTER_DATABASE'!Q126)), "Bản lề ẩn cao cấp", "Bản lề nổi tiêu chuẩn")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IF(ISNUMBER(SEARCH("rãnh C",'01_MASTER_DATABASE'!I127)), "Rãnh C Tiêu Chuẩn Châu Âu", "Rãnh 22 Truyền Thống")</f>
        <v/>
      </c>
      <c r="D130" s="114">
        <f>'01_MASTER_DATABASE'!Q127</f>
        <v/>
      </c>
      <c r="E130" s="114">
        <f>IF(ISNUMBER(SEARCH("toilet",'01_MASTER_DATABASE'!C127)), "Khóa đơn điểm", "Khóa đa điểm an toàn")</f>
        <v/>
      </c>
      <c r="F130" s="114" t="inlineStr">
        <is>
          <t>Đồng bộ theo hãng phụ kiện</t>
        </is>
      </c>
      <c r="G130" s="114">
        <f>IF(ISNUMBER(SEARCH("bản lề ẩn",'01_MASTER_DATABASE'!Q127)), "Bản lề ẩn cao cấp", "Bản lề nổi tiêu chuẩn")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IF(ISNUMBER(SEARCH("rãnh C",'01_MASTER_DATABASE'!I128)), "Rãnh C Tiêu Chuẩn Châu Âu", "Rãnh 22 Truyền Thống")</f>
        <v/>
      </c>
      <c r="D131" s="114">
        <f>'01_MASTER_DATABASE'!Q128</f>
        <v/>
      </c>
      <c r="E131" s="114">
        <f>IF(ISNUMBER(SEARCH("toilet",'01_MASTER_DATABASE'!C128)), "Khóa đơn điểm", "Khóa đa điểm an toàn")</f>
        <v/>
      </c>
      <c r="F131" s="114" t="inlineStr">
        <is>
          <t>Đồng bộ theo hãng phụ kiện</t>
        </is>
      </c>
      <c r="G131" s="114">
        <f>IF(ISNUMBER(SEARCH("bản lề ẩn",'01_MASTER_DATABASE'!Q128)), "Bản lề ẩn cao cấp", "Bản lề nổi tiêu chuẩn")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IF(ISNUMBER(SEARCH("rãnh C",'01_MASTER_DATABASE'!I129)), "Rãnh C Tiêu Chuẩn Châu Âu", "Rãnh 22 Truyền Thống")</f>
        <v/>
      </c>
      <c r="D132" s="114">
        <f>'01_MASTER_DATABASE'!Q129</f>
        <v/>
      </c>
      <c r="E132" s="114">
        <f>IF(ISNUMBER(SEARCH("toilet",'01_MASTER_DATABASE'!C129)), "Khóa đơn điểm", "Khóa đa điểm an toàn")</f>
        <v/>
      </c>
      <c r="F132" s="114" t="inlineStr">
        <is>
          <t>Đồng bộ theo hãng phụ kiện</t>
        </is>
      </c>
      <c r="G132" s="114">
        <f>IF(ISNUMBER(SEARCH("bản lề ẩn",'01_MASTER_DATABASE'!Q129)), "Bản lề ẩn cao cấp", "Bản lề nổi tiêu chuẩn")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IF(ISNUMBER(SEARCH("rãnh C",'01_MASTER_DATABASE'!I130)), "Rãnh C Tiêu Chuẩn Châu Âu", "Rãnh 22 Truyền Thống")</f>
        <v/>
      </c>
      <c r="D133" s="114">
        <f>'01_MASTER_DATABASE'!Q130</f>
        <v/>
      </c>
      <c r="E133" s="114">
        <f>IF(ISNUMBER(SEARCH("toilet",'01_MASTER_DATABASE'!C130)), "Khóa đơn điểm", "Khóa đa điểm an toàn")</f>
        <v/>
      </c>
      <c r="F133" s="114" t="inlineStr">
        <is>
          <t>Đồng bộ theo hãng phụ kiện</t>
        </is>
      </c>
      <c r="G133" s="114">
        <f>IF(ISNUMBER(SEARCH("bản lề ẩn",'01_MASTER_DATABASE'!Q130)), "Bản lề ẩn cao cấp", "Bản lề nổi tiêu chuẩn")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IF(ISNUMBER(SEARCH("rãnh C",'01_MASTER_DATABASE'!I131)), "Rãnh C Tiêu Chuẩn Châu Âu", "Rãnh 22 Truyền Thống")</f>
        <v/>
      </c>
      <c r="D134" s="114">
        <f>'01_MASTER_DATABASE'!Q131</f>
        <v/>
      </c>
      <c r="E134" s="114">
        <f>IF(ISNUMBER(SEARCH("toilet",'01_MASTER_DATABASE'!C131)), "Khóa đơn điểm", "Khóa đa điểm an toàn")</f>
        <v/>
      </c>
      <c r="F134" s="114" t="inlineStr">
        <is>
          <t>Đồng bộ theo hãng phụ kiện</t>
        </is>
      </c>
      <c r="G134" s="114">
        <f>IF(ISNUMBER(SEARCH("bản lề ẩn",'01_MASTER_DATABASE'!Q131)), "Bản lề ẩn cao cấp", "Bản lề nổi tiêu chuẩn")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IF(ISNUMBER(SEARCH("rãnh C",'01_MASTER_DATABASE'!I132)), "Rãnh C Tiêu Chuẩn Châu Âu", "Rãnh 22 Truyền Thống")</f>
        <v/>
      </c>
      <c r="D135" s="114">
        <f>'01_MASTER_DATABASE'!Q132</f>
        <v/>
      </c>
      <c r="E135" s="114">
        <f>IF(ISNUMBER(SEARCH("toilet",'01_MASTER_DATABASE'!C132)), "Khóa đơn điểm", "Khóa đa điểm an toàn")</f>
        <v/>
      </c>
      <c r="F135" s="114" t="inlineStr">
        <is>
          <t>Đồng bộ theo hãng phụ kiện</t>
        </is>
      </c>
      <c r="G135" s="114">
        <f>IF(ISNUMBER(SEARCH("bản lề ẩn",'01_MASTER_DATABASE'!Q132)), "Bản lề ẩn cao cấp", "Bản lề nổi tiêu chuẩn")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IF(ISNUMBER(SEARCH("rãnh C",'01_MASTER_DATABASE'!I133)), "Rãnh C Tiêu Chuẩn Châu Âu", "Rãnh 22 Truyền Thống")</f>
        <v/>
      </c>
      <c r="D136" s="114">
        <f>'01_MASTER_DATABASE'!Q133</f>
        <v/>
      </c>
      <c r="E136" s="114">
        <f>IF(ISNUMBER(SEARCH("toilet",'01_MASTER_DATABASE'!C133)), "Khóa đơn điểm", "Khóa đa điểm an toàn")</f>
        <v/>
      </c>
      <c r="F136" s="114" t="inlineStr">
        <is>
          <t>Đồng bộ theo hãng phụ kiện</t>
        </is>
      </c>
      <c r="G136" s="114">
        <f>IF(ISNUMBER(SEARCH("bản lề ẩn",'01_MASTER_DATABASE'!Q133)), "Bản lề ẩn cao cấp", "Bản lề nổi tiêu chuẩn")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IF(ISNUMBER(SEARCH("rãnh C",'01_MASTER_DATABASE'!I134)), "Rãnh C Tiêu Chuẩn Châu Âu", "Rãnh 22 Truyền Thống")</f>
        <v/>
      </c>
      <c r="D137" s="114">
        <f>'01_MASTER_DATABASE'!Q134</f>
        <v/>
      </c>
      <c r="E137" s="114">
        <f>IF(ISNUMBER(SEARCH("toilet",'01_MASTER_DATABASE'!C134)), "Khóa đơn điểm", "Khóa đa điểm an toàn")</f>
        <v/>
      </c>
      <c r="F137" s="114" t="inlineStr">
        <is>
          <t>Đồng bộ theo hãng phụ kiện</t>
        </is>
      </c>
      <c r="G137" s="114">
        <f>IF(ISNUMBER(SEARCH("bản lề ẩn",'01_MASTER_DATABASE'!Q134)), "Bản lề ẩn cao cấp", "Bản lề nổi tiêu chuẩn")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IF(ISNUMBER(SEARCH("rãnh C",'01_MASTER_DATABASE'!I135)), "Rãnh C Tiêu Chuẩn Châu Âu", "Rãnh 22 Truyền Thống")</f>
        <v/>
      </c>
      <c r="D138" s="114">
        <f>'01_MASTER_DATABASE'!Q135</f>
        <v/>
      </c>
      <c r="E138" s="114">
        <f>IF(ISNUMBER(SEARCH("toilet",'01_MASTER_DATABASE'!C135)), "Khóa đơn điểm", "Khóa đa điểm an toàn")</f>
        <v/>
      </c>
      <c r="F138" s="114" t="inlineStr">
        <is>
          <t>Đồng bộ theo hãng phụ kiện</t>
        </is>
      </c>
      <c r="G138" s="114">
        <f>IF(ISNUMBER(SEARCH("bản lề ẩn",'01_MASTER_DATABASE'!Q135)), "Bản lề ẩn cao cấp", "Bản lề nổi tiêu chuẩn")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IF(ISNUMBER(SEARCH("rãnh C",'01_MASTER_DATABASE'!I136)), "Rãnh C Tiêu Chuẩn Châu Âu", "Rãnh 22 Truyền Thống")</f>
        <v/>
      </c>
      <c r="D139" s="114">
        <f>'01_MASTER_DATABASE'!Q136</f>
        <v/>
      </c>
      <c r="E139" s="114">
        <f>IF(ISNUMBER(SEARCH("toilet",'01_MASTER_DATABASE'!C136)), "Khóa đơn điểm", "Khóa đa điểm an toàn")</f>
        <v/>
      </c>
      <c r="F139" s="114" t="inlineStr">
        <is>
          <t>Đồng bộ theo hãng phụ kiện</t>
        </is>
      </c>
      <c r="G139" s="114">
        <f>IF(ISNUMBER(SEARCH("bản lề ẩn",'01_MASTER_DATABASE'!Q136)), "Bản lề ẩn cao cấp", "Bản lề nổi tiêu chuẩn")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IF(ISNUMBER(SEARCH("rãnh C",'01_MASTER_DATABASE'!I137)), "Rãnh C Tiêu Chuẩn Châu Âu", "Rãnh 22 Truyền Thống")</f>
        <v/>
      </c>
      <c r="D140" s="114">
        <f>'01_MASTER_DATABASE'!Q137</f>
        <v/>
      </c>
      <c r="E140" s="114">
        <f>IF(ISNUMBER(SEARCH("toilet",'01_MASTER_DATABASE'!C137)), "Khóa đơn điểm", "Khóa đa điểm an toàn")</f>
        <v/>
      </c>
      <c r="F140" s="114" t="inlineStr">
        <is>
          <t>Đồng bộ theo hãng phụ kiện</t>
        </is>
      </c>
      <c r="G140" s="114">
        <f>IF(ISNUMBER(SEARCH("bản lề ẩn",'01_MASTER_DATABASE'!Q137)), "Bản lề ẩn cao cấp", "Bản lề nổi tiêu chuẩn")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IF(ISNUMBER(SEARCH("rãnh C",'01_MASTER_DATABASE'!I138)), "Rãnh C Tiêu Chuẩn Châu Âu", "Rãnh 22 Truyền Thống")</f>
        <v/>
      </c>
      <c r="D141" s="114">
        <f>'01_MASTER_DATABASE'!Q138</f>
        <v/>
      </c>
      <c r="E141" s="114">
        <f>IF(ISNUMBER(SEARCH("toilet",'01_MASTER_DATABASE'!C138)), "Khóa đơn điểm", "Khóa đa điểm an toàn")</f>
        <v/>
      </c>
      <c r="F141" s="114" t="inlineStr">
        <is>
          <t>Đồng bộ theo hãng phụ kiện</t>
        </is>
      </c>
      <c r="G141" s="114">
        <f>IF(ISNUMBER(SEARCH("bản lề ẩn",'01_MASTER_DATABASE'!Q138)), "Bản lề ẩn cao cấp", "Bản lề nổi tiêu chuẩn")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IF(ISNUMBER(SEARCH("rãnh C",'01_MASTER_DATABASE'!I139)), "Rãnh C Tiêu Chuẩn Châu Âu", "Rãnh 22 Truyền Thống")</f>
        <v/>
      </c>
      <c r="D142" s="114">
        <f>'01_MASTER_DATABASE'!Q139</f>
        <v/>
      </c>
      <c r="E142" s="114">
        <f>IF(ISNUMBER(SEARCH("toilet",'01_MASTER_DATABASE'!C139)), "Khóa đơn điểm", "Khóa đa điểm an toàn")</f>
        <v/>
      </c>
      <c r="F142" s="114" t="inlineStr">
        <is>
          <t>Đồng bộ theo hãng phụ kiện</t>
        </is>
      </c>
      <c r="G142" s="114">
        <f>IF(ISNUMBER(SEARCH("bản lề ẩn",'01_MASTER_DATABASE'!Q139)), "Bản lề ẩn cao cấp", "Bản lề nổi tiêu chuẩn")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IF(ISNUMBER(SEARCH("rãnh C",'01_MASTER_DATABASE'!I140)), "Rãnh C Tiêu Chuẩn Châu Âu", "Rãnh 22 Truyền Thống")</f>
        <v/>
      </c>
      <c r="D143" s="114">
        <f>'01_MASTER_DATABASE'!Q140</f>
        <v/>
      </c>
      <c r="E143" s="114">
        <f>IF(ISNUMBER(SEARCH("toilet",'01_MASTER_DATABASE'!C140)), "Khóa đơn điểm", "Khóa đa điểm an toàn")</f>
        <v/>
      </c>
      <c r="F143" s="114" t="inlineStr">
        <is>
          <t>Đồng bộ theo hãng phụ kiện</t>
        </is>
      </c>
      <c r="G143" s="114">
        <f>IF(ISNUMBER(SEARCH("bản lề ẩn",'01_MASTER_DATABASE'!Q140)), "Bản lề ẩn cao cấp", "Bản lề nổi tiêu chuẩn")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IF(ISNUMBER(SEARCH("rãnh C",'01_MASTER_DATABASE'!I141)), "Rãnh C Tiêu Chuẩn Châu Âu", "Rãnh 22 Truyền Thống")</f>
        <v/>
      </c>
      <c r="D144" s="114">
        <f>'01_MASTER_DATABASE'!Q141</f>
        <v/>
      </c>
      <c r="E144" s="114">
        <f>IF(ISNUMBER(SEARCH("toilet",'01_MASTER_DATABASE'!C141)), "Khóa đơn điểm", "Khóa đa điểm an toàn")</f>
        <v/>
      </c>
      <c r="F144" s="114" t="inlineStr">
        <is>
          <t>Đồng bộ theo hãng phụ kiện</t>
        </is>
      </c>
      <c r="G144" s="114">
        <f>IF(ISNUMBER(SEARCH("bản lề ẩn",'01_MASTER_DATABASE'!Q141)), "Bản lề ẩn cao cấp", "Bản lề nổi tiêu chuẩn")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IF(ISNUMBER(SEARCH("rãnh C",'01_MASTER_DATABASE'!I142)), "Rãnh C Tiêu Chuẩn Châu Âu", "Rãnh 22 Truyền Thống")</f>
        <v/>
      </c>
      <c r="D145" s="114">
        <f>'01_MASTER_DATABASE'!Q142</f>
        <v/>
      </c>
      <c r="E145" s="114">
        <f>IF(ISNUMBER(SEARCH("toilet",'01_MASTER_DATABASE'!C142)), "Khóa đơn điểm", "Khóa đa điểm an toàn")</f>
        <v/>
      </c>
      <c r="F145" s="114" t="inlineStr">
        <is>
          <t>Đồng bộ theo hãng phụ kiện</t>
        </is>
      </c>
      <c r="G145" s="114">
        <f>IF(ISNUMBER(SEARCH("bản lề ẩn",'01_MASTER_DATABASE'!Q142)), "Bản lề ẩn cao cấp", "Bản lề nổi tiêu chuẩn")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IF(ISNUMBER(SEARCH("rãnh C",'01_MASTER_DATABASE'!I143)), "Rãnh C Tiêu Chuẩn Châu Âu", "Rãnh 22 Truyền Thống")</f>
        <v/>
      </c>
      <c r="D146" s="114">
        <f>'01_MASTER_DATABASE'!Q143</f>
        <v/>
      </c>
      <c r="E146" s="114">
        <f>IF(ISNUMBER(SEARCH("toilet",'01_MASTER_DATABASE'!C143)), "Khóa đơn điểm", "Khóa đa điểm an toàn")</f>
        <v/>
      </c>
      <c r="F146" s="114" t="inlineStr">
        <is>
          <t>Đồng bộ theo hãng phụ kiện</t>
        </is>
      </c>
      <c r="G146" s="114">
        <f>IF(ISNUMBER(SEARCH("bản lề ẩn",'01_MASTER_DATABASE'!Q143)), "Bản lề ẩn cao cấp", "Bản lề nổi tiêu chuẩn")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IF(ISNUMBER(SEARCH("rãnh C",'01_MASTER_DATABASE'!I144)), "Rãnh C Tiêu Chuẩn Châu Âu", "Rãnh 22 Truyền Thống")</f>
        <v/>
      </c>
      <c r="D147" s="114">
        <f>'01_MASTER_DATABASE'!Q144</f>
        <v/>
      </c>
      <c r="E147" s="114">
        <f>IF(ISNUMBER(SEARCH("toilet",'01_MASTER_DATABASE'!C144)), "Khóa đơn điểm", "Khóa đa điểm an toàn")</f>
        <v/>
      </c>
      <c r="F147" s="114" t="inlineStr">
        <is>
          <t>Đồng bộ theo hãng phụ kiện</t>
        </is>
      </c>
      <c r="G147" s="114">
        <f>IF(ISNUMBER(SEARCH("bản lề ẩn",'01_MASTER_DATABASE'!Q144)), "Bản lề ẩn cao cấp", "Bản lề nổi tiêu chuẩn")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IF(ISNUMBER(SEARCH("rãnh C",'01_MASTER_DATABASE'!I145)), "Rãnh C Tiêu Chuẩn Châu Âu", "Rãnh 22 Truyền Thống")</f>
        <v/>
      </c>
      <c r="D148" s="114">
        <f>'01_MASTER_DATABASE'!Q145</f>
        <v/>
      </c>
      <c r="E148" s="114">
        <f>IF(ISNUMBER(SEARCH("toilet",'01_MASTER_DATABASE'!C145)), "Khóa đơn điểm", "Khóa đa điểm an toàn")</f>
        <v/>
      </c>
      <c r="F148" s="114" t="inlineStr">
        <is>
          <t>Đồng bộ theo hãng phụ kiện</t>
        </is>
      </c>
      <c r="G148" s="114">
        <f>IF(ISNUMBER(SEARCH("bản lề ẩn",'01_MASTER_DATABASE'!Q145)), "Bản lề ẩn cao cấp", "Bản lề nổi tiêu chuẩn")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IF(ISNUMBER(SEARCH("rãnh C",'01_MASTER_DATABASE'!I146)), "Rãnh C Tiêu Chuẩn Châu Âu", "Rãnh 22 Truyền Thống")</f>
        <v/>
      </c>
      <c r="D149" s="114">
        <f>'01_MASTER_DATABASE'!Q146</f>
        <v/>
      </c>
      <c r="E149" s="114">
        <f>IF(ISNUMBER(SEARCH("toilet",'01_MASTER_DATABASE'!C146)), "Khóa đơn điểm", "Khóa đa điểm an toàn")</f>
        <v/>
      </c>
      <c r="F149" s="114" t="inlineStr">
        <is>
          <t>Đồng bộ theo hãng phụ kiện</t>
        </is>
      </c>
      <c r="G149" s="114">
        <f>IF(ISNUMBER(SEARCH("bản lề ẩn",'01_MASTER_DATABASE'!Q146)), "Bản lề ẩn cao cấp", "Bản lề nổi tiêu chuẩn")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IF(ISNUMBER(SEARCH("rãnh C",'01_MASTER_DATABASE'!I147)), "Rãnh C Tiêu Chuẩn Châu Âu", "Rãnh 22 Truyền Thống")</f>
        <v/>
      </c>
      <c r="D150" s="114">
        <f>'01_MASTER_DATABASE'!Q147</f>
        <v/>
      </c>
      <c r="E150" s="114">
        <f>IF(ISNUMBER(SEARCH("toilet",'01_MASTER_DATABASE'!C147)), "Khóa đơn điểm", "Khóa đa điểm an toàn")</f>
        <v/>
      </c>
      <c r="F150" s="114" t="inlineStr">
        <is>
          <t>Đồng bộ theo hãng phụ kiện</t>
        </is>
      </c>
      <c r="G150" s="114">
        <f>IF(ISNUMBER(SEARCH("bản lề ẩn",'01_MASTER_DATABASE'!Q147)), "Bản lề ẩn cao cấp", "Bản lề nổi tiêu chuẩn")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IF(ISNUMBER(SEARCH("rãnh C",'01_MASTER_DATABASE'!I148)), "Rãnh C Tiêu Chuẩn Châu Âu", "Rãnh 22 Truyền Thống")</f>
        <v/>
      </c>
      <c r="D151" s="114">
        <f>'01_MASTER_DATABASE'!Q148</f>
        <v/>
      </c>
      <c r="E151" s="114">
        <f>IF(ISNUMBER(SEARCH("toilet",'01_MASTER_DATABASE'!C148)), "Khóa đơn điểm", "Khóa đa điểm an toàn")</f>
        <v/>
      </c>
      <c r="F151" s="114" t="inlineStr">
        <is>
          <t>Đồng bộ theo hãng phụ kiện</t>
        </is>
      </c>
      <c r="G151" s="114">
        <f>IF(ISNUMBER(SEARCH("bản lề ẩn",'01_MASTER_DATABASE'!Q148)), "Bản lề ẩn cao cấp", "Bản lề nổi tiêu chuẩn")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IF(ISNUMBER(SEARCH("rãnh C",'01_MASTER_DATABASE'!I149)), "Rãnh C Tiêu Chuẩn Châu Âu", "Rãnh 22 Truyền Thống")</f>
        <v/>
      </c>
      <c r="D152" s="114">
        <f>'01_MASTER_DATABASE'!Q149</f>
        <v/>
      </c>
      <c r="E152" s="114">
        <f>IF(ISNUMBER(SEARCH("toilet",'01_MASTER_DATABASE'!C149)), "Khóa đơn điểm", "Khóa đa điểm an toàn")</f>
        <v/>
      </c>
      <c r="F152" s="114" t="inlineStr">
        <is>
          <t>Đồng bộ theo hãng phụ kiện</t>
        </is>
      </c>
      <c r="G152" s="114">
        <f>IF(ISNUMBER(SEARCH("bản lề ẩn",'01_MASTER_DATABASE'!Q149)), "Bản lề ẩn cao cấp", "Bản lề nổi tiêu chuẩn")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IF(ISNUMBER(SEARCH("rãnh C",'01_MASTER_DATABASE'!I150)), "Rãnh C Tiêu Chuẩn Châu Âu", "Rãnh 22 Truyền Thống")</f>
        <v/>
      </c>
      <c r="D153" s="114">
        <f>'01_MASTER_DATABASE'!Q150</f>
        <v/>
      </c>
      <c r="E153" s="114">
        <f>IF(ISNUMBER(SEARCH("toilet",'01_MASTER_DATABASE'!C150)), "Khóa đơn điểm", "Khóa đa điểm an toàn")</f>
        <v/>
      </c>
      <c r="F153" s="114" t="inlineStr">
        <is>
          <t>Đồng bộ theo hãng phụ kiện</t>
        </is>
      </c>
      <c r="G153" s="114">
        <f>IF(ISNUMBER(SEARCH("bản lề ẩn",'01_MASTER_DATABASE'!Q150)), "Bản lề ẩn cao cấp", "Bản lề nổi tiêu chuẩn")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IF(ISNUMBER(SEARCH("rãnh C",'01_MASTER_DATABASE'!I151)), "Rãnh C Tiêu Chuẩn Châu Âu", "Rãnh 22 Truyền Thống")</f>
        <v/>
      </c>
      <c r="D154" s="114">
        <f>'01_MASTER_DATABASE'!Q151</f>
        <v/>
      </c>
      <c r="E154" s="114">
        <f>IF(ISNUMBER(SEARCH("toilet",'01_MASTER_DATABASE'!C151)), "Khóa đơn điểm", "Khóa đa điểm an toàn")</f>
        <v/>
      </c>
      <c r="F154" s="114" t="inlineStr">
        <is>
          <t>Đồng bộ theo hãng phụ kiện</t>
        </is>
      </c>
      <c r="G154" s="114">
        <f>IF(ISNUMBER(SEARCH("bản lề ẩn",'01_MASTER_DATABASE'!Q151)), "Bản lề ẩn cao cấp", "Bản lề nổi tiêu chuẩn")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IF(ISNUMBER(SEARCH("rãnh C",'01_MASTER_DATABASE'!I152)), "Rãnh C Tiêu Chuẩn Châu Âu", "Rãnh 22 Truyền Thống")</f>
        <v/>
      </c>
      <c r="D155" s="114">
        <f>'01_MASTER_DATABASE'!Q152</f>
        <v/>
      </c>
      <c r="E155" s="114">
        <f>IF(ISNUMBER(SEARCH("toilet",'01_MASTER_DATABASE'!C152)), "Khóa đơn điểm", "Khóa đa điểm an toàn")</f>
        <v/>
      </c>
      <c r="F155" s="114" t="inlineStr">
        <is>
          <t>Đồng bộ theo hãng phụ kiện</t>
        </is>
      </c>
      <c r="G155" s="114">
        <f>IF(ISNUMBER(SEARCH("bản lề ẩn",'01_MASTER_DATABASE'!Q152)), "Bản lề ẩn cao cấp", "Bản lề nổi tiêu chuẩn")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IF(ISNUMBER(SEARCH("rãnh C",'01_MASTER_DATABASE'!I153)), "Rãnh C Tiêu Chuẩn Châu Âu", "Rãnh 22 Truyền Thống")</f>
        <v/>
      </c>
      <c r="D156" s="114">
        <f>'01_MASTER_DATABASE'!Q153</f>
        <v/>
      </c>
      <c r="E156" s="114">
        <f>IF(ISNUMBER(SEARCH("toilet",'01_MASTER_DATABASE'!C153)), "Khóa đơn điểm", "Khóa đa điểm an toàn")</f>
        <v/>
      </c>
      <c r="F156" s="114" t="inlineStr">
        <is>
          <t>Đồng bộ theo hãng phụ kiện</t>
        </is>
      </c>
      <c r="G156" s="114">
        <f>IF(ISNUMBER(SEARCH("bản lề ẩn",'01_MASTER_DATABASE'!Q153)), "Bản lề ẩn cao cấp", "Bản lề nổi tiêu chuẩn")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IF(ISNUMBER(SEARCH("rãnh C",'01_MASTER_DATABASE'!I154)), "Rãnh C Tiêu Chuẩn Châu Âu", "Rãnh 22 Truyền Thống")</f>
        <v/>
      </c>
      <c r="D157" s="114">
        <f>'01_MASTER_DATABASE'!Q154</f>
        <v/>
      </c>
      <c r="E157" s="114">
        <f>IF(ISNUMBER(SEARCH("toilet",'01_MASTER_DATABASE'!C154)), "Khóa đơn điểm", "Khóa đa điểm an toàn")</f>
        <v/>
      </c>
      <c r="F157" s="114" t="inlineStr">
        <is>
          <t>Đồng bộ theo hãng phụ kiện</t>
        </is>
      </c>
      <c r="G157" s="114">
        <f>IF(ISNUMBER(SEARCH("bản lề ẩn",'01_MASTER_DATABASE'!Q154)), "Bản lề ẩn cao cấp", "Bản lề nổi tiêu chuẩn")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IF(ISNUMBER(SEARCH("rãnh C",'01_MASTER_DATABASE'!I155)), "Rãnh C Tiêu Chuẩn Châu Âu", "Rãnh 22 Truyền Thống")</f>
        <v/>
      </c>
      <c r="D158" s="114">
        <f>'01_MASTER_DATABASE'!Q155</f>
        <v/>
      </c>
      <c r="E158" s="114">
        <f>IF(ISNUMBER(SEARCH("toilet",'01_MASTER_DATABASE'!C155)), "Khóa đơn điểm", "Khóa đa điểm an toàn")</f>
        <v/>
      </c>
      <c r="F158" s="114" t="inlineStr">
        <is>
          <t>Đồng bộ theo hãng phụ kiện</t>
        </is>
      </c>
      <c r="G158" s="114">
        <f>IF(ISNUMBER(SEARCH("bản lề ẩn",'01_MASTER_DATABASE'!Q155)), "Bản lề ẩn cao cấp", "Bản lề nổi tiêu chuẩn")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IF(ISNUMBER(SEARCH("rãnh C",'01_MASTER_DATABASE'!I156)), "Rãnh C Tiêu Chuẩn Châu Âu", "Rãnh 22 Truyền Thống")</f>
        <v/>
      </c>
      <c r="D159" s="114">
        <f>'01_MASTER_DATABASE'!Q156</f>
        <v/>
      </c>
      <c r="E159" s="114">
        <f>IF(ISNUMBER(SEARCH("toilet",'01_MASTER_DATABASE'!C156)), "Khóa đơn điểm", "Khóa đa điểm an toàn")</f>
        <v/>
      </c>
      <c r="F159" s="114" t="inlineStr">
        <is>
          <t>Đồng bộ theo hãng phụ kiện</t>
        </is>
      </c>
      <c r="G159" s="114">
        <f>IF(ISNUMBER(SEARCH("bản lề ẩn",'01_MASTER_DATABASE'!Q156)), "Bản lề ẩn cao cấp", "Bản lề nổi tiêu chuẩn")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IF(ISNUMBER(SEARCH("rãnh C",'01_MASTER_DATABASE'!I157)), "Rãnh C Tiêu Chuẩn Châu Âu", "Rãnh 22 Truyền Thống")</f>
        <v/>
      </c>
      <c r="D160" s="114">
        <f>'01_MASTER_DATABASE'!Q157</f>
        <v/>
      </c>
      <c r="E160" s="114">
        <f>IF(ISNUMBER(SEARCH("toilet",'01_MASTER_DATABASE'!C157)), "Khóa đơn điểm", "Khóa đa điểm an toàn")</f>
        <v/>
      </c>
      <c r="F160" s="114" t="inlineStr">
        <is>
          <t>Đồng bộ theo hãng phụ kiện</t>
        </is>
      </c>
      <c r="G160" s="114">
        <f>IF(ISNUMBER(SEARCH("bản lề ẩn",'01_MASTER_DATABASE'!Q157)), "Bản lề ẩn cao cấp", "Bản lề nổi tiêu chuẩn")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IF(ISNUMBER(SEARCH("rãnh C",'01_MASTER_DATABASE'!I158)), "Rãnh C Tiêu Chuẩn Châu Âu", "Rãnh 22 Truyền Thống")</f>
        <v/>
      </c>
      <c r="D161" s="114">
        <f>'01_MASTER_DATABASE'!Q158</f>
        <v/>
      </c>
      <c r="E161" s="114">
        <f>IF(ISNUMBER(SEARCH("toilet",'01_MASTER_DATABASE'!C158)), "Khóa đơn điểm", "Khóa đa điểm an toàn")</f>
        <v/>
      </c>
      <c r="F161" s="114" t="inlineStr">
        <is>
          <t>Đồng bộ theo hãng phụ kiện</t>
        </is>
      </c>
      <c r="G161" s="114">
        <f>IF(ISNUMBER(SEARCH("bản lề ẩn",'01_MASTER_DATABASE'!Q158)), "Bản lề ẩn cao cấp", "Bản lề nổi tiêu chuẩn")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IF(ISNUMBER(SEARCH("rãnh C",'01_MASTER_DATABASE'!I159)), "Rãnh C Tiêu Chuẩn Châu Âu", "Rãnh 22 Truyền Thống")</f>
        <v/>
      </c>
      <c r="D162" s="114">
        <f>'01_MASTER_DATABASE'!Q159</f>
        <v/>
      </c>
      <c r="E162" s="114">
        <f>IF(ISNUMBER(SEARCH("toilet",'01_MASTER_DATABASE'!C159)), "Khóa đơn điểm", "Khóa đa điểm an toàn")</f>
        <v/>
      </c>
      <c r="F162" s="114" t="inlineStr">
        <is>
          <t>Đồng bộ theo hãng phụ kiện</t>
        </is>
      </c>
      <c r="G162" s="114">
        <f>IF(ISNUMBER(SEARCH("bản lề ẩn",'01_MASTER_DATABASE'!Q159)), "Bản lề ẩn cao cấp", "Bản lề nổi tiêu chuẩn")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IF(ISNUMBER(SEARCH("rãnh C",'01_MASTER_DATABASE'!I160)), "Rãnh C Tiêu Chuẩn Châu Âu", "Rãnh 22 Truyền Thống")</f>
        <v/>
      </c>
      <c r="D163" s="114">
        <f>'01_MASTER_DATABASE'!Q160</f>
        <v/>
      </c>
      <c r="E163" s="114">
        <f>IF(ISNUMBER(SEARCH("toilet",'01_MASTER_DATABASE'!C160)), "Khóa đơn điểm", "Khóa đa điểm an toàn")</f>
        <v/>
      </c>
      <c r="F163" s="114" t="inlineStr">
        <is>
          <t>Đồng bộ theo hãng phụ kiện</t>
        </is>
      </c>
      <c r="G163" s="114">
        <f>IF(ISNUMBER(SEARCH("bản lề ẩn",'01_MASTER_DATABASE'!Q160)), "Bản lề ẩn cao cấp", "Bản lề nổi tiêu chuẩn")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IF(ISNUMBER(SEARCH("rãnh C",'01_MASTER_DATABASE'!I161)), "Rãnh C Tiêu Chuẩn Châu Âu", "Rãnh 22 Truyền Thống")</f>
        <v/>
      </c>
      <c r="D164" s="114">
        <f>'01_MASTER_DATABASE'!Q161</f>
        <v/>
      </c>
      <c r="E164" s="114">
        <f>IF(ISNUMBER(SEARCH("toilet",'01_MASTER_DATABASE'!C161)), "Khóa đơn điểm", "Khóa đa điểm an toàn")</f>
        <v/>
      </c>
      <c r="F164" s="114" t="inlineStr">
        <is>
          <t>Đồng bộ theo hãng phụ kiện</t>
        </is>
      </c>
      <c r="G164" s="114">
        <f>IF(ISNUMBER(SEARCH("bản lề ẩn",'01_MASTER_DATABASE'!Q161)), "Bản lề ẩn cao cấp", "Bản lề nổi tiêu chuẩn")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IF(ISNUMBER(SEARCH("rãnh C",'01_MASTER_DATABASE'!I162)), "Rãnh C Tiêu Chuẩn Châu Âu", "Rãnh 22 Truyền Thống")</f>
        <v/>
      </c>
      <c r="D165" s="114">
        <f>'01_MASTER_DATABASE'!Q162</f>
        <v/>
      </c>
      <c r="E165" s="114">
        <f>IF(ISNUMBER(SEARCH("toilet",'01_MASTER_DATABASE'!C162)), "Khóa đơn điểm", "Khóa đa điểm an toàn")</f>
        <v/>
      </c>
      <c r="F165" s="114" t="inlineStr">
        <is>
          <t>Đồng bộ theo hãng phụ kiện</t>
        </is>
      </c>
      <c r="G165" s="114">
        <f>IF(ISNUMBER(SEARCH("bản lề ẩn",'01_MASTER_DATABASE'!Q162)), "Bản lề ẩn cao cấp", "Bản lề nổi tiêu chuẩn")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IF(ISNUMBER(SEARCH("rãnh C",'01_MASTER_DATABASE'!I163)), "Rãnh C Tiêu Chuẩn Châu Âu", "Rãnh 22 Truyền Thống")</f>
        <v/>
      </c>
      <c r="D166" s="114">
        <f>'01_MASTER_DATABASE'!Q163</f>
        <v/>
      </c>
      <c r="E166" s="114">
        <f>IF(ISNUMBER(SEARCH("toilet",'01_MASTER_DATABASE'!C163)), "Khóa đơn điểm", "Khóa đa điểm an toàn")</f>
        <v/>
      </c>
      <c r="F166" s="114" t="inlineStr">
        <is>
          <t>Đồng bộ theo hãng phụ kiện</t>
        </is>
      </c>
      <c r="G166" s="114">
        <f>IF(ISNUMBER(SEARCH("bản lề ẩn",'01_MASTER_DATABASE'!Q163)), "Bản lề ẩn cao cấp", "Bản lề nổi tiêu chuẩn")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IF(ISNUMBER(SEARCH("rãnh C",'01_MASTER_DATABASE'!I164)), "Rãnh C Tiêu Chuẩn Châu Âu", "Rãnh 22 Truyền Thống")</f>
        <v/>
      </c>
      <c r="D167" s="114">
        <f>'01_MASTER_DATABASE'!Q164</f>
        <v/>
      </c>
      <c r="E167" s="114">
        <f>IF(ISNUMBER(SEARCH("toilet",'01_MASTER_DATABASE'!C164)), "Khóa đơn điểm", "Khóa đa điểm an toàn")</f>
        <v/>
      </c>
      <c r="F167" s="114" t="inlineStr">
        <is>
          <t>Đồng bộ theo hãng phụ kiện</t>
        </is>
      </c>
      <c r="G167" s="114">
        <f>IF(ISNUMBER(SEARCH("bản lề ẩn",'01_MASTER_DATABASE'!Q164)), "Bản lề ẩn cao cấp", "Bản lề nổi tiêu chuẩn")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IF(ISNUMBER(SEARCH("rãnh C",'01_MASTER_DATABASE'!I165)), "Rãnh C Tiêu Chuẩn Châu Âu", "Rãnh 22 Truyền Thống")</f>
        <v/>
      </c>
      <c r="D168" s="114">
        <f>'01_MASTER_DATABASE'!Q165</f>
        <v/>
      </c>
      <c r="E168" s="114">
        <f>IF(ISNUMBER(SEARCH("toilet",'01_MASTER_DATABASE'!C165)), "Khóa đơn điểm", "Khóa đa điểm an toàn")</f>
        <v/>
      </c>
      <c r="F168" s="114" t="inlineStr">
        <is>
          <t>Đồng bộ theo hãng phụ kiện</t>
        </is>
      </c>
      <c r="G168" s="114">
        <f>IF(ISNUMBER(SEARCH("bản lề ẩn",'01_MASTER_DATABASE'!Q165)), "Bản lề ẩn cao cấp", "Bản lề nổi tiêu chuẩn")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IF(ISNUMBER(SEARCH("rãnh C",'01_MASTER_DATABASE'!I166)), "Rãnh C Tiêu Chuẩn Châu Âu", "Rãnh 22 Truyền Thống")</f>
        <v/>
      </c>
      <c r="D169" s="114">
        <f>'01_MASTER_DATABASE'!Q166</f>
        <v/>
      </c>
      <c r="E169" s="114">
        <f>IF(ISNUMBER(SEARCH("toilet",'01_MASTER_DATABASE'!C166)), "Khóa đơn điểm", "Khóa đa điểm an toàn")</f>
        <v/>
      </c>
      <c r="F169" s="114" t="inlineStr">
        <is>
          <t>Đồng bộ theo hãng phụ kiện</t>
        </is>
      </c>
      <c r="G169" s="114">
        <f>IF(ISNUMBER(SEARCH("bản lề ẩn",'01_MASTER_DATABASE'!Q166)), "Bản lề ẩn cao cấp", "Bản lề nổi tiêu chuẩn")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IF(ISNUMBER(SEARCH("rãnh C",'01_MASTER_DATABASE'!I167)), "Rãnh C Tiêu Chuẩn Châu Âu", "Rãnh 22 Truyền Thống")</f>
        <v/>
      </c>
      <c r="D170" s="114">
        <f>'01_MASTER_DATABASE'!Q167</f>
        <v/>
      </c>
      <c r="E170" s="114">
        <f>IF(ISNUMBER(SEARCH("toilet",'01_MASTER_DATABASE'!C167)), "Khóa đơn điểm", "Khóa đa điểm an toàn")</f>
        <v/>
      </c>
      <c r="F170" s="114" t="inlineStr">
        <is>
          <t>Đồng bộ theo hãng phụ kiện</t>
        </is>
      </c>
      <c r="G170" s="114">
        <f>IF(ISNUMBER(SEARCH("bản lề ẩn",'01_MASTER_DATABASE'!Q167)), "Bản lề ẩn cao cấp", "Bản lề nổi tiêu chuẩn")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IF(ISNUMBER(SEARCH("rãnh C",'01_MASTER_DATABASE'!I168)), "Rãnh C Tiêu Chuẩn Châu Âu", "Rãnh 22 Truyền Thống")</f>
        <v/>
      </c>
      <c r="D171" s="114">
        <f>'01_MASTER_DATABASE'!Q168</f>
        <v/>
      </c>
      <c r="E171" s="114">
        <f>IF(ISNUMBER(SEARCH("toilet",'01_MASTER_DATABASE'!C168)), "Khóa đơn điểm", "Khóa đa điểm an toàn")</f>
        <v/>
      </c>
      <c r="F171" s="114" t="inlineStr">
        <is>
          <t>Đồng bộ theo hãng phụ kiện</t>
        </is>
      </c>
      <c r="G171" s="114">
        <f>IF(ISNUMBER(SEARCH("bản lề ẩn",'01_MASTER_DATABASE'!Q168)), "Bản lề ẩn cao cấp", "Bản lề nổi tiêu chuẩn")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IF(ISNUMBER(SEARCH("rãnh C",'01_MASTER_DATABASE'!I169)), "Rãnh C Tiêu Chuẩn Châu Âu", "Rãnh 22 Truyền Thống")</f>
        <v/>
      </c>
      <c r="D172" s="114">
        <f>'01_MASTER_DATABASE'!Q169</f>
        <v/>
      </c>
      <c r="E172" s="114">
        <f>IF(ISNUMBER(SEARCH("toilet",'01_MASTER_DATABASE'!C169)), "Khóa đơn điểm", "Khóa đa điểm an toàn")</f>
        <v/>
      </c>
      <c r="F172" s="114" t="inlineStr">
        <is>
          <t>Đồng bộ theo hãng phụ kiện</t>
        </is>
      </c>
      <c r="G172" s="114">
        <f>IF(ISNUMBER(SEARCH("bản lề ẩn",'01_MASTER_DATABASE'!Q169)), "Bản lề ẩn cao cấp", "Bản lề nổi tiêu chuẩn")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IF(ISNUMBER(SEARCH("rãnh C",'01_MASTER_DATABASE'!I170)), "Rãnh C Tiêu Chuẩn Châu Âu", "Rãnh 22 Truyền Thống")</f>
        <v/>
      </c>
      <c r="D173" s="114">
        <f>'01_MASTER_DATABASE'!Q170</f>
        <v/>
      </c>
      <c r="E173" s="114">
        <f>IF(ISNUMBER(SEARCH("toilet",'01_MASTER_DATABASE'!C170)), "Khóa đơn điểm", "Khóa đa điểm an toàn")</f>
        <v/>
      </c>
      <c r="F173" s="114" t="inlineStr">
        <is>
          <t>Đồng bộ theo hãng phụ kiện</t>
        </is>
      </c>
      <c r="G173" s="114">
        <f>IF(ISNUMBER(SEARCH("bản lề ẩn",'01_MASTER_DATABASE'!Q170)), "Bản lề ẩn cao cấp", "Bản lề nổi tiêu chuẩn")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IF(ISNUMBER(SEARCH("rãnh C",'01_MASTER_DATABASE'!I171)), "Rãnh C Tiêu Chuẩn Châu Âu", "Rãnh 22 Truyền Thống")</f>
        <v/>
      </c>
      <c r="D174" s="114">
        <f>'01_MASTER_DATABASE'!Q171</f>
        <v/>
      </c>
      <c r="E174" s="114">
        <f>IF(ISNUMBER(SEARCH("toilet",'01_MASTER_DATABASE'!C171)), "Khóa đơn điểm", "Khóa đa điểm an toàn")</f>
        <v/>
      </c>
      <c r="F174" s="114" t="inlineStr">
        <is>
          <t>Đồng bộ theo hãng phụ kiện</t>
        </is>
      </c>
      <c r="G174" s="114">
        <f>IF(ISNUMBER(SEARCH("bản lề ẩn",'01_MASTER_DATABASE'!Q171)), "Bản lề ẩn cao cấp", "Bản lề nổi tiêu chuẩn")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IF(ISNUMBER(SEARCH("rãnh C",'01_MASTER_DATABASE'!I172)), "Rãnh C Tiêu Chuẩn Châu Âu", "Rãnh 22 Truyền Thống")</f>
        <v/>
      </c>
      <c r="D175" s="114">
        <f>'01_MASTER_DATABASE'!Q172</f>
        <v/>
      </c>
      <c r="E175" s="114">
        <f>IF(ISNUMBER(SEARCH("toilet",'01_MASTER_DATABASE'!C172)), "Khóa đơn điểm", "Khóa đa điểm an toàn")</f>
        <v/>
      </c>
      <c r="F175" s="114" t="inlineStr">
        <is>
          <t>Đồng bộ theo hãng phụ kiện</t>
        </is>
      </c>
      <c r="G175" s="114">
        <f>IF(ISNUMBER(SEARCH("bản lề ẩn",'01_MASTER_DATABASE'!Q172)), "Bản lề ẩn cao cấp", "Bản lề nổi tiêu chuẩn")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IF(ISNUMBER(SEARCH("rãnh C",'01_MASTER_DATABASE'!I173)), "Rãnh C Tiêu Chuẩn Châu Âu", "Rãnh 22 Truyền Thống")</f>
        <v/>
      </c>
      <c r="D176" s="114">
        <f>'01_MASTER_DATABASE'!Q173</f>
        <v/>
      </c>
      <c r="E176" s="114">
        <f>IF(ISNUMBER(SEARCH("toilet",'01_MASTER_DATABASE'!C173)), "Khóa đơn điểm", "Khóa đa điểm an toàn")</f>
        <v/>
      </c>
      <c r="F176" s="114" t="inlineStr">
        <is>
          <t>Đồng bộ theo hãng phụ kiện</t>
        </is>
      </c>
      <c r="G176" s="114">
        <f>IF(ISNUMBER(SEARCH("bản lề ẩn",'01_MASTER_DATABASE'!Q173)), "Bản lề ẩn cao cấp", "Bản lề nổi tiêu chuẩn")</f>
        <v/>
      </c>
    </row>
  </sheetData>
  <mergeCells count="1">
    <mergeCell ref="A1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20" customWidth="1" min="5" max="5"/>
    <col width="32" customWidth="1" min="6" max="6"/>
  </cols>
  <sheetData>
    <row r="1" ht="20" customHeight="1">
      <c r="A1" s="109" t="inlineStr">
        <is>
          <t>HỆ THỐNG VẬT TƯ GIOĂNG VÀ KEO ĐỒNG BỘ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Gioăng Cao Su EPDM</t>
        </is>
      </c>
      <c r="D4" s="110" t="inlineStr">
        <is>
          <t>Gioăng Nhựa Dẻo TPE</t>
        </is>
      </c>
      <c r="E4" s="110" t="inlineStr">
        <is>
          <t>Gioăng Lông (Ray Lùa)</t>
        </is>
      </c>
      <c r="F4" s="110" t="inlineStr">
        <is>
          <t>Keo Ép Góc / Silicon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>
        <f>IF(ISNUMBER(SEARCH("EPDM",'01_MASTER_DATABASE'!R2)), "✓", "✗")</f>
        <v/>
      </c>
      <c r="D5" s="113">
        <f>IF(ISNUMBER(SEARCH("TPE",'01_MASTER_DATABASE'!R2)), "✓", "✗")</f>
        <v/>
      </c>
      <c r="E5" s="113">
        <f>IF(ISNUMBER(SEARCH("nỉ",'01_MASTER_DATABASE'!R2)), "✓", "✗")</f>
        <v/>
      </c>
      <c r="F5" s="114">
        <f>'01_MASTER_DATABASE'!R2</f>
        <v/>
      </c>
    </row>
    <row r="6" ht="25" customHeight="1">
      <c r="A6" s="113">
        <f>'01_MASTER_DATABASE'!C3</f>
        <v/>
      </c>
      <c r="B6" s="114">
        <f>'01_MASTER_DATABASE'!D3</f>
        <v/>
      </c>
      <c r="C6" s="113">
        <f>IF(ISNUMBER(SEARCH("EPDM",'01_MASTER_DATABASE'!R3)), "✓", "✗")</f>
        <v/>
      </c>
      <c r="D6" s="113">
        <f>IF(ISNUMBER(SEARCH("TPE",'01_MASTER_DATABASE'!R3)), "✓", "✗")</f>
        <v/>
      </c>
      <c r="E6" s="113">
        <f>IF(ISNUMBER(SEARCH("nỉ",'01_MASTER_DATABASE'!R3)), "✓", "✗")</f>
        <v/>
      </c>
      <c r="F6" s="114">
        <f>'01_MASTER_DATABASE'!R3</f>
        <v/>
      </c>
    </row>
    <row r="7" ht="25" customHeight="1">
      <c r="A7" s="113">
        <f>'01_MASTER_DATABASE'!C4</f>
        <v/>
      </c>
      <c r="B7" s="114">
        <f>'01_MASTER_DATABASE'!D4</f>
        <v/>
      </c>
      <c r="C7" s="113">
        <f>IF(ISNUMBER(SEARCH("EPDM",'01_MASTER_DATABASE'!R4)), "✓", "✗")</f>
        <v/>
      </c>
      <c r="D7" s="113">
        <f>IF(ISNUMBER(SEARCH("TPE",'01_MASTER_DATABASE'!R4)), "✓", "✗")</f>
        <v/>
      </c>
      <c r="E7" s="113">
        <f>IF(ISNUMBER(SEARCH("nỉ",'01_MASTER_DATABASE'!R4)), "✓", "✗")</f>
        <v/>
      </c>
      <c r="F7" s="114">
        <f>'01_MASTER_DATABASE'!R4</f>
        <v/>
      </c>
    </row>
    <row r="8" ht="25" customHeight="1">
      <c r="A8" s="113">
        <f>'01_MASTER_DATABASE'!C5</f>
        <v/>
      </c>
      <c r="B8" s="114">
        <f>'01_MASTER_DATABASE'!D5</f>
        <v/>
      </c>
      <c r="C8" s="113">
        <f>IF(ISNUMBER(SEARCH("EPDM",'01_MASTER_DATABASE'!R5)), "✓", "✗")</f>
        <v/>
      </c>
      <c r="D8" s="113">
        <f>IF(ISNUMBER(SEARCH("TPE",'01_MASTER_DATABASE'!R5)), "✓", "✗")</f>
        <v/>
      </c>
      <c r="E8" s="113">
        <f>IF(ISNUMBER(SEARCH("nỉ",'01_MASTER_DATABASE'!R5)), "✓", "✗")</f>
        <v/>
      </c>
      <c r="F8" s="114">
        <f>'01_MASTER_DATABASE'!R5</f>
        <v/>
      </c>
    </row>
    <row r="9" ht="25" customHeight="1">
      <c r="A9" s="113">
        <f>'01_MASTER_DATABASE'!C6</f>
        <v/>
      </c>
      <c r="B9" s="114">
        <f>'01_MASTER_DATABASE'!D6</f>
        <v/>
      </c>
      <c r="C9" s="113">
        <f>IF(ISNUMBER(SEARCH("EPDM",'01_MASTER_DATABASE'!R6)), "✓", "✗")</f>
        <v/>
      </c>
      <c r="D9" s="113">
        <f>IF(ISNUMBER(SEARCH("TPE",'01_MASTER_DATABASE'!R6)), "✓", "✗")</f>
        <v/>
      </c>
      <c r="E9" s="113">
        <f>IF(ISNUMBER(SEARCH("nỉ",'01_MASTER_DATABASE'!R6)), "✓", "✗")</f>
        <v/>
      </c>
      <c r="F9" s="114">
        <f>'01_MASTER_DATABASE'!R6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3">
        <f>IF(ISNUMBER(SEARCH("EPDM",'01_MASTER_DATABASE'!R7)), "✓", "✗")</f>
        <v/>
      </c>
      <c r="D10" s="113">
        <f>IF(ISNUMBER(SEARCH("TPE",'01_MASTER_DATABASE'!R7)), "✓", "✗")</f>
        <v/>
      </c>
      <c r="E10" s="113">
        <f>IF(ISNUMBER(SEARCH("nỉ",'01_MASTER_DATABASE'!R7)), "✓", "✗")</f>
        <v/>
      </c>
      <c r="F10" s="114">
        <f>'01_MASTER_DATABASE'!R7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3">
        <f>IF(ISNUMBER(SEARCH("EPDM",'01_MASTER_DATABASE'!R8)), "✓", "✗")</f>
        <v/>
      </c>
      <c r="D11" s="113">
        <f>IF(ISNUMBER(SEARCH("TPE",'01_MASTER_DATABASE'!R8)), "✓", "✗")</f>
        <v/>
      </c>
      <c r="E11" s="113">
        <f>IF(ISNUMBER(SEARCH("nỉ",'01_MASTER_DATABASE'!R8)), "✓", "✗")</f>
        <v/>
      </c>
      <c r="F11" s="114">
        <f>'01_MASTER_DATABASE'!R8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3">
        <f>IF(ISNUMBER(SEARCH("EPDM",'01_MASTER_DATABASE'!R9)), "✓", "✗")</f>
        <v/>
      </c>
      <c r="D12" s="113">
        <f>IF(ISNUMBER(SEARCH("TPE",'01_MASTER_DATABASE'!R9)), "✓", "✗")</f>
        <v/>
      </c>
      <c r="E12" s="113">
        <f>IF(ISNUMBER(SEARCH("nỉ",'01_MASTER_DATABASE'!R9)), "✓", "✗")</f>
        <v/>
      </c>
      <c r="F12" s="114">
        <f>'01_MASTER_DATABASE'!R9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3">
        <f>IF(ISNUMBER(SEARCH("EPDM",'01_MASTER_DATABASE'!R10)), "✓", "✗")</f>
        <v/>
      </c>
      <c r="D13" s="113">
        <f>IF(ISNUMBER(SEARCH("TPE",'01_MASTER_DATABASE'!R10)), "✓", "✗")</f>
        <v/>
      </c>
      <c r="E13" s="113">
        <f>IF(ISNUMBER(SEARCH("nỉ",'01_MASTER_DATABASE'!R10)), "✓", "✗")</f>
        <v/>
      </c>
      <c r="F13" s="114">
        <f>'01_MASTER_DATABASE'!R10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3">
        <f>IF(ISNUMBER(SEARCH("EPDM",'01_MASTER_DATABASE'!R11)), "✓", "✗")</f>
        <v/>
      </c>
      <c r="D14" s="113">
        <f>IF(ISNUMBER(SEARCH("TPE",'01_MASTER_DATABASE'!R11)), "✓", "✗")</f>
        <v/>
      </c>
      <c r="E14" s="113">
        <f>IF(ISNUMBER(SEARCH("nỉ",'01_MASTER_DATABASE'!R11)), "✓", "✗")</f>
        <v/>
      </c>
      <c r="F14" s="114">
        <f>'01_MASTER_DATABASE'!R11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3">
        <f>IF(ISNUMBER(SEARCH("EPDM",'01_MASTER_DATABASE'!R12)), "✓", "✗")</f>
        <v/>
      </c>
      <c r="D15" s="113">
        <f>IF(ISNUMBER(SEARCH("TPE",'01_MASTER_DATABASE'!R12)), "✓", "✗")</f>
        <v/>
      </c>
      <c r="E15" s="113">
        <f>IF(ISNUMBER(SEARCH("nỉ",'01_MASTER_DATABASE'!R12)), "✓", "✗")</f>
        <v/>
      </c>
      <c r="F15" s="114">
        <f>'01_MASTER_DATABASE'!R12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3">
        <f>IF(ISNUMBER(SEARCH("EPDM",'01_MASTER_DATABASE'!R13)), "✓", "✗")</f>
        <v/>
      </c>
      <c r="D16" s="113">
        <f>IF(ISNUMBER(SEARCH("TPE",'01_MASTER_DATABASE'!R13)), "✓", "✗")</f>
        <v/>
      </c>
      <c r="E16" s="113">
        <f>IF(ISNUMBER(SEARCH("nỉ",'01_MASTER_DATABASE'!R13)), "✓", "✗")</f>
        <v/>
      </c>
      <c r="F16" s="114">
        <f>'01_MASTER_DATABASE'!R13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3">
        <f>IF(ISNUMBER(SEARCH("EPDM",'01_MASTER_DATABASE'!R14)), "✓", "✗")</f>
        <v/>
      </c>
      <c r="D17" s="113">
        <f>IF(ISNUMBER(SEARCH("TPE",'01_MASTER_DATABASE'!R14)), "✓", "✗")</f>
        <v/>
      </c>
      <c r="E17" s="113">
        <f>IF(ISNUMBER(SEARCH("nỉ",'01_MASTER_DATABASE'!R14)), "✓", "✗")</f>
        <v/>
      </c>
      <c r="F17" s="114">
        <f>'01_MASTER_DATABASE'!R14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3">
        <f>IF(ISNUMBER(SEARCH("EPDM",'01_MASTER_DATABASE'!R15)), "✓", "✗")</f>
        <v/>
      </c>
      <c r="D18" s="113">
        <f>IF(ISNUMBER(SEARCH("TPE",'01_MASTER_DATABASE'!R15)), "✓", "✗")</f>
        <v/>
      </c>
      <c r="E18" s="113">
        <f>IF(ISNUMBER(SEARCH("nỉ",'01_MASTER_DATABASE'!R15)), "✓", "✗")</f>
        <v/>
      </c>
      <c r="F18" s="114">
        <f>'01_MASTER_DATABASE'!R15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3">
        <f>IF(ISNUMBER(SEARCH("EPDM",'01_MASTER_DATABASE'!R16)), "✓", "✗")</f>
        <v/>
      </c>
      <c r="D19" s="113">
        <f>IF(ISNUMBER(SEARCH("TPE",'01_MASTER_DATABASE'!R16)), "✓", "✗")</f>
        <v/>
      </c>
      <c r="E19" s="113">
        <f>IF(ISNUMBER(SEARCH("nỉ",'01_MASTER_DATABASE'!R16)), "✓", "✗")</f>
        <v/>
      </c>
      <c r="F19" s="114">
        <f>'01_MASTER_DATABASE'!R16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3">
        <f>IF(ISNUMBER(SEARCH("EPDM",'01_MASTER_DATABASE'!R17)), "✓", "✗")</f>
        <v/>
      </c>
      <c r="D20" s="113">
        <f>IF(ISNUMBER(SEARCH("TPE",'01_MASTER_DATABASE'!R17)), "✓", "✗")</f>
        <v/>
      </c>
      <c r="E20" s="113">
        <f>IF(ISNUMBER(SEARCH("nỉ",'01_MASTER_DATABASE'!R17)), "✓", "✗")</f>
        <v/>
      </c>
      <c r="F20" s="114">
        <f>'01_MASTER_DATABASE'!R17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3">
        <f>IF(ISNUMBER(SEARCH("EPDM",'01_MASTER_DATABASE'!R18)), "✓", "✗")</f>
        <v/>
      </c>
      <c r="D21" s="113">
        <f>IF(ISNUMBER(SEARCH("TPE",'01_MASTER_DATABASE'!R18)), "✓", "✗")</f>
        <v/>
      </c>
      <c r="E21" s="113">
        <f>IF(ISNUMBER(SEARCH("nỉ",'01_MASTER_DATABASE'!R18)), "✓", "✗")</f>
        <v/>
      </c>
      <c r="F21" s="114">
        <f>'01_MASTER_DATABASE'!R18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3">
        <f>IF(ISNUMBER(SEARCH("EPDM",'01_MASTER_DATABASE'!R19)), "✓", "✗")</f>
        <v/>
      </c>
      <c r="D22" s="113">
        <f>IF(ISNUMBER(SEARCH("TPE",'01_MASTER_DATABASE'!R19)), "✓", "✗")</f>
        <v/>
      </c>
      <c r="E22" s="113">
        <f>IF(ISNUMBER(SEARCH("nỉ",'01_MASTER_DATABASE'!R19)), "✓", "✗")</f>
        <v/>
      </c>
      <c r="F22" s="114">
        <f>'01_MASTER_DATABASE'!R19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3">
        <f>IF(ISNUMBER(SEARCH("EPDM",'01_MASTER_DATABASE'!R20)), "✓", "✗")</f>
        <v/>
      </c>
      <c r="D23" s="113">
        <f>IF(ISNUMBER(SEARCH("TPE",'01_MASTER_DATABASE'!R20)), "✓", "✗")</f>
        <v/>
      </c>
      <c r="E23" s="113">
        <f>IF(ISNUMBER(SEARCH("nỉ",'01_MASTER_DATABASE'!R20)), "✓", "✗")</f>
        <v/>
      </c>
      <c r="F23" s="114">
        <f>'01_MASTER_DATABASE'!R20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3">
        <f>IF(ISNUMBER(SEARCH("EPDM",'01_MASTER_DATABASE'!R21)), "✓", "✗")</f>
        <v/>
      </c>
      <c r="D24" s="113">
        <f>IF(ISNUMBER(SEARCH("TPE",'01_MASTER_DATABASE'!R21)), "✓", "✗")</f>
        <v/>
      </c>
      <c r="E24" s="113">
        <f>IF(ISNUMBER(SEARCH("nỉ",'01_MASTER_DATABASE'!R21)), "✓", "✗")</f>
        <v/>
      </c>
      <c r="F24" s="114">
        <f>'01_MASTER_DATABASE'!R21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3">
        <f>IF(ISNUMBER(SEARCH("EPDM",'01_MASTER_DATABASE'!R22)), "✓", "✗")</f>
        <v/>
      </c>
      <c r="D25" s="113">
        <f>IF(ISNUMBER(SEARCH("TPE",'01_MASTER_DATABASE'!R22)), "✓", "✗")</f>
        <v/>
      </c>
      <c r="E25" s="113">
        <f>IF(ISNUMBER(SEARCH("nỉ",'01_MASTER_DATABASE'!R22)), "✓", "✗")</f>
        <v/>
      </c>
      <c r="F25" s="114">
        <f>'01_MASTER_DATABASE'!R22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3">
        <f>IF(ISNUMBER(SEARCH("EPDM",'01_MASTER_DATABASE'!R23)), "✓", "✗")</f>
        <v/>
      </c>
      <c r="D26" s="113">
        <f>IF(ISNUMBER(SEARCH("TPE",'01_MASTER_DATABASE'!R23)), "✓", "✗")</f>
        <v/>
      </c>
      <c r="E26" s="113">
        <f>IF(ISNUMBER(SEARCH("nỉ",'01_MASTER_DATABASE'!R23)), "✓", "✗")</f>
        <v/>
      </c>
      <c r="F26" s="114">
        <f>'01_MASTER_DATABASE'!R23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3">
        <f>IF(ISNUMBER(SEARCH("EPDM",'01_MASTER_DATABASE'!R24)), "✓", "✗")</f>
        <v/>
      </c>
      <c r="D27" s="113">
        <f>IF(ISNUMBER(SEARCH("TPE",'01_MASTER_DATABASE'!R24)), "✓", "✗")</f>
        <v/>
      </c>
      <c r="E27" s="113">
        <f>IF(ISNUMBER(SEARCH("nỉ",'01_MASTER_DATABASE'!R24)), "✓", "✗")</f>
        <v/>
      </c>
      <c r="F27" s="114">
        <f>'01_MASTER_DATABASE'!R24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3">
        <f>IF(ISNUMBER(SEARCH("EPDM",'01_MASTER_DATABASE'!R25)), "✓", "✗")</f>
        <v/>
      </c>
      <c r="D28" s="113">
        <f>IF(ISNUMBER(SEARCH("TPE",'01_MASTER_DATABASE'!R25)), "✓", "✗")</f>
        <v/>
      </c>
      <c r="E28" s="113">
        <f>IF(ISNUMBER(SEARCH("nỉ",'01_MASTER_DATABASE'!R25)), "✓", "✗")</f>
        <v/>
      </c>
      <c r="F28" s="114">
        <f>'01_MASTER_DATABASE'!R25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3">
        <f>IF(ISNUMBER(SEARCH("EPDM",'01_MASTER_DATABASE'!R26)), "✓", "✗")</f>
        <v/>
      </c>
      <c r="D29" s="113">
        <f>IF(ISNUMBER(SEARCH("TPE",'01_MASTER_DATABASE'!R26)), "✓", "✗")</f>
        <v/>
      </c>
      <c r="E29" s="113">
        <f>IF(ISNUMBER(SEARCH("nỉ",'01_MASTER_DATABASE'!R26)), "✓", "✗")</f>
        <v/>
      </c>
      <c r="F29" s="114">
        <f>'01_MASTER_DATABASE'!R26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3">
        <f>IF(ISNUMBER(SEARCH("EPDM",'01_MASTER_DATABASE'!R27)), "✓", "✗")</f>
        <v/>
      </c>
      <c r="D30" s="113">
        <f>IF(ISNUMBER(SEARCH("TPE",'01_MASTER_DATABASE'!R27)), "✓", "✗")</f>
        <v/>
      </c>
      <c r="E30" s="113">
        <f>IF(ISNUMBER(SEARCH("nỉ",'01_MASTER_DATABASE'!R27)), "✓", "✗")</f>
        <v/>
      </c>
      <c r="F30" s="114">
        <f>'01_MASTER_DATABASE'!R27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3">
        <f>IF(ISNUMBER(SEARCH("EPDM",'01_MASTER_DATABASE'!R28)), "✓", "✗")</f>
        <v/>
      </c>
      <c r="D31" s="113">
        <f>IF(ISNUMBER(SEARCH("TPE",'01_MASTER_DATABASE'!R28)), "✓", "✗")</f>
        <v/>
      </c>
      <c r="E31" s="113">
        <f>IF(ISNUMBER(SEARCH("nỉ",'01_MASTER_DATABASE'!R28)), "✓", "✗")</f>
        <v/>
      </c>
      <c r="F31" s="114">
        <f>'01_MASTER_DATABASE'!R28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3">
        <f>IF(ISNUMBER(SEARCH("EPDM",'01_MASTER_DATABASE'!R29)), "✓", "✗")</f>
        <v/>
      </c>
      <c r="D32" s="113">
        <f>IF(ISNUMBER(SEARCH("TPE",'01_MASTER_DATABASE'!R29)), "✓", "✗")</f>
        <v/>
      </c>
      <c r="E32" s="113">
        <f>IF(ISNUMBER(SEARCH("nỉ",'01_MASTER_DATABASE'!R29)), "✓", "✗")</f>
        <v/>
      </c>
      <c r="F32" s="114">
        <f>'01_MASTER_DATABASE'!R29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3">
        <f>IF(ISNUMBER(SEARCH("EPDM",'01_MASTER_DATABASE'!R30)), "✓", "✗")</f>
        <v/>
      </c>
      <c r="D33" s="113">
        <f>IF(ISNUMBER(SEARCH("TPE",'01_MASTER_DATABASE'!R30)), "✓", "✗")</f>
        <v/>
      </c>
      <c r="E33" s="113">
        <f>IF(ISNUMBER(SEARCH("nỉ",'01_MASTER_DATABASE'!R30)), "✓", "✗")</f>
        <v/>
      </c>
      <c r="F33" s="114">
        <f>'01_MASTER_DATABASE'!R30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3">
        <f>IF(ISNUMBER(SEARCH("EPDM",'01_MASTER_DATABASE'!R31)), "✓", "✗")</f>
        <v/>
      </c>
      <c r="D34" s="113">
        <f>IF(ISNUMBER(SEARCH("TPE",'01_MASTER_DATABASE'!R31)), "✓", "✗")</f>
        <v/>
      </c>
      <c r="E34" s="113">
        <f>IF(ISNUMBER(SEARCH("nỉ",'01_MASTER_DATABASE'!R31)), "✓", "✗")</f>
        <v/>
      </c>
      <c r="F34" s="114">
        <f>'01_MASTER_DATABASE'!R31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3">
        <f>IF(ISNUMBER(SEARCH("EPDM",'01_MASTER_DATABASE'!R32)), "✓", "✗")</f>
        <v/>
      </c>
      <c r="D35" s="113">
        <f>IF(ISNUMBER(SEARCH("TPE",'01_MASTER_DATABASE'!R32)), "✓", "✗")</f>
        <v/>
      </c>
      <c r="E35" s="113">
        <f>IF(ISNUMBER(SEARCH("nỉ",'01_MASTER_DATABASE'!R32)), "✓", "✗")</f>
        <v/>
      </c>
      <c r="F35" s="114">
        <f>'01_MASTER_DATABASE'!R32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3">
        <f>IF(ISNUMBER(SEARCH("EPDM",'01_MASTER_DATABASE'!R33)), "✓", "✗")</f>
        <v/>
      </c>
      <c r="D36" s="113">
        <f>IF(ISNUMBER(SEARCH("TPE",'01_MASTER_DATABASE'!R33)), "✓", "✗")</f>
        <v/>
      </c>
      <c r="E36" s="113">
        <f>IF(ISNUMBER(SEARCH("nỉ",'01_MASTER_DATABASE'!R33)), "✓", "✗")</f>
        <v/>
      </c>
      <c r="F36" s="114">
        <f>'01_MASTER_DATABASE'!R33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3">
        <f>IF(ISNUMBER(SEARCH("EPDM",'01_MASTER_DATABASE'!R34)), "✓", "✗")</f>
        <v/>
      </c>
      <c r="D37" s="113">
        <f>IF(ISNUMBER(SEARCH("TPE",'01_MASTER_DATABASE'!R34)), "✓", "✗")</f>
        <v/>
      </c>
      <c r="E37" s="113">
        <f>IF(ISNUMBER(SEARCH("nỉ",'01_MASTER_DATABASE'!R34)), "✓", "✗")</f>
        <v/>
      </c>
      <c r="F37" s="114">
        <f>'01_MASTER_DATABASE'!R34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3">
        <f>IF(ISNUMBER(SEARCH("EPDM",'01_MASTER_DATABASE'!R35)), "✓", "✗")</f>
        <v/>
      </c>
      <c r="D38" s="113">
        <f>IF(ISNUMBER(SEARCH("TPE",'01_MASTER_DATABASE'!R35)), "✓", "✗")</f>
        <v/>
      </c>
      <c r="E38" s="113">
        <f>IF(ISNUMBER(SEARCH("nỉ",'01_MASTER_DATABASE'!R35)), "✓", "✗")</f>
        <v/>
      </c>
      <c r="F38" s="114">
        <f>'01_MASTER_DATABASE'!R35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3">
        <f>IF(ISNUMBER(SEARCH("EPDM",'01_MASTER_DATABASE'!R36)), "✓", "✗")</f>
        <v/>
      </c>
      <c r="D39" s="113">
        <f>IF(ISNUMBER(SEARCH("TPE",'01_MASTER_DATABASE'!R36)), "✓", "✗")</f>
        <v/>
      </c>
      <c r="E39" s="113">
        <f>IF(ISNUMBER(SEARCH("nỉ",'01_MASTER_DATABASE'!R36)), "✓", "✗")</f>
        <v/>
      </c>
      <c r="F39" s="114">
        <f>'01_MASTER_DATABASE'!R36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3">
        <f>IF(ISNUMBER(SEARCH("EPDM",'01_MASTER_DATABASE'!R37)), "✓", "✗")</f>
        <v/>
      </c>
      <c r="D40" s="113">
        <f>IF(ISNUMBER(SEARCH("TPE",'01_MASTER_DATABASE'!R37)), "✓", "✗")</f>
        <v/>
      </c>
      <c r="E40" s="113">
        <f>IF(ISNUMBER(SEARCH("nỉ",'01_MASTER_DATABASE'!R37)), "✓", "✗")</f>
        <v/>
      </c>
      <c r="F40" s="114">
        <f>'01_MASTER_DATABASE'!R37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3">
        <f>IF(ISNUMBER(SEARCH("EPDM",'01_MASTER_DATABASE'!R38)), "✓", "✗")</f>
        <v/>
      </c>
      <c r="D41" s="113">
        <f>IF(ISNUMBER(SEARCH("TPE",'01_MASTER_DATABASE'!R38)), "✓", "✗")</f>
        <v/>
      </c>
      <c r="E41" s="113">
        <f>IF(ISNUMBER(SEARCH("nỉ",'01_MASTER_DATABASE'!R38)), "✓", "✗")</f>
        <v/>
      </c>
      <c r="F41" s="114">
        <f>'01_MASTER_DATABASE'!R38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3">
        <f>IF(ISNUMBER(SEARCH("EPDM",'01_MASTER_DATABASE'!R39)), "✓", "✗")</f>
        <v/>
      </c>
      <c r="D42" s="113">
        <f>IF(ISNUMBER(SEARCH("TPE",'01_MASTER_DATABASE'!R39)), "✓", "✗")</f>
        <v/>
      </c>
      <c r="E42" s="113">
        <f>IF(ISNUMBER(SEARCH("nỉ",'01_MASTER_DATABASE'!R39)), "✓", "✗")</f>
        <v/>
      </c>
      <c r="F42" s="114">
        <f>'01_MASTER_DATABASE'!R39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3">
        <f>IF(ISNUMBER(SEARCH("EPDM",'01_MASTER_DATABASE'!R40)), "✓", "✗")</f>
        <v/>
      </c>
      <c r="D43" s="113">
        <f>IF(ISNUMBER(SEARCH("TPE",'01_MASTER_DATABASE'!R40)), "✓", "✗")</f>
        <v/>
      </c>
      <c r="E43" s="113">
        <f>IF(ISNUMBER(SEARCH("nỉ",'01_MASTER_DATABASE'!R40)), "✓", "✗")</f>
        <v/>
      </c>
      <c r="F43" s="114">
        <f>'01_MASTER_DATABASE'!R40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3">
        <f>IF(ISNUMBER(SEARCH("EPDM",'01_MASTER_DATABASE'!R41)), "✓", "✗")</f>
        <v/>
      </c>
      <c r="D44" s="113">
        <f>IF(ISNUMBER(SEARCH("TPE",'01_MASTER_DATABASE'!R41)), "✓", "✗")</f>
        <v/>
      </c>
      <c r="E44" s="113">
        <f>IF(ISNUMBER(SEARCH("nỉ",'01_MASTER_DATABASE'!R41)), "✓", "✗")</f>
        <v/>
      </c>
      <c r="F44" s="114">
        <f>'01_MASTER_DATABASE'!R41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3">
        <f>IF(ISNUMBER(SEARCH("EPDM",'01_MASTER_DATABASE'!R42)), "✓", "✗")</f>
        <v/>
      </c>
      <c r="D45" s="113">
        <f>IF(ISNUMBER(SEARCH("TPE",'01_MASTER_DATABASE'!R42)), "✓", "✗")</f>
        <v/>
      </c>
      <c r="E45" s="113">
        <f>IF(ISNUMBER(SEARCH("nỉ",'01_MASTER_DATABASE'!R42)), "✓", "✗")</f>
        <v/>
      </c>
      <c r="F45" s="114">
        <f>'01_MASTER_DATABASE'!R42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3">
        <f>IF(ISNUMBER(SEARCH("EPDM",'01_MASTER_DATABASE'!R43)), "✓", "✗")</f>
        <v/>
      </c>
      <c r="D46" s="113">
        <f>IF(ISNUMBER(SEARCH("TPE",'01_MASTER_DATABASE'!R43)), "✓", "✗")</f>
        <v/>
      </c>
      <c r="E46" s="113">
        <f>IF(ISNUMBER(SEARCH("nỉ",'01_MASTER_DATABASE'!R43)), "✓", "✗")</f>
        <v/>
      </c>
      <c r="F46" s="114">
        <f>'01_MASTER_DATABASE'!R43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3">
        <f>IF(ISNUMBER(SEARCH("EPDM",'01_MASTER_DATABASE'!R44)), "✓", "✗")</f>
        <v/>
      </c>
      <c r="D47" s="113">
        <f>IF(ISNUMBER(SEARCH("TPE",'01_MASTER_DATABASE'!R44)), "✓", "✗")</f>
        <v/>
      </c>
      <c r="E47" s="113">
        <f>IF(ISNUMBER(SEARCH("nỉ",'01_MASTER_DATABASE'!R44)), "✓", "✗")</f>
        <v/>
      </c>
      <c r="F47" s="114">
        <f>'01_MASTER_DATABASE'!R44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3">
        <f>IF(ISNUMBER(SEARCH("EPDM",'01_MASTER_DATABASE'!R45)), "✓", "✗")</f>
        <v/>
      </c>
      <c r="D48" s="113">
        <f>IF(ISNUMBER(SEARCH("TPE",'01_MASTER_DATABASE'!R45)), "✓", "✗")</f>
        <v/>
      </c>
      <c r="E48" s="113">
        <f>IF(ISNUMBER(SEARCH("nỉ",'01_MASTER_DATABASE'!R45)), "✓", "✗")</f>
        <v/>
      </c>
      <c r="F48" s="114">
        <f>'01_MASTER_DATABASE'!R45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3">
        <f>IF(ISNUMBER(SEARCH("EPDM",'01_MASTER_DATABASE'!R46)), "✓", "✗")</f>
        <v/>
      </c>
      <c r="D49" s="113">
        <f>IF(ISNUMBER(SEARCH("TPE",'01_MASTER_DATABASE'!R46)), "✓", "✗")</f>
        <v/>
      </c>
      <c r="E49" s="113">
        <f>IF(ISNUMBER(SEARCH("nỉ",'01_MASTER_DATABASE'!R46)), "✓", "✗")</f>
        <v/>
      </c>
      <c r="F49" s="114">
        <f>'01_MASTER_DATABASE'!R46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3">
        <f>IF(ISNUMBER(SEARCH("EPDM",'01_MASTER_DATABASE'!R47)), "✓", "✗")</f>
        <v/>
      </c>
      <c r="D50" s="113">
        <f>IF(ISNUMBER(SEARCH("TPE",'01_MASTER_DATABASE'!R47)), "✓", "✗")</f>
        <v/>
      </c>
      <c r="E50" s="113">
        <f>IF(ISNUMBER(SEARCH("nỉ",'01_MASTER_DATABASE'!R47)), "✓", "✗")</f>
        <v/>
      </c>
      <c r="F50" s="114">
        <f>'01_MASTER_DATABASE'!R47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3">
        <f>IF(ISNUMBER(SEARCH("EPDM",'01_MASTER_DATABASE'!R48)), "✓", "✗")</f>
        <v/>
      </c>
      <c r="D51" s="113">
        <f>IF(ISNUMBER(SEARCH("TPE",'01_MASTER_DATABASE'!R48)), "✓", "✗")</f>
        <v/>
      </c>
      <c r="E51" s="113">
        <f>IF(ISNUMBER(SEARCH("nỉ",'01_MASTER_DATABASE'!R48)), "✓", "✗")</f>
        <v/>
      </c>
      <c r="F51" s="114">
        <f>'01_MASTER_DATABASE'!R48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3">
        <f>IF(ISNUMBER(SEARCH("EPDM",'01_MASTER_DATABASE'!R49)), "✓", "✗")</f>
        <v/>
      </c>
      <c r="D52" s="113">
        <f>IF(ISNUMBER(SEARCH("TPE",'01_MASTER_DATABASE'!R49)), "✓", "✗")</f>
        <v/>
      </c>
      <c r="E52" s="113">
        <f>IF(ISNUMBER(SEARCH("nỉ",'01_MASTER_DATABASE'!R49)), "✓", "✗")</f>
        <v/>
      </c>
      <c r="F52" s="114">
        <f>'01_MASTER_DATABASE'!R49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3">
        <f>IF(ISNUMBER(SEARCH("EPDM",'01_MASTER_DATABASE'!R50)), "✓", "✗")</f>
        <v/>
      </c>
      <c r="D53" s="113">
        <f>IF(ISNUMBER(SEARCH("TPE",'01_MASTER_DATABASE'!R50)), "✓", "✗")</f>
        <v/>
      </c>
      <c r="E53" s="113">
        <f>IF(ISNUMBER(SEARCH("nỉ",'01_MASTER_DATABASE'!R50)), "✓", "✗")</f>
        <v/>
      </c>
      <c r="F53" s="114">
        <f>'01_MASTER_DATABASE'!R50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3">
        <f>IF(ISNUMBER(SEARCH("EPDM",'01_MASTER_DATABASE'!R51)), "✓", "✗")</f>
        <v/>
      </c>
      <c r="D54" s="113">
        <f>IF(ISNUMBER(SEARCH("TPE",'01_MASTER_DATABASE'!R51)), "✓", "✗")</f>
        <v/>
      </c>
      <c r="E54" s="113">
        <f>IF(ISNUMBER(SEARCH("nỉ",'01_MASTER_DATABASE'!R51)), "✓", "✗")</f>
        <v/>
      </c>
      <c r="F54" s="114">
        <f>'01_MASTER_DATABASE'!R51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3">
        <f>IF(ISNUMBER(SEARCH("EPDM",'01_MASTER_DATABASE'!R52)), "✓", "✗")</f>
        <v/>
      </c>
      <c r="D55" s="113">
        <f>IF(ISNUMBER(SEARCH("TPE",'01_MASTER_DATABASE'!R52)), "✓", "✗")</f>
        <v/>
      </c>
      <c r="E55" s="113">
        <f>IF(ISNUMBER(SEARCH("nỉ",'01_MASTER_DATABASE'!R52)), "✓", "✗")</f>
        <v/>
      </c>
      <c r="F55" s="114">
        <f>'01_MASTER_DATABASE'!R52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3">
        <f>IF(ISNUMBER(SEARCH("EPDM",'01_MASTER_DATABASE'!R53)), "✓", "✗")</f>
        <v/>
      </c>
      <c r="D56" s="113">
        <f>IF(ISNUMBER(SEARCH("TPE",'01_MASTER_DATABASE'!R53)), "✓", "✗")</f>
        <v/>
      </c>
      <c r="E56" s="113">
        <f>IF(ISNUMBER(SEARCH("nỉ",'01_MASTER_DATABASE'!R53)), "✓", "✗")</f>
        <v/>
      </c>
      <c r="F56" s="114">
        <f>'01_MASTER_DATABASE'!R53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3">
        <f>IF(ISNUMBER(SEARCH("EPDM",'01_MASTER_DATABASE'!R54)), "✓", "✗")</f>
        <v/>
      </c>
      <c r="D57" s="113">
        <f>IF(ISNUMBER(SEARCH("TPE",'01_MASTER_DATABASE'!R54)), "✓", "✗")</f>
        <v/>
      </c>
      <c r="E57" s="113">
        <f>IF(ISNUMBER(SEARCH("nỉ",'01_MASTER_DATABASE'!R54)), "✓", "✗")</f>
        <v/>
      </c>
      <c r="F57" s="114">
        <f>'01_MASTER_DATABASE'!R54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3">
        <f>IF(ISNUMBER(SEARCH("EPDM",'01_MASTER_DATABASE'!R55)), "✓", "✗")</f>
        <v/>
      </c>
      <c r="D58" s="113">
        <f>IF(ISNUMBER(SEARCH("TPE",'01_MASTER_DATABASE'!R55)), "✓", "✗")</f>
        <v/>
      </c>
      <c r="E58" s="113">
        <f>IF(ISNUMBER(SEARCH("nỉ",'01_MASTER_DATABASE'!R55)), "✓", "✗")</f>
        <v/>
      </c>
      <c r="F58" s="114">
        <f>'01_MASTER_DATABASE'!R55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3">
        <f>IF(ISNUMBER(SEARCH("EPDM",'01_MASTER_DATABASE'!R56)), "✓", "✗")</f>
        <v/>
      </c>
      <c r="D59" s="113">
        <f>IF(ISNUMBER(SEARCH("TPE",'01_MASTER_DATABASE'!R56)), "✓", "✗")</f>
        <v/>
      </c>
      <c r="E59" s="113">
        <f>IF(ISNUMBER(SEARCH("nỉ",'01_MASTER_DATABASE'!R56)), "✓", "✗")</f>
        <v/>
      </c>
      <c r="F59" s="114">
        <f>'01_MASTER_DATABASE'!R56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3">
        <f>IF(ISNUMBER(SEARCH("EPDM",'01_MASTER_DATABASE'!R57)), "✓", "✗")</f>
        <v/>
      </c>
      <c r="D60" s="113">
        <f>IF(ISNUMBER(SEARCH("TPE",'01_MASTER_DATABASE'!R57)), "✓", "✗")</f>
        <v/>
      </c>
      <c r="E60" s="113">
        <f>IF(ISNUMBER(SEARCH("nỉ",'01_MASTER_DATABASE'!R57)), "✓", "✗")</f>
        <v/>
      </c>
      <c r="F60" s="114">
        <f>'01_MASTER_DATABASE'!R57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3">
        <f>IF(ISNUMBER(SEARCH("EPDM",'01_MASTER_DATABASE'!R58)), "✓", "✗")</f>
        <v/>
      </c>
      <c r="D61" s="113">
        <f>IF(ISNUMBER(SEARCH("TPE",'01_MASTER_DATABASE'!R58)), "✓", "✗")</f>
        <v/>
      </c>
      <c r="E61" s="113">
        <f>IF(ISNUMBER(SEARCH("nỉ",'01_MASTER_DATABASE'!R58)), "✓", "✗")</f>
        <v/>
      </c>
      <c r="F61" s="114">
        <f>'01_MASTER_DATABASE'!R58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3">
        <f>IF(ISNUMBER(SEARCH("EPDM",'01_MASTER_DATABASE'!R59)), "✓", "✗")</f>
        <v/>
      </c>
      <c r="D62" s="113">
        <f>IF(ISNUMBER(SEARCH("TPE",'01_MASTER_DATABASE'!R59)), "✓", "✗")</f>
        <v/>
      </c>
      <c r="E62" s="113">
        <f>IF(ISNUMBER(SEARCH("nỉ",'01_MASTER_DATABASE'!R59)), "✓", "✗")</f>
        <v/>
      </c>
      <c r="F62" s="114">
        <f>'01_MASTER_DATABASE'!R59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3">
        <f>IF(ISNUMBER(SEARCH("EPDM",'01_MASTER_DATABASE'!R60)), "✓", "✗")</f>
        <v/>
      </c>
      <c r="D63" s="113">
        <f>IF(ISNUMBER(SEARCH("TPE",'01_MASTER_DATABASE'!R60)), "✓", "✗")</f>
        <v/>
      </c>
      <c r="E63" s="113">
        <f>IF(ISNUMBER(SEARCH("nỉ",'01_MASTER_DATABASE'!R60)), "✓", "✗")</f>
        <v/>
      </c>
      <c r="F63" s="114">
        <f>'01_MASTER_DATABASE'!R60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3">
        <f>IF(ISNUMBER(SEARCH("EPDM",'01_MASTER_DATABASE'!R61)), "✓", "✗")</f>
        <v/>
      </c>
      <c r="D64" s="113">
        <f>IF(ISNUMBER(SEARCH("TPE",'01_MASTER_DATABASE'!R61)), "✓", "✗")</f>
        <v/>
      </c>
      <c r="E64" s="113">
        <f>IF(ISNUMBER(SEARCH("nỉ",'01_MASTER_DATABASE'!R61)), "✓", "✗")</f>
        <v/>
      </c>
      <c r="F64" s="114">
        <f>'01_MASTER_DATABASE'!R61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3">
        <f>IF(ISNUMBER(SEARCH("EPDM",'01_MASTER_DATABASE'!R62)), "✓", "✗")</f>
        <v/>
      </c>
      <c r="D65" s="113">
        <f>IF(ISNUMBER(SEARCH("TPE",'01_MASTER_DATABASE'!R62)), "✓", "✗")</f>
        <v/>
      </c>
      <c r="E65" s="113">
        <f>IF(ISNUMBER(SEARCH("nỉ",'01_MASTER_DATABASE'!R62)), "✓", "✗")</f>
        <v/>
      </c>
      <c r="F65" s="114">
        <f>'01_MASTER_DATABASE'!R62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3">
        <f>IF(ISNUMBER(SEARCH("EPDM",'01_MASTER_DATABASE'!R63)), "✓", "✗")</f>
        <v/>
      </c>
      <c r="D66" s="113">
        <f>IF(ISNUMBER(SEARCH("TPE",'01_MASTER_DATABASE'!R63)), "✓", "✗")</f>
        <v/>
      </c>
      <c r="E66" s="113">
        <f>IF(ISNUMBER(SEARCH("nỉ",'01_MASTER_DATABASE'!R63)), "✓", "✗")</f>
        <v/>
      </c>
      <c r="F66" s="114">
        <f>'01_MASTER_DATABASE'!R63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3">
        <f>IF(ISNUMBER(SEARCH("EPDM",'01_MASTER_DATABASE'!R64)), "✓", "✗")</f>
        <v/>
      </c>
      <c r="D67" s="113">
        <f>IF(ISNUMBER(SEARCH("TPE",'01_MASTER_DATABASE'!R64)), "✓", "✗")</f>
        <v/>
      </c>
      <c r="E67" s="113">
        <f>IF(ISNUMBER(SEARCH("nỉ",'01_MASTER_DATABASE'!R64)), "✓", "✗")</f>
        <v/>
      </c>
      <c r="F67" s="114">
        <f>'01_MASTER_DATABASE'!R64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3">
        <f>IF(ISNUMBER(SEARCH("EPDM",'01_MASTER_DATABASE'!R65)), "✓", "✗")</f>
        <v/>
      </c>
      <c r="D68" s="113">
        <f>IF(ISNUMBER(SEARCH("TPE",'01_MASTER_DATABASE'!R65)), "✓", "✗")</f>
        <v/>
      </c>
      <c r="E68" s="113">
        <f>IF(ISNUMBER(SEARCH("nỉ",'01_MASTER_DATABASE'!R65)), "✓", "✗")</f>
        <v/>
      </c>
      <c r="F68" s="114">
        <f>'01_MASTER_DATABASE'!R65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3">
        <f>IF(ISNUMBER(SEARCH("EPDM",'01_MASTER_DATABASE'!R66)), "✓", "✗")</f>
        <v/>
      </c>
      <c r="D69" s="113">
        <f>IF(ISNUMBER(SEARCH("TPE",'01_MASTER_DATABASE'!R66)), "✓", "✗")</f>
        <v/>
      </c>
      <c r="E69" s="113">
        <f>IF(ISNUMBER(SEARCH("nỉ",'01_MASTER_DATABASE'!R66)), "✓", "✗")</f>
        <v/>
      </c>
      <c r="F69" s="114">
        <f>'01_MASTER_DATABASE'!R66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3">
        <f>IF(ISNUMBER(SEARCH("EPDM",'01_MASTER_DATABASE'!R67)), "✓", "✗")</f>
        <v/>
      </c>
      <c r="D70" s="113">
        <f>IF(ISNUMBER(SEARCH("TPE",'01_MASTER_DATABASE'!R67)), "✓", "✗")</f>
        <v/>
      </c>
      <c r="E70" s="113">
        <f>IF(ISNUMBER(SEARCH("nỉ",'01_MASTER_DATABASE'!R67)), "✓", "✗")</f>
        <v/>
      </c>
      <c r="F70" s="114">
        <f>'01_MASTER_DATABASE'!R67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3">
        <f>IF(ISNUMBER(SEARCH("EPDM",'01_MASTER_DATABASE'!R68)), "✓", "✗")</f>
        <v/>
      </c>
      <c r="D71" s="113">
        <f>IF(ISNUMBER(SEARCH("TPE",'01_MASTER_DATABASE'!R68)), "✓", "✗")</f>
        <v/>
      </c>
      <c r="E71" s="113">
        <f>IF(ISNUMBER(SEARCH("nỉ",'01_MASTER_DATABASE'!R68)), "✓", "✗")</f>
        <v/>
      </c>
      <c r="F71" s="114">
        <f>'01_MASTER_DATABASE'!R68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3">
        <f>IF(ISNUMBER(SEARCH("EPDM",'01_MASTER_DATABASE'!R69)), "✓", "✗")</f>
        <v/>
      </c>
      <c r="D72" s="113">
        <f>IF(ISNUMBER(SEARCH("TPE",'01_MASTER_DATABASE'!R69)), "✓", "✗")</f>
        <v/>
      </c>
      <c r="E72" s="113">
        <f>IF(ISNUMBER(SEARCH("nỉ",'01_MASTER_DATABASE'!R69)), "✓", "✗")</f>
        <v/>
      </c>
      <c r="F72" s="114">
        <f>'01_MASTER_DATABASE'!R69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3">
        <f>IF(ISNUMBER(SEARCH("EPDM",'01_MASTER_DATABASE'!R70)), "✓", "✗")</f>
        <v/>
      </c>
      <c r="D73" s="113">
        <f>IF(ISNUMBER(SEARCH("TPE",'01_MASTER_DATABASE'!R70)), "✓", "✗")</f>
        <v/>
      </c>
      <c r="E73" s="113">
        <f>IF(ISNUMBER(SEARCH("nỉ",'01_MASTER_DATABASE'!R70)), "✓", "✗")</f>
        <v/>
      </c>
      <c r="F73" s="114">
        <f>'01_MASTER_DATABASE'!R70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3">
        <f>IF(ISNUMBER(SEARCH("EPDM",'01_MASTER_DATABASE'!R71)), "✓", "✗")</f>
        <v/>
      </c>
      <c r="D74" s="113">
        <f>IF(ISNUMBER(SEARCH("TPE",'01_MASTER_DATABASE'!R71)), "✓", "✗")</f>
        <v/>
      </c>
      <c r="E74" s="113">
        <f>IF(ISNUMBER(SEARCH("nỉ",'01_MASTER_DATABASE'!R71)), "✓", "✗")</f>
        <v/>
      </c>
      <c r="F74" s="114">
        <f>'01_MASTER_DATABASE'!R71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3">
        <f>IF(ISNUMBER(SEARCH("EPDM",'01_MASTER_DATABASE'!R72)), "✓", "✗")</f>
        <v/>
      </c>
      <c r="D75" s="113">
        <f>IF(ISNUMBER(SEARCH("TPE",'01_MASTER_DATABASE'!R72)), "✓", "✗")</f>
        <v/>
      </c>
      <c r="E75" s="113">
        <f>IF(ISNUMBER(SEARCH("nỉ",'01_MASTER_DATABASE'!R72)), "✓", "✗")</f>
        <v/>
      </c>
      <c r="F75" s="114">
        <f>'01_MASTER_DATABASE'!R72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3">
        <f>IF(ISNUMBER(SEARCH("EPDM",'01_MASTER_DATABASE'!R73)), "✓", "✗")</f>
        <v/>
      </c>
      <c r="D76" s="113">
        <f>IF(ISNUMBER(SEARCH("TPE",'01_MASTER_DATABASE'!R73)), "✓", "✗")</f>
        <v/>
      </c>
      <c r="E76" s="113">
        <f>IF(ISNUMBER(SEARCH("nỉ",'01_MASTER_DATABASE'!R73)), "✓", "✗")</f>
        <v/>
      </c>
      <c r="F76" s="114">
        <f>'01_MASTER_DATABASE'!R73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3">
        <f>IF(ISNUMBER(SEARCH("EPDM",'01_MASTER_DATABASE'!R74)), "✓", "✗")</f>
        <v/>
      </c>
      <c r="D77" s="113">
        <f>IF(ISNUMBER(SEARCH("TPE",'01_MASTER_DATABASE'!R74)), "✓", "✗")</f>
        <v/>
      </c>
      <c r="E77" s="113">
        <f>IF(ISNUMBER(SEARCH("nỉ",'01_MASTER_DATABASE'!R74)), "✓", "✗")</f>
        <v/>
      </c>
      <c r="F77" s="114">
        <f>'01_MASTER_DATABASE'!R74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3">
        <f>IF(ISNUMBER(SEARCH("EPDM",'01_MASTER_DATABASE'!R75)), "✓", "✗")</f>
        <v/>
      </c>
      <c r="D78" s="113">
        <f>IF(ISNUMBER(SEARCH("TPE",'01_MASTER_DATABASE'!R75)), "✓", "✗")</f>
        <v/>
      </c>
      <c r="E78" s="113">
        <f>IF(ISNUMBER(SEARCH("nỉ",'01_MASTER_DATABASE'!R75)), "✓", "✗")</f>
        <v/>
      </c>
      <c r="F78" s="114">
        <f>'01_MASTER_DATABASE'!R75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3">
        <f>IF(ISNUMBER(SEARCH("EPDM",'01_MASTER_DATABASE'!R76)), "✓", "✗")</f>
        <v/>
      </c>
      <c r="D79" s="113">
        <f>IF(ISNUMBER(SEARCH("TPE",'01_MASTER_DATABASE'!R76)), "✓", "✗")</f>
        <v/>
      </c>
      <c r="E79" s="113">
        <f>IF(ISNUMBER(SEARCH("nỉ",'01_MASTER_DATABASE'!R76)), "✓", "✗")</f>
        <v/>
      </c>
      <c r="F79" s="114">
        <f>'01_MASTER_DATABASE'!R76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3">
        <f>IF(ISNUMBER(SEARCH("EPDM",'01_MASTER_DATABASE'!R77)), "✓", "✗")</f>
        <v/>
      </c>
      <c r="D80" s="113">
        <f>IF(ISNUMBER(SEARCH("TPE",'01_MASTER_DATABASE'!R77)), "✓", "✗")</f>
        <v/>
      </c>
      <c r="E80" s="113">
        <f>IF(ISNUMBER(SEARCH("nỉ",'01_MASTER_DATABASE'!R77)), "✓", "✗")</f>
        <v/>
      </c>
      <c r="F80" s="114">
        <f>'01_MASTER_DATABASE'!R77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3">
        <f>IF(ISNUMBER(SEARCH("EPDM",'01_MASTER_DATABASE'!R78)), "✓", "✗")</f>
        <v/>
      </c>
      <c r="D81" s="113">
        <f>IF(ISNUMBER(SEARCH("TPE",'01_MASTER_DATABASE'!R78)), "✓", "✗")</f>
        <v/>
      </c>
      <c r="E81" s="113">
        <f>IF(ISNUMBER(SEARCH("nỉ",'01_MASTER_DATABASE'!R78)), "✓", "✗")</f>
        <v/>
      </c>
      <c r="F81" s="114">
        <f>'01_MASTER_DATABASE'!R78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3">
        <f>IF(ISNUMBER(SEARCH("EPDM",'01_MASTER_DATABASE'!R79)), "✓", "✗")</f>
        <v/>
      </c>
      <c r="D82" s="113">
        <f>IF(ISNUMBER(SEARCH("TPE",'01_MASTER_DATABASE'!R79)), "✓", "✗")</f>
        <v/>
      </c>
      <c r="E82" s="113">
        <f>IF(ISNUMBER(SEARCH("nỉ",'01_MASTER_DATABASE'!R79)), "✓", "✗")</f>
        <v/>
      </c>
      <c r="F82" s="114">
        <f>'01_MASTER_DATABASE'!R79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3">
        <f>IF(ISNUMBER(SEARCH("EPDM",'01_MASTER_DATABASE'!R80)), "✓", "✗")</f>
        <v/>
      </c>
      <c r="D83" s="113">
        <f>IF(ISNUMBER(SEARCH("TPE",'01_MASTER_DATABASE'!R80)), "✓", "✗")</f>
        <v/>
      </c>
      <c r="E83" s="113">
        <f>IF(ISNUMBER(SEARCH("nỉ",'01_MASTER_DATABASE'!R80)), "✓", "✗")</f>
        <v/>
      </c>
      <c r="F83" s="114">
        <f>'01_MASTER_DATABASE'!R80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3">
        <f>IF(ISNUMBER(SEARCH("EPDM",'01_MASTER_DATABASE'!R81)), "✓", "✗")</f>
        <v/>
      </c>
      <c r="D84" s="113">
        <f>IF(ISNUMBER(SEARCH("TPE",'01_MASTER_DATABASE'!R81)), "✓", "✗")</f>
        <v/>
      </c>
      <c r="E84" s="113">
        <f>IF(ISNUMBER(SEARCH("nỉ",'01_MASTER_DATABASE'!R81)), "✓", "✗")</f>
        <v/>
      </c>
      <c r="F84" s="114">
        <f>'01_MASTER_DATABASE'!R81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3">
        <f>IF(ISNUMBER(SEARCH("EPDM",'01_MASTER_DATABASE'!R82)), "✓", "✗")</f>
        <v/>
      </c>
      <c r="D85" s="113">
        <f>IF(ISNUMBER(SEARCH("TPE",'01_MASTER_DATABASE'!R82)), "✓", "✗")</f>
        <v/>
      </c>
      <c r="E85" s="113">
        <f>IF(ISNUMBER(SEARCH("nỉ",'01_MASTER_DATABASE'!R82)), "✓", "✗")</f>
        <v/>
      </c>
      <c r="F85" s="114">
        <f>'01_MASTER_DATABASE'!R82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3">
        <f>IF(ISNUMBER(SEARCH("EPDM",'01_MASTER_DATABASE'!R83)), "✓", "✗")</f>
        <v/>
      </c>
      <c r="D86" s="113">
        <f>IF(ISNUMBER(SEARCH("TPE",'01_MASTER_DATABASE'!R83)), "✓", "✗")</f>
        <v/>
      </c>
      <c r="E86" s="113">
        <f>IF(ISNUMBER(SEARCH("nỉ",'01_MASTER_DATABASE'!R83)), "✓", "✗")</f>
        <v/>
      </c>
      <c r="F86" s="114">
        <f>'01_MASTER_DATABASE'!R83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3">
        <f>IF(ISNUMBER(SEARCH("EPDM",'01_MASTER_DATABASE'!R84)), "✓", "✗")</f>
        <v/>
      </c>
      <c r="D87" s="113">
        <f>IF(ISNUMBER(SEARCH("TPE",'01_MASTER_DATABASE'!R84)), "✓", "✗")</f>
        <v/>
      </c>
      <c r="E87" s="113">
        <f>IF(ISNUMBER(SEARCH("nỉ",'01_MASTER_DATABASE'!R84)), "✓", "✗")</f>
        <v/>
      </c>
      <c r="F87" s="114">
        <f>'01_MASTER_DATABASE'!R84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3">
        <f>IF(ISNUMBER(SEARCH("EPDM",'01_MASTER_DATABASE'!R85)), "✓", "✗")</f>
        <v/>
      </c>
      <c r="D88" s="113">
        <f>IF(ISNUMBER(SEARCH("TPE",'01_MASTER_DATABASE'!R85)), "✓", "✗")</f>
        <v/>
      </c>
      <c r="E88" s="113">
        <f>IF(ISNUMBER(SEARCH("nỉ",'01_MASTER_DATABASE'!R85)), "✓", "✗")</f>
        <v/>
      </c>
      <c r="F88" s="114">
        <f>'01_MASTER_DATABASE'!R85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3">
        <f>IF(ISNUMBER(SEARCH("EPDM",'01_MASTER_DATABASE'!R86)), "✓", "✗")</f>
        <v/>
      </c>
      <c r="D89" s="113">
        <f>IF(ISNUMBER(SEARCH("TPE",'01_MASTER_DATABASE'!R86)), "✓", "✗")</f>
        <v/>
      </c>
      <c r="E89" s="113">
        <f>IF(ISNUMBER(SEARCH("nỉ",'01_MASTER_DATABASE'!R86)), "✓", "✗")</f>
        <v/>
      </c>
      <c r="F89" s="114">
        <f>'01_MASTER_DATABASE'!R86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3">
        <f>IF(ISNUMBER(SEARCH("EPDM",'01_MASTER_DATABASE'!R87)), "✓", "✗")</f>
        <v/>
      </c>
      <c r="D90" s="113">
        <f>IF(ISNUMBER(SEARCH("TPE",'01_MASTER_DATABASE'!R87)), "✓", "✗")</f>
        <v/>
      </c>
      <c r="E90" s="113">
        <f>IF(ISNUMBER(SEARCH("nỉ",'01_MASTER_DATABASE'!R87)), "✓", "✗")</f>
        <v/>
      </c>
      <c r="F90" s="114">
        <f>'01_MASTER_DATABASE'!R87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3">
        <f>IF(ISNUMBER(SEARCH("EPDM",'01_MASTER_DATABASE'!R88)), "✓", "✗")</f>
        <v/>
      </c>
      <c r="D91" s="113">
        <f>IF(ISNUMBER(SEARCH("TPE",'01_MASTER_DATABASE'!R88)), "✓", "✗")</f>
        <v/>
      </c>
      <c r="E91" s="113">
        <f>IF(ISNUMBER(SEARCH("nỉ",'01_MASTER_DATABASE'!R88)), "✓", "✗")</f>
        <v/>
      </c>
      <c r="F91" s="114">
        <f>'01_MASTER_DATABASE'!R88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3">
        <f>IF(ISNUMBER(SEARCH("EPDM",'01_MASTER_DATABASE'!R89)), "✓", "✗")</f>
        <v/>
      </c>
      <c r="D92" s="113">
        <f>IF(ISNUMBER(SEARCH("TPE",'01_MASTER_DATABASE'!R89)), "✓", "✗")</f>
        <v/>
      </c>
      <c r="E92" s="113">
        <f>IF(ISNUMBER(SEARCH("nỉ",'01_MASTER_DATABASE'!R89)), "✓", "✗")</f>
        <v/>
      </c>
      <c r="F92" s="114">
        <f>'01_MASTER_DATABASE'!R89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3">
        <f>IF(ISNUMBER(SEARCH("EPDM",'01_MASTER_DATABASE'!R90)), "✓", "✗")</f>
        <v/>
      </c>
      <c r="D93" s="113">
        <f>IF(ISNUMBER(SEARCH("TPE",'01_MASTER_DATABASE'!R90)), "✓", "✗")</f>
        <v/>
      </c>
      <c r="E93" s="113">
        <f>IF(ISNUMBER(SEARCH("nỉ",'01_MASTER_DATABASE'!R90)), "✓", "✗")</f>
        <v/>
      </c>
      <c r="F93" s="114">
        <f>'01_MASTER_DATABASE'!R90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3">
        <f>IF(ISNUMBER(SEARCH("EPDM",'01_MASTER_DATABASE'!R91)), "✓", "✗")</f>
        <v/>
      </c>
      <c r="D94" s="113">
        <f>IF(ISNUMBER(SEARCH("TPE",'01_MASTER_DATABASE'!R91)), "✓", "✗")</f>
        <v/>
      </c>
      <c r="E94" s="113">
        <f>IF(ISNUMBER(SEARCH("nỉ",'01_MASTER_DATABASE'!R91)), "✓", "✗")</f>
        <v/>
      </c>
      <c r="F94" s="114">
        <f>'01_MASTER_DATABASE'!R91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3">
        <f>IF(ISNUMBER(SEARCH("EPDM",'01_MASTER_DATABASE'!R92)), "✓", "✗")</f>
        <v/>
      </c>
      <c r="D95" s="113">
        <f>IF(ISNUMBER(SEARCH("TPE",'01_MASTER_DATABASE'!R92)), "✓", "✗")</f>
        <v/>
      </c>
      <c r="E95" s="113">
        <f>IF(ISNUMBER(SEARCH("nỉ",'01_MASTER_DATABASE'!R92)), "✓", "✗")</f>
        <v/>
      </c>
      <c r="F95" s="114">
        <f>'01_MASTER_DATABASE'!R92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3">
        <f>IF(ISNUMBER(SEARCH("EPDM",'01_MASTER_DATABASE'!R93)), "✓", "✗")</f>
        <v/>
      </c>
      <c r="D96" s="113">
        <f>IF(ISNUMBER(SEARCH("TPE",'01_MASTER_DATABASE'!R93)), "✓", "✗")</f>
        <v/>
      </c>
      <c r="E96" s="113">
        <f>IF(ISNUMBER(SEARCH("nỉ",'01_MASTER_DATABASE'!R93)), "✓", "✗")</f>
        <v/>
      </c>
      <c r="F96" s="114">
        <f>'01_MASTER_DATABASE'!R93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3">
        <f>IF(ISNUMBER(SEARCH("EPDM",'01_MASTER_DATABASE'!R94)), "✓", "✗")</f>
        <v/>
      </c>
      <c r="D97" s="113">
        <f>IF(ISNUMBER(SEARCH("TPE",'01_MASTER_DATABASE'!R94)), "✓", "✗")</f>
        <v/>
      </c>
      <c r="E97" s="113">
        <f>IF(ISNUMBER(SEARCH("nỉ",'01_MASTER_DATABASE'!R94)), "✓", "✗")</f>
        <v/>
      </c>
      <c r="F97" s="114">
        <f>'01_MASTER_DATABASE'!R94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3">
        <f>IF(ISNUMBER(SEARCH("EPDM",'01_MASTER_DATABASE'!R95)), "✓", "✗")</f>
        <v/>
      </c>
      <c r="D98" s="113">
        <f>IF(ISNUMBER(SEARCH("TPE",'01_MASTER_DATABASE'!R95)), "✓", "✗")</f>
        <v/>
      </c>
      <c r="E98" s="113">
        <f>IF(ISNUMBER(SEARCH("nỉ",'01_MASTER_DATABASE'!R95)), "✓", "✗")</f>
        <v/>
      </c>
      <c r="F98" s="114">
        <f>'01_MASTER_DATABASE'!R95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3">
        <f>IF(ISNUMBER(SEARCH("EPDM",'01_MASTER_DATABASE'!R96)), "✓", "✗")</f>
        <v/>
      </c>
      <c r="D99" s="113">
        <f>IF(ISNUMBER(SEARCH("TPE",'01_MASTER_DATABASE'!R96)), "✓", "✗")</f>
        <v/>
      </c>
      <c r="E99" s="113">
        <f>IF(ISNUMBER(SEARCH("nỉ",'01_MASTER_DATABASE'!R96)), "✓", "✗")</f>
        <v/>
      </c>
      <c r="F99" s="114">
        <f>'01_MASTER_DATABASE'!R96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3">
        <f>IF(ISNUMBER(SEARCH("EPDM",'01_MASTER_DATABASE'!R97)), "✓", "✗")</f>
        <v/>
      </c>
      <c r="D100" s="113">
        <f>IF(ISNUMBER(SEARCH("TPE",'01_MASTER_DATABASE'!R97)), "✓", "✗")</f>
        <v/>
      </c>
      <c r="E100" s="113">
        <f>IF(ISNUMBER(SEARCH("nỉ",'01_MASTER_DATABASE'!R97)), "✓", "✗")</f>
        <v/>
      </c>
      <c r="F100" s="114">
        <f>'01_MASTER_DATABASE'!R97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3">
        <f>IF(ISNUMBER(SEARCH("EPDM",'01_MASTER_DATABASE'!R98)), "✓", "✗")</f>
        <v/>
      </c>
      <c r="D101" s="113">
        <f>IF(ISNUMBER(SEARCH("TPE",'01_MASTER_DATABASE'!R98)), "✓", "✗")</f>
        <v/>
      </c>
      <c r="E101" s="113">
        <f>IF(ISNUMBER(SEARCH("nỉ",'01_MASTER_DATABASE'!R98)), "✓", "✗")</f>
        <v/>
      </c>
      <c r="F101" s="114">
        <f>'01_MASTER_DATABASE'!R98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3">
        <f>IF(ISNUMBER(SEARCH("EPDM",'01_MASTER_DATABASE'!R99)), "✓", "✗")</f>
        <v/>
      </c>
      <c r="D102" s="113">
        <f>IF(ISNUMBER(SEARCH("TPE",'01_MASTER_DATABASE'!R99)), "✓", "✗")</f>
        <v/>
      </c>
      <c r="E102" s="113">
        <f>IF(ISNUMBER(SEARCH("nỉ",'01_MASTER_DATABASE'!R99)), "✓", "✗")</f>
        <v/>
      </c>
      <c r="F102" s="114">
        <f>'01_MASTER_DATABASE'!R99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3">
        <f>IF(ISNUMBER(SEARCH("EPDM",'01_MASTER_DATABASE'!R100)), "✓", "✗")</f>
        <v/>
      </c>
      <c r="D103" s="113">
        <f>IF(ISNUMBER(SEARCH("TPE",'01_MASTER_DATABASE'!R100)), "✓", "✗")</f>
        <v/>
      </c>
      <c r="E103" s="113">
        <f>IF(ISNUMBER(SEARCH("nỉ",'01_MASTER_DATABASE'!R100)), "✓", "✗")</f>
        <v/>
      </c>
      <c r="F103" s="114">
        <f>'01_MASTER_DATABASE'!R100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3">
        <f>IF(ISNUMBER(SEARCH("EPDM",'01_MASTER_DATABASE'!R101)), "✓", "✗")</f>
        <v/>
      </c>
      <c r="D104" s="113">
        <f>IF(ISNUMBER(SEARCH("TPE",'01_MASTER_DATABASE'!R101)), "✓", "✗")</f>
        <v/>
      </c>
      <c r="E104" s="113">
        <f>IF(ISNUMBER(SEARCH("nỉ",'01_MASTER_DATABASE'!R101)), "✓", "✗")</f>
        <v/>
      </c>
      <c r="F104" s="114">
        <f>'01_MASTER_DATABASE'!R101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3">
        <f>IF(ISNUMBER(SEARCH("EPDM",'01_MASTER_DATABASE'!R102)), "✓", "✗")</f>
        <v/>
      </c>
      <c r="D105" s="113">
        <f>IF(ISNUMBER(SEARCH("TPE",'01_MASTER_DATABASE'!R102)), "✓", "✗")</f>
        <v/>
      </c>
      <c r="E105" s="113">
        <f>IF(ISNUMBER(SEARCH("nỉ",'01_MASTER_DATABASE'!R102)), "✓", "✗")</f>
        <v/>
      </c>
      <c r="F105" s="114">
        <f>'01_MASTER_DATABASE'!R102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3">
        <f>IF(ISNUMBER(SEARCH("EPDM",'01_MASTER_DATABASE'!R103)), "✓", "✗")</f>
        <v/>
      </c>
      <c r="D106" s="113">
        <f>IF(ISNUMBER(SEARCH("TPE",'01_MASTER_DATABASE'!R103)), "✓", "✗")</f>
        <v/>
      </c>
      <c r="E106" s="113">
        <f>IF(ISNUMBER(SEARCH("nỉ",'01_MASTER_DATABASE'!R103)), "✓", "✗")</f>
        <v/>
      </c>
      <c r="F106" s="114">
        <f>'01_MASTER_DATABASE'!R103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3">
        <f>IF(ISNUMBER(SEARCH("EPDM",'01_MASTER_DATABASE'!R104)), "✓", "✗")</f>
        <v/>
      </c>
      <c r="D107" s="113">
        <f>IF(ISNUMBER(SEARCH("TPE",'01_MASTER_DATABASE'!R104)), "✓", "✗")</f>
        <v/>
      </c>
      <c r="E107" s="113">
        <f>IF(ISNUMBER(SEARCH("nỉ",'01_MASTER_DATABASE'!R104)), "✓", "✗")</f>
        <v/>
      </c>
      <c r="F107" s="114">
        <f>'01_MASTER_DATABASE'!R104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3">
        <f>IF(ISNUMBER(SEARCH("EPDM",'01_MASTER_DATABASE'!R105)), "✓", "✗")</f>
        <v/>
      </c>
      <c r="D108" s="113">
        <f>IF(ISNUMBER(SEARCH("TPE",'01_MASTER_DATABASE'!R105)), "✓", "✗")</f>
        <v/>
      </c>
      <c r="E108" s="113">
        <f>IF(ISNUMBER(SEARCH("nỉ",'01_MASTER_DATABASE'!R105)), "✓", "✗")</f>
        <v/>
      </c>
      <c r="F108" s="114">
        <f>'01_MASTER_DATABASE'!R105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3">
        <f>IF(ISNUMBER(SEARCH("EPDM",'01_MASTER_DATABASE'!R106)), "✓", "✗")</f>
        <v/>
      </c>
      <c r="D109" s="113">
        <f>IF(ISNUMBER(SEARCH("TPE",'01_MASTER_DATABASE'!R106)), "✓", "✗")</f>
        <v/>
      </c>
      <c r="E109" s="113">
        <f>IF(ISNUMBER(SEARCH("nỉ",'01_MASTER_DATABASE'!R106)), "✓", "✗")</f>
        <v/>
      </c>
      <c r="F109" s="114">
        <f>'01_MASTER_DATABASE'!R106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3">
        <f>IF(ISNUMBER(SEARCH("EPDM",'01_MASTER_DATABASE'!R107)), "✓", "✗")</f>
        <v/>
      </c>
      <c r="D110" s="113">
        <f>IF(ISNUMBER(SEARCH("TPE",'01_MASTER_DATABASE'!R107)), "✓", "✗")</f>
        <v/>
      </c>
      <c r="E110" s="113">
        <f>IF(ISNUMBER(SEARCH("nỉ",'01_MASTER_DATABASE'!R107)), "✓", "✗")</f>
        <v/>
      </c>
      <c r="F110" s="114">
        <f>'01_MASTER_DATABASE'!R107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3">
        <f>IF(ISNUMBER(SEARCH("EPDM",'01_MASTER_DATABASE'!R108)), "✓", "✗")</f>
        <v/>
      </c>
      <c r="D111" s="113">
        <f>IF(ISNUMBER(SEARCH("TPE",'01_MASTER_DATABASE'!R108)), "✓", "✗")</f>
        <v/>
      </c>
      <c r="E111" s="113">
        <f>IF(ISNUMBER(SEARCH("nỉ",'01_MASTER_DATABASE'!R108)), "✓", "✗")</f>
        <v/>
      </c>
      <c r="F111" s="114">
        <f>'01_MASTER_DATABASE'!R108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3">
        <f>IF(ISNUMBER(SEARCH("EPDM",'01_MASTER_DATABASE'!R109)), "✓", "✗")</f>
        <v/>
      </c>
      <c r="D112" s="113">
        <f>IF(ISNUMBER(SEARCH("TPE",'01_MASTER_DATABASE'!R109)), "✓", "✗")</f>
        <v/>
      </c>
      <c r="E112" s="113">
        <f>IF(ISNUMBER(SEARCH("nỉ",'01_MASTER_DATABASE'!R109)), "✓", "✗")</f>
        <v/>
      </c>
      <c r="F112" s="114">
        <f>'01_MASTER_DATABASE'!R109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3">
        <f>IF(ISNUMBER(SEARCH("EPDM",'01_MASTER_DATABASE'!R110)), "✓", "✗")</f>
        <v/>
      </c>
      <c r="D113" s="113">
        <f>IF(ISNUMBER(SEARCH("TPE",'01_MASTER_DATABASE'!R110)), "✓", "✗")</f>
        <v/>
      </c>
      <c r="E113" s="113">
        <f>IF(ISNUMBER(SEARCH("nỉ",'01_MASTER_DATABASE'!R110)), "✓", "✗")</f>
        <v/>
      </c>
      <c r="F113" s="114">
        <f>'01_MASTER_DATABASE'!R110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3">
        <f>IF(ISNUMBER(SEARCH("EPDM",'01_MASTER_DATABASE'!R111)), "✓", "✗")</f>
        <v/>
      </c>
      <c r="D114" s="113">
        <f>IF(ISNUMBER(SEARCH("TPE",'01_MASTER_DATABASE'!R111)), "✓", "✗")</f>
        <v/>
      </c>
      <c r="E114" s="113">
        <f>IF(ISNUMBER(SEARCH("nỉ",'01_MASTER_DATABASE'!R111)), "✓", "✗")</f>
        <v/>
      </c>
      <c r="F114" s="114">
        <f>'01_MASTER_DATABASE'!R111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3">
        <f>IF(ISNUMBER(SEARCH("EPDM",'01_MASTER_DATABASE'!R112)), "✓", "✗")</f>
        <v/>
      </c>
      <c r="D115" s="113">
        <f>IF(ISNUMBER(SEARCH("TPE",'01_MASTER_DATABASE'!R112)), "✓", "✗")</f>
        <v/>
      </c>
      <c r="E115" s="113">
        <f>IF(ISNUMBER(SEARCH("nỉ",'01_MASTER_DATABASE'!R112)), "✓", "✗")</f>
        <v/>
      </c>
      <c r="F115" s="114">
        <f>'01_MASTER_DATABASE'!R112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3">
        <f>IF(ISNUMBER(SEARCH("EPDM",'01_MASTER_DATABASE'!R113)), "✓", "✗")</f>
        <v/>
      </c>
      <c r="D116" s="113">
        <f>IF(ISNUMBER(SEARCH("TPE",'01_MASTER_DATABASE'!R113)), "✓", "✗")</f>
        <v/>
      </c>
      <c r="E116" s="113">
        <f>IF(ISNUMBER(SEARCH("nỉ",'01_MASTER_DATABASE'!R113)), "✓", "✗")</f>
        <v/>
      </c>
      <c r="F116" s="114">
        <f>'01_MASTER_DATABASE'!R113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3">
        <f>IF(ISNUMBER(SEARCH("EPDM",'01_MASTER_DATABASE'!R114)), "✓", "✗")</f>
        <v/>
      </c>
      <c r="D117" s="113">
        <f>IF(ISNUMBER(SEARCH("TPE",'01_MASTER_DATABASE'!R114)), "✓", "✗")</f>
        <v/>
      </c>
      <c r="E117" s="113">
        <f>IF(ISNUMBER(SEARCH("nỉ",'01_MASTER_DATABASE'!R114)), "✓", "✗")</f>
        <v/>
      </c>
      <c r="F117" s="114">
        <f>'01_MASTER_DATABASE'!R114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3">
        <f>IF(ISNUMBER(SEARCH("EPDM",'01_MASTER_DATABASE'!R115)), "✓", "✗")</f>
        <v/>
      </c>
      <c r="D118" s="113">
        <f>IF(ISNUMBER(SEARCH("TPE",'01_MASTER_DATABASE'!R115)), "✓", "✗")</f>
        <v/>
      </c>
      <c r="E118" s="113">
        <f>IF(ISNUMBER(SEARCH("nỉ",'01_MASTER_DATABASE'!R115)), "✓", "✗")</f>
        <v/>
      </c>
      <c r="F118" s="114">
        <f>'01_MASTER_DATABASE'!R115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3">
        <f>IF(ISNUMBER(SEARCH("EPDM",'01_MASTER_DATABASE'!R116)), "✓", "✗")</f>
        <v/>
      </c>
      <c r="D119" s="113">
        <f>IF(ISNUMBER(SEARCH("TPE",'01_MASTER_DATABASE'!R116)), "✓", "✗")</f>
        <v/>
      </c>
      <c r="E119" s="113">
        <f>IF(ISNUMBER(SEARCH("nỉ",'01_MASTER_DATABASE'!R116)), "✓", "✗")</f>
        <v/>
      </c>
      <c r="F119" s="114">
        <f>'01_MASTER_DATABASE'!R116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3">
        <f>IF(ISNUMBER(SEARCH("EPDM",'01_MASTER_DATABASE'!R117)), "✓", "✗")</f>
        <v/>
      </c>
      <c r="D120" s="113">
        <f>IF(ISNUMBER(SEARCH("TPE",'01_MASTER_DATABASE'!R117)), "✓", "✗")</f>
        <v/>
      </c>
      <c r="E120" s="113">
        <f>IF(ISNUMBER(SEARCH("nỉ",'01_MASTER_DATABASE'!R117)), "✓", "✗")</f>
        <v/>
      </c>
      <c r="F120" s="114">
        <f>'01_MASTER_DATABASE'!R117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3">
        <f>IF(ISNUMBER(SEARCH("EPDM",'01_MASTER_DATABASE'!R118)), "✓", "✗")</f>
        <v/>
      </c>
      <c r="D121" s="113">
        <f>IF(ISNUMBER(SEARCH("TPE",'01_MASTER_DATABASE'!R118)), "✓", "✗")</f>
        <v/>
      </c>
      <c r="E121" s="113">
        <f>IF(ISNUMBER(SEARCH("nỉ",'01_MASTER_DATABASE'!R118)), "✓", "✗")</f>
        <v/>
      </c>
      <c r="F121" s="114">
        <f>'01_MASTER_DATABASE'!R118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3">
        <f>IF(ISNUMBER(SEARCH("EPDM",'01_MASTER_DATABASE'!R119)), "✓", "✗")</f>
        <v/>
      </c>
      <c r="D122" s="113">
        <f>IF(ISNUMBER(SEARCH("TPE",'01_MASTER_DATABASE'!R119)), "✓", "✗")</f>
        <v/>
      </c>
      <c r="E122" s="113">
        <f>IF(ISNUMBER(SEARCH("nỉ",'01_MASTER_DATABASE'!R119)), "✓", "✗")</f>
        <v/>
      </c>
      <c r="F122" s="114">
        <f>'01_MASTER_DATABASE'!R119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3">
        <f>IF(ISNUMBER(SEARCH("EPDM",'01_MASTER_DATABASE'!R120)), "✓", "✗")</f>
        <v/>
      </c>
      <c r="D123" s="113">
        <f>IF(ISNUMBER(SEARCH("TPE",'01_MASTER_DATABASE'!R120)), "✓", "✗")</f>
        <v/>
      </c>
      <c r="E123" s="113">
        <f>IF(ISNUMBER(SEARCH("nỉ",'01_MASTER_DATABASE'!R120)), "✓", "✗")</f>
        <v/>
      </c>
      <c r="F123" s="114">
        <f>'01_MASTER_DATABASE'!R120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3">
        <f>IF(ISNUMBER(SEARCH("EPDM",'01_MASTER_DATABASE'!R121)), "✓", "✗")</f>
        <v/>
      </c>
      <c r="D124" s="113">
        <f>IF(ISNUMBER(SEARCH("TPE",'01_MASTER_DATABASE'!R121)), "✓", "✗")</f>
        <v/>
      </c>
      <c r="E124" s="113">
        <f>IF(ISNUMBER(SEARCH("nỉ",'01_MASTER_DATABASE'!R121)), "✓", "✗")</f>
        <v/>
      </c>
      <c r="F124" s="114">
        <f>'01_MASTER_DATABASE'!R121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3">
        <f>IF(ISNUMBER(SEARCH("EPDM",'01_MASTER_DATABASE'!R122)), "✓", "✗")</f>
        <v/>
      </c>
      <c r="D125" s="113">
        <f>IF(ISNUMBER(SEARCH("TPE",'01_MASTER_DATABASE'!R122)), "✓", "✗")</f>
        <v/>
      </c>
      <c r="E125" s="113">
        <f>IF(ISNUMBER(SEARCH("nỉ",'01_MASTER_DATABASE'!R122)), "✓", "✗")</f>
        <v/>
      </c>
      <c r="F125" s="114">
        <f>'01_MASTER_DATABASE'!R122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3">
        <f>IF(ISNUMBER(SEARCH("EPDM",'01_MASTER_DATABASE'!R123)), "✓", "✗")</f>
        <v/>
      </c>
      <c r="D126" s="113">
        <f>IF(ISNUMBER(SEARCH("TPE",'01_MASTER_DATABASE'!R123)), "✓", "✗")</f>
        <v/>
      </c>
      <c r="E126" s="113">
        <f>IF(ISNUMBER(SEARCH("nỉ",'01_MASTER_DATABASE'!R123)), "✓", "✗")</f>
        <v/>
      </c>
      <c r="F126" s="114">
        <f>'01_MASTER_DATABASE'!R123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3">
        <f>IF(ISNUMBER(SEARCH("EPDM",'01_MASTER_DATABASE'!R124)), "✓", "✗")</f>
        <v/>
      </c>
      <c r="D127" s="113">
        <f>IF(ISNUMBER(SEARCH("TPE",'01_MASTER_DATABASE'!R124)), "✓", "✗")</f>
        <v/>
      </c>
      <c r="E127" s="113">
        <f>IF(ISNUMBER(SEARCH("nỉ",'01_MASTER_DATABASE'!R124)), "✓", "✗")</f>
        <v/>
      </c>
      <c r="F127" s="114">
        <f>'01_MASTER_DATABASE'!R124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3">
        <f>IF(ISNUMBER(SEARCH("EPDM",'01_MASTER_DATABASE'!R125)), "✓", "✗")</f>
        <v/>
      </c>
      <c r="D128" s="113">
        <f>IF(ISNUMBER(SEARCH("TPE",'01_MASTER_DATABASE'!R125)), "✓", "✗")</f>
        <v/>
      </c>
      <c r="E128" s="113">
        <f>IF(ISNUMBER(SEARCH("nỉ",'01_MASTER_DATABASE'!R125)), "✓", "✗")</f>
        <v/>
      </c>
      <c r="F128" s="114">
        <f>'01_MASTER_DATABASE'!R125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3">
        <f>IF(ISNUMBER(SEARCH("EPDM",'01_MASTER_DATABASE'!R126)), "✓", "✗")</f>
        <v/>
      </c>
      <c r="D129" s="113">
        <f>IF(ISNUMBER(SEARCH("TPE",'01_MASTER_DATABASE'!R126)), "✓", "✗")</f>
        <v/>
      </c>
      <c r="E129" s="113">
        <f>IF(ISNUMBER(SEARCH("nỉ",'01_MASTER_DATABASE'!R126)), "✓", "✗")</f>
        <v/>
      </c>
      <c r="F129" s="114">
        <f>'01_MASTER_DATABASE'!R126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3">
        <f>IF(ISNUMBER(SEARCH("EPDM",'01_MASTER_DATABASE'!R127)), "✓", "✗")</f>
        <v/>
      </c>
      <c r="D130" s="113">
        <f>IF(ISNUMBER(SEARCH("TPE",'01_MASTER_DATABASE'!R127)), "✓", "✗")</f>
        <v/>
      </c>
      <c r="E130" s="113">
        <f>IF(ISNUMBER(SEARCH("nỉ",'01_MASTER_DATABASE'!R127)), "✓", "✗")</f>
        <v/>
      </c>
      <c r="F130" s="114">
        <f>'01_MASTER_DATABASE'!R127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3">
        <f>IF(ISNUMBER(SEARCH("EPDM",'01_MASTER_DATABASE'!R128)), "✓", "✗")</f>
        <v/>
      </c>
      <c r="D131" s="113">
        <f>IF(ISNUMBER(SEARCH("TPE",'01_MASTER_DATABASE'!R128)), "✓", "✗")</f>
        <v/>
      </c>
      <c r="E131" s="113">
        <f>IF(ISNUMBER(SEARCH("nỉ",'01_MASTER_DATABASE'!R128)), "✓", "✗")</f>
        <v/>
      </c>
      <c r="F131" s="114">
        <f>'01_MASTER_DATABASE'!R128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3">
        <f>IF(ISNUMBER(SEARCH("EPDM",'01_MASTER_DATABASE'!R129)), "✓", "✗")</f>
        <v/>
      </c>
      <c r="D132" s="113">
        <f>IF(ISNUMBER(SEARCH("TPE",'01_MASTER_DATABASE'!R129)), "✓", "✗")</f>
        <v/>
      </c>
      <c r="E132" s="113">
        <f>IF(ISNUMBER(SEARCH("nỉ",'01_MASTER_DATABASE'!R129)), "✓", "✗")</f>
        <v/>
      </c>
      <c r="F132" s="114">
        <f>'01_MASTER_DATABASE'!R129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3">
        <f>IF(ISNUMBER(SEARCH("EPDM",'01_MASTER_DATABASE'!R130)), "✓", "✗")</f>
        <v/>
      </c>
      <c r="D133" s="113">
        <f>IF(ISNUMBER(SEARCH("TPE",'01_MASTER_DATABASE'!R130)), "✓", "✗")</f>
        <v/>
      </c>
      <c r="E133" s="113">
        <f>IF(ISNUMBER(SEARCH("nỉ",'01_MASTER_DATABASE'!R130)), "✓", "✗")</f>
        <v/>
      </c>
      <c r="F133" s="114">
        <f>'01_MASTER_DATABASE'!R130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3">
        <f>IF(ISNUMBER(SEARCH("EPDM",'01_MASTER_DATABASE'!R131)), "✓", "✗")</f>
        <v/>
      </c>
      <c r="D134" s="113">
        <f>IF(ISNUMBER(SEARCH("TPE",'01_MASTER_DATABASE'!R131)), "✓", "✗")</f>
        <v/>
      </c>
      <c r="E134" s="113">
        <f>IF(ISNUMBER(SEARCH("nỉ",'01_MASTER_DATABASE'!R131)), "✓", "✗")</f>
        <v/>
      </c>
      <c r="F134" s="114">
        <f>'01_MASTER_DATABASE'!R131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3">
        <f>IF(ISNUMBER(SEARCH("EPDM",'01_MASTER_DATABASE'!R132)), "✓", "✗")</f>
        <v/>
      </c>
      <c r="D135" s="113">
        <f>IF(ISNUMBER(SEARCH("TPE",'01_MASTER_DATABASE'!R132)), "✓", "✗")</f>
        <v/>
      </c>
      <c r="E135" s="113">
        <f>IF(ISNUMBER(SEARCH("nỉ",'01_MASTER_DATABASE'!R132)), "✓", "✗")</f>
        <v/>
      </c>
      <c r="F135" s="114">
        <f>'01_MASTER_DATABASE'!R132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3">
        <f>IF(ISNUMBER(SEARCH("EPDM",'01_MASTER_DATABASE'!R133)), "✓", "✗")</f>
        <v/>
      </c>
      <c r="D136" s="113">
        <f>IF(ISNUMBER(SEARCH("TPE",'01_MASTER_DATABASE'!R133)), "✓", "✗")</f>
        <v/>
      </c>
      <c r="E136" s="113">
        <f>IF(ISNUMBER(SEARCH("nỉ",'01_MASTER_DATABASE'!R133)), "✓", "✗")</f>
        <v/>
      </c>
      <c r="F136" s="114">
        <f>'01_MASTER_DATABASE'!R133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3">
        <f>IF(ISNUMBER(SEARCH("EPDM",'01_MASTER_DATABASE'!R134)), "✓", "✗")</f>
        <v/>
      </c>
      <c r="D137" s="113">
        <f>IF(ISNUMBER(SEARCH("TPE",'01_MASTER_DATABASE'!R134)), "✓", "✗")</f>
        <v/>
      </c>
      <c r="E137" s="113">
        <f>IF(ISNUMBER(SEARCH("nỉ",'01_MASTER_DATABASE'!R134)), "✓", "✗")</f>
        <v/>
      </c>
      <c r="F137" s="114">
        <f>'01_MASTER_DATABASE'!R134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3">
        <f>IF(ISNUMBER(SEARCH("EPDM",'01_MASTER_DATABASE'!R135)), "✓", "✗")</f>
        <v/>
      </c>
      <c r="D138" s="113">
        <f>IF(ISNUMBER(SEARCH("TPE",'01_MASTER_DATABASE'!R135)), "✓", "✗")</f>
        <v/>
      </c>
      <c r="E138" s="113">
        <f>IF(ISNUMBER(SEARCH("nỉ",'01_MASTER_DATABASE'!R135)), "✓", "✗")</f>
        <v/>
      </c>
      <c r="F138" s="114">
        <f>'01_MASTER_DATABASE'!R135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3">
        <f>IF(ISNUMBER(SEARCH("EPDM",'01_MASTER_DATABASE'!R136)), "✓", "✗")</f>
        <v/>
      </c>
      <c r="D139" s="113">
        <f>IF(ISNUMBER(SEARCH("TPE",'01_MASTER_DATABASE'!R136)), "✓", "✗")</f>
        <v/>
      </c>
      <c r="E139" s="113">
        <f>IF(ISNUMBER(SEARCH("nỉ",'01_MASTER_DATABASE'!R136)), "✓", "✗")</f>
        <v/>
      </c>
      <c r="F139" s="114">
        <f>'01_MASTER_DATABASE'!R136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3">
        <f>IF(ISNUMBER(SEARCH("EPDM",'01_MASTER_DATABASE'!R137)), "✓", "✗")</f>
        <v/>
      </c>
      <c r="D140" s="113">
        <f>IF(ISNUMBER(SEARCH("TPE",'01_MASTER_DATABASE'!R137)), "✓", "✗")</f>
        <v/>
      </c>
      <c r="E140" s="113">
        <f>IF(ISNUMBER(SEARCH("nỉ",'01_MASTER_DATABASE'!R137)), "✓", "✗")</f>
        <v/>
      </c>
      <c r="F140" s="114">
        <f>'01_MASTER_DATABASE'!R137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3">
        <f>IF(ISNUMBER(SEARCH("EPDM",'01_MASTER_DATABASE'!R138)), "✓", "✗")</f>
        <v/>
      </c>
      <c r="D141" s="113">
        <f>IF(ISNUMBER(SEARCH("TPE",'01_MASTER_DATABASE'!R138)), "✓", "✗")</f>
        <v/>
      </c>
      <c r="E141" s="113">
        <f>IF(ISNUMBER(SEARCH("nỉ",'01_MASTER_DATABASE'!R138)), "✓", "✗")</f>
        <v/>
      </c>
      <c r="F141" s="114">
        <f>'01_MASTER_DATABASE'!R138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3">
        <f>IF(ISNUMBER(SEARCH("EPDM",'01_MASTER_DATABASE'!R139)), "✓", "✗")</f>
        <v/>
      </c>
      <c r="D142" s="113">
        <f>IF(ISNUMBER(SEARCH("TPE",'01_MASTER_DATABASE'!R139)), "✓", "✗")</f>
        <v/>
      </c>
      <c r="E142" s="113">
        <f>IF(ISNUMBER(SEARCH("nỉ",'01_MASTER_DATABASE'!R139)), "✓", "✗")</f>
        <v/>
      </c>
      <c r="F142" s="114">
        <f>'01_MASTER_DATABASE'!R139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3">
        <f>IF(ISNUMBER(SEARCH("EPDM",'01_MASTER_DATABASE'!R140)), "✓", "✗")</f>
        <v/>
      </c>
      <c r="D143" s="113">
        <f>IF(ISNUMBER(SEARCH("TPE",'01_MASTER_DATABASE'!R140)), "✓", "✗")</f>
        <v/>
      </c>
      <c r="E143" s="113">
        <f>IF(ISNUMBER(SEARCH("nỉ",'01_MASTER_DATABASE'!R140)), "✓", "✗")</f>
        <v/>
      </c>
      <c r="F143" s="114">
        <f>'01_MASTER_DATABASE'!R140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3">
        <f>IF(ISNUMBER(SEARCH("EPDM",'01_MASTER_DATABASE'!R141)), "✓", "✗")</f>
        <v/>
      </c>
      <c r="D144" s="113">
        <f>IF(ISNUMBER(SEARCH("TPE",'01_MASTER_DATABASE'!R141)), "✓", "✗")</f>
        <v/>
      </c>
      <c r="E144" s="113">
        <f>IF(ISNUMBER(SEARCH("nỉ",'01_MASTER_DATABASE'!R141)), "✓", "✗")</f>
        <v/>
      </c>
      <c r="F144" s="114">
        <f>'01_MASTER_DATABASE'!R141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3">
        <f>IF(ISNUMBER(SEARCH("EPDM",'01_MASTER_DATABASE'!R142)), "✓", "✗")</f>
        <v/>
      </c>
      <c r="D145" s="113">
        <f>IF(ISNUMBER(SEARCH("TPE",'01_MASTER_DATABASE'!R142)), "✓", "✗")</f>
        <v/>
      </c>
      <c r="E145" s="113">
        <f>IF(ISNUMBER(SEARCH("nỉ",'01_MASTER_DATABASE'!R142)), "✓", "✗")</f>
        <v/>
      </c>
      <c r="F145" s="114">
        <f>'01_MASTER_DATABASE'!R142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3">
        <f>IF(ISNUMBER(SEARCH("EPDM",'01_MASTER_DATABASE'!R143)), "✓", "✗")</f>
        <v/>
      </c>
      <c r="D146" s="113">
        <f>IF(ISNUMBER(SEARCH("TPE",'01_MASTER_DATABASE'!R143)), "✓", "✗")</f>
        <v/>
      </c>
      <c r="E146" s="113">
        <f>IF(ISNUMBER(SEARCH("nỉ",'01_MASTER_DATABASE'!R143)), "✓", "✗")</f>
        <v/>
      </c>
      <c r="F146" s="114">
        <f>'01_MASTER_DATABASE'!R143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3">
        <f>IF(ISNUMBER(SEARCH("EPDM",'01_MASTER_DATABASE'!R144)), "✓", "✗")</f>
        <v/>
      </c>
      <c r="D147" s="113">
        <f>IF(ISNUMBER(SEARCH("TPE",'01_MASTER_DATABASE'!R144)), "✓", "✗")</f>
        <v/>
      </c>
      <c r="E147" s="113">
        <f>IF(ISNUMBER(SEARCH("nỉ",'01_MASTER_DATABASE'!R144)), "✓", "✗")</f>
        <v/>
      </c>
      <c r="F147" s="114">
        <f>'01_MASTER_DATABASE'!R144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3">
        <f>IF(ISNUMBER(SEARCH("EPDM",'01_MASTER_DATABASE'!R145)), "✓", "✗")</f>
        <v/>
      </c>
      <c r="D148" s="113">
        <f>IF(ISNUMBER(SEARCH("TPE",'01_MASTER_DATABASE'!R145)), "✓", "✗")</f>
        <v/>
      </c>
      <c r="E148" s="113">
        <f>IF(ISNUMBER(SEARCH("nỉ",'01_MASTER_DATABASE'!R145)), "✓", "✗")</f>
        <v/>
      </c>
      <c r="F148" s="114">
        <f>'01_MASTER_DATABASE'!R145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3">
        <f>IF(ISNUMBER(SEARCH("EPDM",'01_MASTER_DATABASE'!R146)), "✓", "✗")</f>
        <v/>
      </c>
      <c r="D149" s="113">
        <f>IF(ISNUMBER(SEARCH("TPE",'01_MASTER_DATABASE'!R146)), "✓", "✗")</f>
        <v/>
      </c>
      <c r="E149" s="113">
        <f>IF(ISNUMBER(SEARCH("nỉ",'01_MASTER_DATABASE'!R146)), "✓", "✗")</f>
        <v/>
      </c>
      <c r="F149" s="114">
        <f>'01_MASTER_DATABASE'!R146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3">
        <f>IF(ISNUMBER(SEARCH("EPDM",'01_MASTER_DATABASE'!R147)), "✓", "✗")</f>
        <v/>
      </c>
      <c r="D150" s="113">
        <f>IF(ISNUMBER(SEARCH("TPE",'01_MASTER_DATABASE'!R147)), "✓", "✗")</f>
        <v/>
      </c>
      <c r="E150" s="113">
        <f>IF(ISNUMBER(SEARCH("nỉ",'01_MASTER_DATABASE'!R147)), "✓", "✗")</f>
        <v/>
      </c>
      <c r="F150" s="114">
        <f>'01_MASTER_DATABASE'!R147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3">
        <f>IF(ISNUMBER(SEARCH("EPDM",'01_MASTER_DATABASE'!R148)), "✓", "✗")</f>
        <v/>
      </c>
      <c r="D151" s="113">
        <f>IF(ISNUMBER(SEARCH("TPE",'01_MASTER_DATABASE'!R148)), "✓", "✗")</f>
        <v/>
      </c>
      <c r="E151" s="113">
        <f>IF(ISNUMBER(SEARCH("nỉ",'01_MASTER_DATABASE'!R148)), "✓", "✗")</f>
        <v/>
      </c>
      <c r="F151" s="114">
        <f>'01_MASTER_DATABASE'!R148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3">
        <f>IF(ISNUMBER(SEARCH("EPDM",'01_MASTER_DATABASE'!R149)), "✓", "✗")</f>
        <v/>
      </c>
      <c r="D152" s="113">
        <f>IF(ISNUMBER(SEARCH("TPE",'01_MASTER_DATABASE'!R149)), "✓", "✗")</f>
        <v/>
      </c>
      <c r="E152" s="113">
        <f>IF(ISNUMBER(SEARCH("nỉ",'01_MASTER_DATABASE'!R149)), "✓", "✗")</f>
        <v/>
      </c>
      <c r="F152" s="114">
        <f>'01_MASTER_DATABASE'!R149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3">
        <f>IF(ISNUMBER(SEARCH("EPDM",'01_MASTER_DATABASE'!R150)), "✓", "✗")</f>
        <v/>
      </c>
      <c r="D153" s="113">
        <f>IF(ISNUMBER(SEARCH("TPE",'01_MASTER_DATABASE'!R150)), "✓", "✗")</f>
        <v/>
      </c>
      <c r="E153" s="113">
        <f>IF(ISNUMBER(SEARCH("nỉ",'01_MASTER_DATABASE'!R150)), "✓", "✗")</f>
        <v/>
      </c>
      <c r="F153" s="114">
        <f>'01_MASTER_DATABASE'!R150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3">
        <f>IF(ISNUMBER(SEARCH("EPDM",'01_MASTER_DATABASE'!R151)), "✓", "✗")</f>
        <v/>
      </c>
      <c r="D154" s="113">
        <f>IF(ISNUMBER(SEARCH("TPE",'01_MASTER_DATABASE'!R151)), "✓", "✗")</f>
        <v/>
      </c>
      <c r="E154" s="113">
        <f>IF(ISNUMBER(SEARCH("nỉ",'01_MASTER_DATABASE'!R151)), "✓", "✗")</f>
        <v/>
      </c>
      <c r="F154" s="114">
        <f>'01_MASTER_DATABASE'!R151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3">
        <f>IF(ISNUMBER(SEARCH("EPDM",'01_MASTER_DATABASE'!R152)), "✓", "✗")</f>
        <v/>
      </c>
      <c r="D155" s="113">
        <f>IF(ISNUMBER(SEARCH("TPE",'01_MASTER_DATABASE'!R152)), "✓", "✗")</f>
        <v/>
      </c>
      <c r="E155" s="113">
        <f>IF(ISNUMBER(SEARCH("nỉ",'01_MASTER_DATABASE'!R152)), "✓", "✗")</f>
        <v/>
      </c>
      <c r="F155" s="114">
        <f>'01_MASTER_DATABASE'!R152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3">
        <f>IF(ISNUMBER(SEARCH("EPDM",'01_MASTER_DATABASE'!R153)), "✓", "✗")</f>
        <v/>
      </c>
      <c r="D156" s="113">
        <f>IF(ISNUMBER(SEARCH("TPE",'01_MASTER_DATABASE'!R153)), "✓", "✗")</f>
        <v/>
      </c>
      <c r="E156" s="113">
        <f>IF(ISNUMBER(SEARCH("nỉ",'01_MASTER_DATABASE'!R153)), "✓", "✗")</f>
        <v/>
      </c>
      <c r="F156" s="114">
        <f>'01_MASTER_DATABASE'!R153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3">
        <f>IF(ISNUMBER(SEARCH("EPDM",'01_MASTER_DATABASE'!R154)), "✓", "✗")</f>
        <v/>
      </c>
      <c r="D157" s="113">
        <f>IF(ISNUMBER(SEARCH("TPE",'01_MASTER_DATABASE'!R154)), "✓", "✗")</f>
        <v/>
      </c>
      <c r="E157" s="113">
        <f>IF(ISNUMBER(SEARCH("nỉ",'01_MASTER_DATABASE'!R154)), "✓", "✗")</f>
        <v/>
      </c>
      <c r="F157" s="114">
        <f>'01_MASTER_DATABASE'!R154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3">
        <f>IF(ISNUMBER(SEARCH("EPDM",'01_MASTER_DATABASE'!R155)), "✓", "✗")</f>
        <v/>
      </c>
      <c r="D158" s="113">
        <f>IF(ISNUMBER(SEARCH("TPE",'01_MASTER_DATABASE'!R155)), "✓", "✗")</f>
        <v/>
      </c>
      <c r="E158" s="113">
        <f>IF(ISNUMBER(SEARCH("nỉ",'01_MASTER_DATABASE'!R155)), "✓", "✗")</f>
        <v/>
      </c>
      <c r="F158" s="114">
        <f>'01_MASTER_DATABASE'!R155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3">
        <f>IF(ISNUMBER(SEARCH("EPDM",'01_MASTER_DATABASE'!R156)), "✓", "✗")</f>
        <v/>
      </c>
      <c r="D159" s="113">
        <f>IF(ISNUMBER(SEARCH("TPE",'01_MASTER_DATABASE'!R156)), "✓", "✗")</f>
        <v/>
      </c>
      <c r="E159" s="113">
        <f>IF(ISNUMBER(SEARCH("nỉ",'01_MASTER_DATABASE'!R156)), "✓", "✗")</f>
        <v/>
      </c>
      <c r="F159" s="114">
        <f>'01_MASTER_DATABASE'!R156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3">
        <f>IF(ISNUMBER(SEARCH("EPDM",'01_MASTER_DATABASE'!R157)), "✓", "✗")</f>
        <v/>
      </c>
      <c r="D160" s="113">
        <f>IF(ISNUMBER(SEARCH("TPE",'01_MASTER_DATABASE'!R157)), "✓", "✗")</f>
        <v/>
      </c>
      <c r="E160" s="113">
        <f>IF(ISNUMBER(SEARCH("nỉ",'01_MASTER_DATABASE'!R157)), "✓", "✗")</f>
        <v/>
      </c>
      <c r="F160" s="114">
        <f>'01_MASTER_DATABASE'!R157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3">
        <f>IF(ISNUMBER(SEARCH("EPDM",'01_MASTER_DATABASE'!R158)), "✓", "✗")</f>
        <v/>
      </c>
      <c r="D161" s="113">
        <f>IF(ISNUMBER(SEARCH("TPE",'01_MASTER_DATABASE'!R158)), "✓", "✗")</f>
        <v/>
      </c>
      <c r="E161" s="113">
        <f>IF(ISNUMBER(SEARCH("nỉ",'01_MASTER_DATABASE'!R158)), "✓", "✗")</f>
        <v/>
      </c>
      <c r="F161" s="114">
        <f>'01_MASTER_DATABASE'!R158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3">
        <f>IF(ISNUMBER(SEARCH("EPDM",'01_MASTER_DATABASE'!R159)), "✓", "✗")</f>
        <v/>
      </c>
      <c r="D162" s="113">
        <f>IF(ISNUMBER(SEARCH("TPE",'01_MASTER_DATABASE'!R159)), "✓", "✗")</f>
        <v/>
      </c>
      <c r="E162" s="113">
        <f>IF(ISNUMBER(SEARCH("nỉ",'01_MASTER_DATABASE'!R159)), "✓", "✗")</f>
        <v/>
      </c>
      <c r="F162" s="114">
        <f>'01_MASTER_DATABASE'!R159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3">
        <f>IF(ISNUMBER(SEARCH("EPDM",'01_MASTER_DATABASE'!R160)), "✓", "✗")</f>
        <v/>
      </c>
      <c r="D163" s="113">
        <f>IF(ISNUMBER(SEARCH("TPE",'01_MASTER_DATABASE'!R160)), "✓", "✗")</f>
        <v/>
      </c>
      <c r="E163" s="113">
        <f>IF(ISNUMBER(SEARCH("nỉ",'01_MASTER_DATABASE'!R160)), "✓", "✗")</f>
        <v/>
      </c>
      <c r="F163" s="114">
        <f>'01_MASTER_DATABASE'!R160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3">
        <f>IF(ISNUMBER(SEARCH("EPDM",'01_MASTER_DATABASE'!R161)), "✓", "✗")</f>
        <v/>
      </c>
      <c r="D164" s="113">
        <f>IF(ISNUMBER(SEARCH("TPE",'01_MASTER_DATABASE'!R161)), "✓", "✗")</f>
        <v/>
      </c>
      <c r="E164" s="113">
        <f>IF(ISNUMBER(SEARCH("nỉ",'01_MASTER_DATABASE'!R161)), "✓", "✗")</f>
        <v/>
      </c>
      <c r="F164" s="114">
        <f>'01_MASTER_DATABASE'!R161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3">
        <f>IF(ISNUMBER(SEARCH("EPDM",'01_MASTER_DATABASE'!R162)), "✓", "✗")</f>
        <v/>
      </c>
      <c r="D165" s="113">
        <f>IF(ISNUMBER(SEARCH("TPE",'01_MASTER_DATABASE'!R162)), "✓", "✗")</f>
        <v/>
      </c>
      <c r="E165" s="113">
        <f>IF(ISNUMBER(SEARCH("nỉ",'01_MASTER_DATABASE'!R162)), "✓", "✗")</f>
        <v/>
      </c>
      <c r="F165" s="114">
        <f>'01_MASTER_DATABASE'!R162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3">
        <f>IF(ISNUMBER(SEARCH("EPDM",'01_MASTER_DATABASE'!R163)), "✓", "✗")</f>
        <v/>
      </c>
      <c r="D166" s="113">
        <f>IF(ISNUMBER(SEARCH("TPE",'01_MASTER_DATABASE'!R163)), "✓", "✗")</f>
        <v/>
      </c>
      <c r="E166" s="113">
        <f>IF(ISNUMBER(SEARCH("nỉ",'01_MASTER_DATABASE'!R163)), "✓", "✗")</f>
        <v/>
      </c>
      <c r="F166" s="114">
        <f>'01_MASTER_DATABASE'!R163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3">
        <f>IF(ISNUMBER(SEARCH("EPDM",'01_MASTER_DATABASE'!R164)), "✓", "✗")</f>
        <v/>
      </c>
      <c r="D167" s="113">
        <f>IF(ISNUMBER(SEARCH("TPE",'01_MASTER_DATABASE'!R164)), "✓", "✗")</f>
        <v/>
      </c>
      <c r="E167" s="113">
        <f>IF(ISNUMBER(SEARCH("nỉ",'01_MASTER_DATABASE'!R164)), "✓", "✗")</f>
        <v/>
      </c>
      <c r="F167" s="114">
        <f>'01_MASTER_DATABASE'!R164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3">
        <f>IF(ISNUMBER(SEARCH("EPDM",'01_MASTER_DATABASE'!R165)), "✓", "✗")</f>
        <v/>
      </c>
      <c r="D168" s="113">
        <f>IF(ISNUMBER(SEARCH("TPE",'01_MASTER_DATABASE'!R165)), "✓", "✗")</f>
        <v/>
      </c>
      <c r="E168" s="113">
        <f>IF(ISNUMBER(SEARCH("nỉ",'01_MASTER_DATABASE'!R165)), "✓", "✗")</f>
        <v/>
      </c>
      <c r="F168" s="114">
        <f>'01_MASTER_DATABASE'!R165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3">
        <f>IF(ISNUMBER(SEARCH("EPDM",'01_MASTER_DATABASE'!R166)), "✓", "✗")</f>
        <v/>
      </c>
      <c r="D169" s="113">
        <f>IF(ISNUMBER(SEARCH("TPE",'01_MASTER_DATABASE'!R166)), "✓", "✗")</f>
        <v/>
      </c>
      <c r="E169" s="113">
        <f>IF(ISNUMBER(SEARCH("nỉ",'01_MASTER_DATABASE'!R166)), "✓", "✗")</f>
        <v/>
      </c>
      <c r="F169" s="114">
        <f>'01_MASTER_DATABASE'!R166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3">
        <f>IF(ISNUMBER(SEARCH("EPDM",'01_MASTER_DATABASE'!R167)), "✓", "✗")</f>
        <v/>
      </c>
      <c r="D170" s="113">
        <f>IF(ISNUMBER(SEARCH("TPE",'01_MASTER_DATABASE'!R167)), "✓", "✗")</f>
        <v/>
      </c>
      <c r="E170" s="113">
        <f>IF(ISNUMBER(SEARCH("nỉ",'01_MASTER_DATABASE'!R167)), "✓", "✗")</f>
        <v/>
      </c>
      <c r="F170" s="114">
        <f>'01_MASTER_DATABASE'!R167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3">
        <f>IF(ISNUMBER(SEARCH("EPDM",'01_MASTER_DATABASE'!R168)), "✓", "✗")</f>
        <v/>
      </c>
      <c r="D171" s="113">
        <f>IF(ISNUMBER(SEARCH("TPE",'01_MASTER_DATABASE'!R168)), "✓", "✗")</f>
        <v/>
      </c>
      <c r="E171" s="113">
        <f>IF(ISNUMBER(SEARCH("nỉ",'01_MASTER_DATABASE'!R168)), "✓", "✗")</f>
        <v/>
      </c>
      <c r="F171" s="114">
        <f>'01_MASTER_DATABASE'!R168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3">
        <f>IF(ISNUMBER(SEARCH("EPDM",'01_MASTER_DATABASE'!R169)), "✓", "✗")</f>
        <v/>
      </c>
      <c r="D172" s="113">
        <f>IF(ISNUMBER(SEARCH("TPE",'01_MASTER_DATABASE'!R169)), "✓", "✗")</f>
        <v/>
      </c>
      <c r="E172" s="113">
        <f>IF(ISNUMBER(SEARCH("nỉ",'01_MASTER_DATABASE'!R169)), "✓", "✗")</f>
        <v/>
      </c>
      <c r="F172" s="114">
        <f>'01_MASTER_DATABASE'!R169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3">
        <f>IF(ISNUMBER(SEARCH("EPDM",'01_MASTER_DATABASE'!R170)), "✓", "✗")</f>
        <v/>
      </c>
      <c r="D173" s="113">
        <f>IF(ISNUMBER(SEARCH("TPE",'01_MASTER_DATABASE'!R170)), "✓", "✗")</f>
        <v/>
      </c>
      <c r="E173" s="113">
        <f>IF(ISNUMBER(SEARCH("nỉ",'01_MASTER_DATABASE'!R170)), "✓", "✗")</f>
        <v/>
      </c>
      <c r="F173" s="114">
        <f>'01_MASTER_DATABASE'!R170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3">
        <f>IF(ISNUMBER(SEARCH("EPDM",'01_MASTER_DATABASE'!R171)), "✓", "✗")</f>
        <v/>
      </c>
      <c r="D174" s="113">
        <f>IF(ISNUMBER(SEARCH("TPE",'01_MASTER_DATABASE'!R171)), "✓", "✗")</f>
        <v/>
      </c>
      <c r="E174" s="113">
        <f>IF(ISNUMBER(SEARCH("nỉ",'01_MASTER_DATABASE'!R171)), "✓", "✗")</f>
        <v/>
      </c>
      <c r="F174" s="114">
        <f>'01_MASTER_DATABASE'!R171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3">
        <f>IF(ISNUMBER(SEARCH("EPDM",'01_MASTER_DATABASE'!R172)), "✓", "✗")</f>
        <v/>
      </c>
      <c r="D175" s="113">
        <f>IF(ISNUMBER(SEARCH("TPE",'01_MASTER_DATABASE'!R172)), "✓", "✗")</f>
        <v/>
      </c>
      <c r="E175" s="113">
        <f>IF(ISNUMBER(SEARCH("nỉ",'01_MASTER_DATABASE'!R172)), "✓", "✗")</f>
        <v/>
      </c>
      <c r="F175" s="114">
        <f>'01_MASTER_DATABASE'!R172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3">
        <f>IF(ISNUMBER(SEARCH("EPDM",'01_MASTER_DATABASE'!R173)), "✓", "✗")</f>
        <v/>
      </c>
      <c r="D176" s="113">
        <f>IF(ISNUMBER(SEARCH("TPE",'01_MASTER_DATABASE'!R173)), "✓", "✗")</f>
        <v/>
      </c>
      <c r="E176" s="113">
        <f>IF(ISNUMBER(SEARCH("nỉ",'01_MASTER_DATABASE'!R173)), "✓", "✗")</f>
        <v/>
      </c>
      <c r="F176" s="114">
        <f>'01_MASTER_DATABASE'!R173</f>
        <v/>
      </c>
    </row>
  </sheetData>
  <mergeCells count="1">
    <mergeCell ref="A1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2" customWidth="1" min="4" max="4"/>
    <col width="22" customWidth="1" min="5" max="5"/>
    <col width="24" customWidth="1" min="6" max="6"/>
  </cols>
  <sheetData>
    <row r="1" ht="20" customHeight="1">
      <c r="A1" s="109" t="inlineStr">
        <is>
          <t>CÔNG NGHỆ XỬ LÝ BỀ MẶT VÀ HOÀN THIỆN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Sơn Tĩnh Điện</t>
        </is>
      </c>
      <c r="D4" s="110" t="inlineStr">
        <is>
          <t>Mạ Điện Di Anodize ED</t>
        </is>
      </c>
      <c r="E4" s="110" t="inlineStr">
        <is>
          <t>Phủ Hạt Mịn (PVDF)</t>
        </is>
      </c>
      <c r="F4" s="110" t="inlineStr">
        <is>
          <t>Sơn Chống Vân Tay (MED)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>
        <f>IF(ISNUMBER(SEARCH("Sơn",'01_MASTER_DATABASE'!S2)), "✓", "✗")</f>
        <v/>
      </c>
      <c r="D5" s="113">
        <f>IF(ISNUMBER(SEARCH("Anodize",'01_MASTER_DATABASE'!S2)), "✓", "✗")</f>
        <v/>
      </c>
      <c r="E5" s="113">
        <f>IF(ISNUMBER(SEARCH("PVDF",'01_MASTER_DATABASE'!S2)), "✓", "✗")</f>
        <v/>
      </c>
      <c r="F5" s="113">
        <f>IF(ISNUMBER(SEARCH("MED",'01_MASTER_DATABASE'!S2)), "✓", "✗")</f>
        <v/>
      </c>
    </row>
    <row r="6" ht="25" customHeight="1">
      <c r="A6" s="113">
        <f>'01_MASTER_DATABASE'!C3</f>
        <v/>
      </c>
      <c r="B6" s="114">
        <f>'01_MASTER_DATABASE'!D3</f>
        <v/>
      </c>
      <c r="C6" s="113">
        <f>IF(ISNUMBER(SEARCH("Sơn",'01_MASTER_DATABASE'!S3)), "✓", "✗")</f>
        <v/>
      </c>
      <c r="D6" s="113">
        <f>IF(ISNUMBER(SEARCH("Anodize",'01_MASTER_DATABASE'!S3)), "✓", "✗")</f>
        <v/>
      </c>
      <c r="E6" s="113">
        <f>IF(ISNUMBER(SEARCH("PVDF",'01_MASTER_DATABASE'!S3)), "✓", "✗")</f>
        <v/>
      </c>
      <c r="F6" s="113">
        <f>IF(ISNUMBER(SEARCH("MED",'01_MASTER_DATABASE'!S3)), "✓", "✗")</f>
        <v/>
      </c>
    </row>
    <row r="7" ht="25" customHeight="1">
      <c r="A7" s="113">
        <f>'01_MASTER_DATABASE'!C4</f>
        <v/>
      </c>
      <c r="B7" s="114">
        <f>'01_MASTER_DATABASE'!D4</f>
        <v/>
      </c>
      <c r="C7" s="113">
        <f>IF(ISNUMBER(SEARCH("Sơn",'01_MASTER_DATABASE'!S4)), "✓", "✗")</f>
        <v/>
      </c>
      <c r="D7" s="113">
        <f>IF(ISNUMBER(SEARCH("Anodize",'01_MASTER_DATABASE'!S4)), "✓", "✗")</f>
        <v/>
      </c>
      <c r="E7" s="113">
        <f>IF(ISNUMBER(SEARCH("PVDF",'01_MASTER_DATABASE'!S4)), "✓", "✗")</f>
        <v/>
      </c>
      <c r="F7" s="113">
        <f>IF(ISNUMBER(SEARCH("MED",'01_MASTER_DATABASE'!S4)), "✓", "✗")</f>
        <v/>
      </c>
    </row>
    <row r="8" ht="25" customHeight="1">
      <c r="A8" s="113">
        <f>'01_MASTER_DATABASE'!C5</f>
        <v/>
      </c>
      <c r="B8" s="114">
        <f>'01_MASTER_DATABASE'!D5</f>
        <v/>
      </c>
      <c r="C8" s="113">
        <f>IF(ISNUMBER(SEARCH("Sơn",'01_MASTER_DATABASE'!S5)), "✓", "✗")</f>
        <v/>
      </c>
      <c r="D8" s="113">
        <f>IF(ISNUMBER(SEARCH("Anodize",'01_MASTER_DATABASE'!S5)), "✓", "✗")</f>
        <v/>
      </c>
      <c r="E8" s="113">
        <f>IF(ISNUMBER(SEARCH("PVDF",'01_MASTER_DATABASE'!S5)), "✓", "✗")</f>
        <v/>
      </c>
      <c r="F8" s="113">
        <f>IF(ISNUMBER(SEARCH("MED",'01_MASTER_DATABASE'!S5)), "✓", "✗")</f>
        <v/>
      </c>
    </row>
    <row r="9" ht="25" customHeight="1">
      <c r="A9" s="113">
        <f>'01_MASTER_DATABASE'!C6</f>
        <v/>
      </c>
      <c r="B9" s="114">
        <f>'01_MASTER_DATABASE'!D6</f>
        <v/>
      </c>
      <c r="C9" s="113">
        <f>IF(ISNUMBER(SEARCH("Sơn",'01_MASTER_DATABASE'!S6)), "✓", "✗")</f>
        <v/>
      </c>
      <c r="D9" s="113">
        <f>IF(ISNUMBER(SEARCH("Anodize",'01_MASTER_DATABASE'!S6)), "✓", "✗")</f>
        <v/>
      </c>
      <c r="E9" s="113">
        <f>IF(ISNUMBER(SEARCH("PVDF",'01_MASTER_DATABASE'!S6)), "✓", "✗")</f>
        <v/>
      </c>
      <c r="F9" s="113">
        <f>IF(ISNUMBER(SEARCH("MED",'01_MASTER_DATABASE'!S6)), "✓", "✗")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3">
        <f>IF(ISNUMBER(SEARCH("Sơn",'01_MASTER_DATABASE'!S7)), "✓", "✗")</f>
        <v/>
      </c>
      <c r="D10" s="113">
        <f>IF(ISNUMBER(SEARCH("Anodize",'01_MASTER_DATABASE'!S7)), "✓", "✗")</f>
        <v/>
      </c>
      <c r="E10" s="113">
        <f>IF(ISNUMBER(SEARCH("PVDF",'01_MASTER_DATABASE'!S7)), "✓", "✗")</f>
        <v/>
      </c>
      <c r="F10" s="113">
        <f>IF(ISNUMBER(SEARCH("MED",'01_MASTER_DATABASE'!S7)), "✓", "✗")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3">
        <f>IF(ISNUMBER(SEARCH("Sơn",'01_MASTER_DATABASE'!S8)), "✓", "✗")</f>
        <v/>
      </c>
      <c r="D11" s="113">
        <f>IF(ISNUMBER(SEARCH("Anodize",'01_MASTER_DATABASE'!S8)), "✓", "✗")</f>
        <v/>
      </c>
      <c r="E11" s="113">
        <f>IF(ISNUMBER(SEARCH("PVDF",'01_MASTER_DATABASE'!S8)), "✓", "✗")</f>
        <v/>
      </c>
      <c r="F11" s="113">
        <f>IF(ISNUMBER(SEARCH("MED",'01_MASTER_DATABASE'!S8)), "✓", "✗")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3">
        <f>IF(ISNUMBER(SEARCH("Sơn",'01_MASTER_DATABASE'!S9)), "✓", "✗")</f>
        <v/>
      </c>
      <c r="D12" s="113">
        <f>IF(ISNUMBER(SEARCH("Anodize",'01_MASTER_DATABASE'!S9)), "✓", "✗")</f>
        <v/>
      </c>
      <c r="E12" s="113">
        <f>IF(ISNUMBER(SEARCH("PVDF",'01_MASTER_DATABASE'!S9)), "✓", "✗")</f>
        <v/>
      </c>
      <c r="F12" s="113">
        <f>IF(ISNUMBER(SEARCH("MED",'01_MASTER_DATABASE'!S9)), "✓", "✗")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3">
        <f>IF(ISNUMBER(SEARCH("Sơn",'01_MASTER_DATABASE'!S10)), "✓", "✗")</f>
        <v/>
      </c>
      <c r="D13" s="113">
        <f>IF(ISNUMBER(SEARCH("Anodize",'01_MASTER_DATABASE'!S10)), "✓", "✗")</f>
        <v/>
      </c>
      <c r="E13" s="113">
        <f>IF(ISNUMBER(SEARCH("PVDF",'01_MASTER_DATABASE'!S10)), "✓", "✗")</f>
        <v/>
      </c>
      <c r="F13" s="113">
        <f>IF(ISNUMBER(SEARCH("MED",'01_MASTER_DATABASE'!S10)), "✓", "✗")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3">
        <f>IF(ISNUMBER(SEARCH("Sơn",'01_MASTER_DATABASE'!S11)), "✓", "✗")</f>
        <v/>
      </c>
      <c r="D14" s="113">
        <f>IF(ISNUMBER(SEARCH("Anodize",'01_MASTER_DATABASE'!S11)), "✓", "✗")</f>
        <v/>
      </c>
      <c r="E14" s="113">
        <f>IF(ISNUMBER(SEARCH("PVDF",'01_MASTER_DATABASE'!S11)), "✓", "✗")</f>
        <v/>
      </c>
      <c r="F14" s="113">
        <f>IF(ISNUMBER(SEARCH("MED",'01_MASTER_DATABASE'!S11)), "✓", "✗")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3">
        <f>IF(ISNUMBER(SEARCH("Sơn",'01_MASTER_DATABASE'!S12)), "✓", "✗")</f>
        <v/>
      </c>
      <c r="D15" s="113">
        <f>IF(ISNUMBER(SEARCH("Anodize",'01_MASTER_DATABASE'!S12)), "✓", "✗")</f>
        <v/>
      </c>
      <c r="E15" s="113">
        <f>IF(ISNUMBER(SEARCH("PVDF",'01_MASTER_DATABASE'!S12)), "✓", "✗")</f>
        <v/>
      </c>
      <c r="F15" s="113">
        <f>IF(ISNUMBER(SEARCH("MED",'01_MASTER_DATABASE'!S12)), "✓", "✗")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3">
        <f>IF(ISNUMBER(SEARCH("Sơn",'01_MASTER_DATABASE'!S13)), "✓", "✗")</f>
        <v/>
      </c>
      <c r="D16" s="113">
        <f>IF(ISNUMBER(SEARCH("Anodize",'01_MASTER_DATABASE'!S13)), "✓", "✗")</f>
        <v/>
      </c>
      <c r="E16" s="113">
        <f>IF(ISNUMBER(SEARCH("PVDF",'01_MASTER_DATABASE'!S13)), "✓", "✗")</f>
        <v/>
      </c>
      <c r="F16" s="113">
        <f>IF(ISNUMBER(SEARCH("MED",'01_MASTER_DATABASE'!S13)), "✓", "✗")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3">
        <f>IF(ISNUMBER(SEARCH("Sơn",'01_MASTER_DATABASE'!S14)), "✓", "✗")</f>
        <v/>
      </c>
      <c r="D17" s="113">
        <f>IF(ISNUMBER(SEARCH("Anodize",'01_MASTER_DATABASE'!S14)), "✓", "✗")</f>
        <v/>
      </c>
      <c r="E17" s="113">
        <f>IF(ISNUMBER(SEARCH("PVDF",'01_MASTER_DATABASE'!S14)), "✓", "✗")</f>
        <v/>
      </c>
      <c r="F17" s="113">
        <f>IF(ISNUMBER(SEARCH("MED",'01_MASTER_DATABASE'!S14)), "✓", "✗")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3">
        <f>IF(ISNUMBER(SEARCH("Sơn",'01_MASTER_DATABASE'!S15)), "✓", "✗")</f>
        <v/>
      </c>
      <c r="D18" s="113">
        <f>IF(ISNUMBER(SEARCH("Anodize",'01_MASTER_DATABASE'!S15)), "✓", "✗")</f>
        <v/>
      </c>
      <c r="E18" s="113">
        <f>IF(ISNUMBER(SEARCH("PVDF",'01_MASTER_DATABASE'!S15)), "✓", "✗")</f>
        <v/>
      </c>
      <c r="F18" s="113">
        <f>IF(ISNUMBER(SEARCH("MED",'01_MASTER_DATABASE'!S15)), "✓", "✗")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3">
        <f>IF(ISNUMBER(SEARCH("Sơn",'01_MASTER_DATABASE'!S16)), "✓", "✗")</f>
        <v/>
      </c>
      <c r="D19" s="113">
        <f>IF(ISNUMBER(SEARCH("Anodize",'01_MASTER_DATABASE'!S16)), "✓", "✗")</f>
        <v/>
      </c>
      <c r="E19" s="113">
        <f>IF(ISNUMBER(SEARCH("PVDF",'01_MASTER_DATABASE'!S16)), "✓", "✗")</f>
        <v/>
      </c>
      <c r="F19" s="113">
        <f>IF(ISNUMBER(SEARCH("MED",'01_MASTER_DATABASE'!S16)), "✓", "✗")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3">
        <f>IF(ISNUMBER(SEARCH("Sơn",'01_MASTER_DATABASE'!S17)), "✓", "✗")</f>
        <v/>
      </c>
      <c r="D20" s="113">
        <f>IF(ISNUMBER(SEARCH("Anodize",'01_MASTER_DATABASE'!S17)), "✓", "✗")</f>
        <v/>
      </c>
      <c r="E20" s="113">
        <f>IF(ISNUMBER(SEARCH("PVDF",'01_MASTER_DATABASE'!S17)), "✓", "✗")</f>
        <v/>
      </c>
      <c r="F20" s="113">
        <f>IF(ISNUMBER(SEARCH("MED",'01_MASTER_DATABASE'!S17)), "✓", "✗")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3">
        <f>IF(ISNUMBER(SEARCH("Sơn",'01_MASTER_DATABASE'!S18)), "✓", "✗")</f>
        <v/>
      </c>
      <c r="D21" s="113">
        <f>IF(ISNUMBER(SEARCH("Anodize",'01_MASTER_DATABASE'!S18)), "✓", "✗")</f>
        <v/>
      </c>
      <c r="E21" s="113">
        <f>IF(ISNUMBER(SEARCH("PVDF",'01_MASTER_DATABASE'!S18)), "✓", "✗")</f>
        <v/>
      </c>
      <c r="F21" s="113">
        <f>IF(ISNUMBER(SEARCH("MED",'01_MASTER_DATABASE'!S18)), "✓", "✗")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3">
        <f>IF(ISNUMBER(SEARCH("Sơn",'01_MASTER_DATABASE'!S19)), "✓", "✗")</f>
        <v/>
      </c>
      <c r="D22" s="113">
        <f>IF(ISNUMBER(SEARCH("Anodize",'01_MASTER_DATABASE'!S19)), "✓", "✗")</f>
        <v/>
      </c>
      <c r="E22" s="113">
        <f>IF(ISNUMBER(SEARCH("PVDF",'01_MASTER_DATABASE'!S19)), "✓", "✗")</f>
        <v/>
      </c>
      <c r="F22" s="113">
        <f>IF(ISNUMBER(SEARCH("MED",'01_MASTER_DATABASE'!S19)), "✓", "✗")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3">
        <f>IF(ISNUMBER(SEARCH("Sơn",'01_MASTER_DATABASE'!S20)), "✓", "✗")</f>
        <v/>
      </c>
      <c r="D23" s="113">
        <f>IF(ISNUMBER(SEARCH("Anodize",'01_MASTER_DATABASE'!S20)), "✓", "✗")</f>
        <v/>
      </c>
      <c r="E23" s="113">
        <f>IF(ISNUMBER(SEARCH("PVDF",'01_MASTER_DATABASE'!S20)), "✓", "✗")</f>
        <v/>
      </c>
      <c r="F23" s="113">
        <f>IF(ISNUMBER(SEARCH("MED",'01_MASTER_DATABASE'!S20)), "✓", "✗")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3">
        <f>IF(ISNUMBER(SEARCH("Sơn",'01_MASTER_DATABASE'!S21)), "✓", "✗")</f>
        <v/>
      </c>
      <c r="D24" s="113">
        <f>IF(ISNUMBER(SEARCH("Anodize",'01_MASTER_DATABASE'!S21)), "✓", "✗")</f>
        <v/>
      </c>
      <c r="E24" s="113">
        <f>IF(ISNUMBER(SEARCH("PVDF",'01_MASTER_DATABASE'!S21)), "✓", "✗")</f>
        <v/>
      </c>
      <c r="F24" s="113">
        <f>IF(ISNUMBER(SEARCH("MED",'01_MASTER_DATABASE'!S21)), "✓", "✗")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3">
        <f>IF(ISNUMBER(SEARCH("Sơn",'01_MASTER_DATABASE'!S22)), "✓", "✗")</f>
        <v/>
      </c>
      <c r="D25" s="113">
        <f>IF(ISNUMBER(SEARCH("Anodize",'01_MASTER_DATABASE'!S22)), "✓", "✗")</f>
        <v/>
      </c>
      <c r="E25" s="113">
        <f>IF(ISNUMBER(SEARCH("PVDF",'01_MASTER_DATABASE'!S22)), "✓", "✗")</f>
        <v/>
      </c>
      <c r="F25" s="113">
        <f>IF(ISNUMBER(SEARCH("MED",'01_MASTER_DATABASE'!S22)), "✓", "✗")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3">
        <f>IF(ISNUMBER(SEARCH("Sơn",'01_MASTER_DATABASE'!S23)), "✓", "✗")</f>
        <v/>
      </c>
      <c r="D26" s="113">
        <f>IF(ISNUMBER(SEARCH("Anodize",'01_MASTER_DATABASE'!S23)), "✓", "✗")</f>
        <v/>
      </c>
      <c r="E26" s="113">
        <f>IF(ISNUMBER(SEARCH("PVDF",'01_MASTER_DATABASE'!S23)), "✓", "✗")</f>
        <v/>
      </c>
      <c r="F26" s="113">
        <f>IF(ISNUMBER(SEARCH("MED",'01_MASTER_DATABASE'!S23)), "✓", "✗")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3">
        <f>IF(ISNUMBER(SEARCH("Sơn",'01_MASTER_DATABASE'!S24)), "✓", "✗")</f>
        <v/>
      </c>
      <c r="D27" s="113">
        <f>IF(ISNUMBER(SEARCH("Anodize",'01_MASTER_DATABASE'!S24)), "✓", "✗")</f>
        <v/>
      </c>
      <c r="E27" s="113">
        <f>IF(ISNUMBER(SEARCH("PVDF",'01_MASTER_DATABASE'!S24)), "✓", "✗")</f>
        <v/>
      </c>
      <c r="F27" s="113">
        <f>IF(ISNUMBER(SEARCH("MED",'01_MASTER_DATABASE'!S24)), "✓", "✗")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3">
        <f>IF(ISNUMBER(SEARCH("Sơn",'01_MASTER_DATABASE'!S25)), "✓", "✗")</f>
        <v/>
      </c>
      <c r="D28" s="113">
        <f>IF(ISNUMBER(SEARCH("Anodize",'01_MASTER_DATABASE'!S25)), "✓", "✗")</f>
        <v/>
      </c>
      <c r="E28" s="113">
        <f>IF(ISNUMBER(SEARCH("PVDF",'01_MASTER_DATABASE'!S25)), "✓", "✗")</f>
        <v/>
      </c>
      <c r="F28" s="113">
        <f>IF(ISNUMBER(SEARCH("MED",'01_MASTER_DATABASE'!S25)), "✓", "✗")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3">
        <f>IF(ISNUMBER(SEARCH("Sơn",'01_MASTER_DATABASE'!S26)), "✓", "✗")</f>
        <v/>
      </c>
      <c r="D29" s="113">
        <f>IF(ISNUMBER(SEARCH("Anodize",'01_MASTER_DATABASE'!S26)), "✓", "✗")</f>
        <v/>
      </c>
      <c r="E29" s="113">
        <f>IF(ISNUMBER(SEARCH("PVDF",'01_MASTER_DATABASE'!S26)), "✓", "✗")</f>
        <v/>
      </c>
      <c r="F29" s="113">
        <f>IF(ISNUMBER(SEARCH("MED",'01_MASTER_DATABASE'!S26)), "✓", "✗")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3">
        <f>IF(ISNUMBER(SEARCH("Sơn",'01_MASTER_DATABASE'!S27)), "✓", "✗")</f>
        <v/>
      </c>
      <c r="D30" s="113">
        <f>IF(ISNUMBER(SEARCH("Anodize",'01_MASTER_DATABASE'!S27)), "✓", "✗")</f>
        <v/>
      </c>
      <c r="E30" s="113">
        <f>IF(ISNUMBER(SEARCH("PVDF",'01_MASTER_DATABASE'!S27)), "✓", "✗")</f>
        <v/>
      </c>
      <c r="F30" s="113">
        <f>IF(ISNUMBER(SEARCH("MED",'01_MASTER_DATABASE'!S27)), "✓", "✗")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3">
        <f>IF(ISNUMBER(SEARCH("Sơn",'01_MASTER_DATABASE'!S28)), "✓", "✗")</f>
        <v/>
      </c>
      <c r="D31" s="113">
        <f>IF(ISNUMBER(SEARCH("Anodize",'01_MASTER_DATABASE'!S28)), "✓", "✗")</f>
        <v/>
      </c>
      <c r="E31" s="113">
        <f>IF(ISNUMBER(SEARCH("PVDF",'01_MASTER_DATABASE'!S28)), "✓", "✗")</f>
        <v/>
      </c>
      <c r="F31" s="113">
        <f>IF(ISNUMBER(SEARCH("MED",'01_MASTER_DATABASE'!S28)), "✓", "✗")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3">
        <f>IF(ISNUMBER(SEARCH("Sơn",'01_MASTER_DATABASE'!S29)), "✓", "✗")</f>
        <v/>
      </c>
      <c r="D32" s="113">
        <f>IF(ISNUMBER(SEARCH("Anodize",'01_MASTER_DATABASE'!S29)), "✓", "✗")</f>
        <v/>
      </c>
      <c r="E32" s="113">
        <f>IF(ISNUMBER(SEARCH("PVDF",'01_MASTER_DATABASE'!S29)), "✓", "✗")</f>
        <v/>
      </c>
      <c r="F32" s="113">
        <f>IF(ISNUMBER(SEARCH("MED",'01_MASTER_DATABASE'!S29)), "✓", "✗")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3">
        <f>IF(ISNUMBER(SEARCH("Sơn",'01_MASTER_DATABASE'!S30)), "✓", "✗")</f>
        <v/>
      </c>
      <c r="D33" s="113">
        <f>IF(ISNUMBER(SEARCH("Anodize",'01_MASTER_DATABASE'!S30)), "✓", "✗")</f>
        <v/>
      </c>
      <c r="E33" s="113">
        <f>IF(ISNUMBER(SEARCH("PVDF",'01_MASTER_DATABASE'!S30)), "✓", "✗")</f>
        <v/>
      </c>
      <c r="F33" s="113">
        <f>IF(ISNUMBER(SEARCH("MED",'01_MASTER_DATABASE'!S30)), "✓", "✗")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3">
        <f>IF(ISNUMBER(SEARCH("Sơn",'01_MASTER_DATABASE'!S31)), "✓", "✗")</f>
        <v/>
      </c>
      <c r="D34" s="113">
        <f>IF(ISNUMBER(SEARCH("Anodize",'01_MASTER_DATABASE'!S31)), "✓", "✗")</f>
        <v/>
      </c>
      <c r="E34" s="113">
        <f>IF(ISNUMBER(SEARCH("PVDF",'01_MASTER_DATABASE'!S31)), "✓", "✗")</f>
        <v/>
      </c>
      <c r="F34" s="113">
        <f>IF(ISNUMBER(SEARCH("MED",'01_MASTER_DATABASE'!S31)), "✓", "✗")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3">
        <f>IF(ISNUMBER(SEARCH("Sơn",'01_MASTER_DATABASE'!S32)), "✓", "✗")</f>
        <v/>
      </c>
      <c r="D35" s="113">
        <f>IF(ISNUMBER(SEARCH("Anodize",'01_MASTER_DATABASE'!S32)), "✓", "✗")</f>
        <v/>
      </c>
      <c r="E35" s="113">
        <f>IF(ISNUMBER(SEARCH("PVDF",'01_MASTER_DATABASE'!S32)), "✓", "✗")</f>
        <v/>
      </c>
      <c r="F35" s="113">
        <f>IF(ISNUMBER(SEARCH("MED",'01_MASTER_DATABASE'!S32)), "✓", "✗")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3">
        <f>IF(ISNUMBER(SEARCH("Sơn",'01_MASTER_DATABASE'!S33)), "✓", "✗")</f>
        <v/>
      </c>
      <c r="D36" s="113">
        <f>IF(ISNUMBER(SEARCH("Anodize",'01_MASTER_DATABASE'!S33)), "✓", "✗")</f>
        <v/>
      </c>
      <c r="E36" s="113">
        <f>IF(ISNUMBER(SEARCH("PVDF",'01_MASTER_DATABASE'!S33)), "✓", "✗")</f>
        <v/>
      </c>
      <c r="F36" s="113">
        <f>IF(ISNUMBER(SEARCH("MED",'01_MASTER_DATABASE'!S33)), "✓", "✗")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3">
        <f>IF(ISNUMBER(SEARCH("Sơn",'01_MASTER_DATABASE'!S34)), "✓", "✗")</f>
        <v/>
      </c>
      <c r="D37" s="113">
        <f>IF(ISNUMBER(SEARCH("Anodize",'01_MASTER_DATABASE'!S34)), "✓", "✗")</f>
        <v/>
      </c>
      <c r="E37" s="113">
        <f>IF(ISNUMBER(SEARCH("PVDF",'01_MASTER_DATABASE'!S34)), "✓", "✗")</f>
        <v/>
      </c>
      <c r="F37" s="113">
        <f>IF(ISNUMBER(SEARCH("MED",'01_MASTER_DATABASE'!S34)), "✓", "✗")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3">
        <f>IF(ISNUMBER(SEARCH("Sơn",'01_MASTER_DATABASE'!S35)), "✓", "✗")</f>
        <v/>
      </c>
      <c r="D38" s="113">
        <f>IF(ISNUMBER(SEARCH("Anodize",'01_MASTER_DATABASE'!S35)), "✓", "✗")</f>
        <v/>
      </c>
      <c r="E38" s="113">
        <f>IF(ISNUMBER(SEARCH("PVDF",'01_MASTER_DATABASE'!S35)), "✓", "✗")</f>
        <v/>
      </c>
      <c r="F38" s="113">
        <f>IF(ISNUMBER(SEARCH("MED",'01_MASTER_DATABASE'!S35)), "✓", "✗")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3">
        <f>IF(ISNUMBER(SEARCH("Sơn",'01_MASTER_DATABASE'!S36)), "✓", "✗")</f>
        <v/>
      </c>
      <c r="D39" s="113">
        <f>IF(ISNUMBER(SEARCH("Anodize",'01_MASTER_DATABASE'!S36)), "✓", "✗")</f>
        <v/>
      </c>
      <c r="E39" s="113">
        <f>IF(ISNUMBER(SEARCH("PVDF",'01_MASTER_DATABASE'!S36)), "✓", "✗")</f>
        <v/>
      </c>
      <c r="F39" s="113">
        <f>IF(ISNUMBER(SEARCH("MED",'01_MASTER_DATABASE'!S36)), "✓", "✗")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3">
        <f>IF(ISNUMBER(SEARCH("Sơn",'01_MASTER_DATABASE'!S37)), "✓", "✗")</f>
        <v/>
      </c>
      <c r="D40" s="113">
        <f>IF(ISNUMBER(SEARCH("Anodize",'01_MASTER_DATABASE'!S37)), "✓", "✗")</f>
        <v/>
      </c>
      <c r="E40" s="113">
        <f>IF(ISNUMBER(SEARCH("PVDF",'01_MASTER_DATABASE'!S37)), "✓", "✗")</f>
        <v/>
      </c>
      <c r="F40" s="113">
        <f>IF(ISNUMBER(SEARCH("MED",'01_MASTER_DATABASE'!S37)), "✓", "✗")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3">
        <f>IF(ISNUMBER(SEARCH("Sơn",'01_MASTER_DATABASE'!S38)), "✓", "✗")</f>
        <v/>
      </c>
      <c r="D41" s="113">
        <f>IF(ISNUMBER(SEARCH("Anodize",'01_MASTER_DATABASE'!S38)), "✓", "✗")</f>
        <v/>
      </c>
      <c r="E41" s="113">
        <f>IF(ISNUMBER(SEARCH("PVDF",'01_MASTER_DATABASE'!S38)), "✓", "✗")</f>
        <v/>
      </c>
      <c r="F41" s="113">
        <f>IF(ISNUMBER(SEARCH("MED",'01_MASTER_DATABASE'!S38)), "✓", "✗")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3">
        <f>IF(ISNUMBER(SEARCH("Sơn",'01_MASTER_DATABASE'!S39)), "✓", "✗")</f>
        <v/>
      </c>
      <c r="D42" s="113">
        <f>IF(ISNUMBER(SEARCH("Anodize",'01_MASTER_DATABASE'!S39)), "✓", "✗")</f>
        <v/>
      </c>
      <c r="E42" s="113">
        <f>IF(ISNUMBER(SEARCH("PVDF",'01_MASTER_DATABASE'!S39)), "✓", "✗")</f>
        <v/>
      </c>
      <c r="F42" s="113">
        <f>IF(ISNUMBER(SEARCH("MED",'01_MASTER_DATABASE'!S39)), "✓", "✗")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3">
        <f>IF(ISNUMBER(SEARCH("Sơn",'01_MASTER_DATABASE'!S40)), "✓", "✗")</f>
        <v/>
      </c>
      <c r="D43" s="113">
        <f>IF(ISNUMBER(SEARCH("Anodize",'01_MASTER_DATABASE'!S40)), "✓", "✗")</f>
        <v/>
      </c>
      <c r="E43" s="113">
        <f>IF(ISNUMBER(SEARCH("PVDF",'01_MASTER_DATABASE'!S40)), "✓", "✗")</f>
        <v/>
      </c>
      <c r="F43" s="113">
        <f>IF(ISNUMBER(SEARCH("MED",'01_MASTER_DATABASE'!S40)), "✓", "✗")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3">
        <f>IF(ISNUMBER(SEARCH("Sơn",'01_MASTER_DATABASE'!S41)), "✓", "✗")</f>
        <v/>
      </c>
      <c r="D44" s="113">
        <f>IF(ISNUMBER(SEARCH("Anodize",'01_MASTER_DATABASE'!S41)), "✓", "✗")</f>
        <v/>
      </c>
      <c r="E44" s="113">
        <f>IF(ISNUMBER(SEARCH("PVDF",'01_MASTER_DATABASE'!S41)), "✓", "✗")</f>
        <v/>
      </c>
      <c r="F44" s="113">
        <f>IF(ISNUMBER(SEARCH("MED",'01_MASTER_DATABASE'!S41)), "✓", "✗")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3">
        <f>IF(ISNUMBER(SEARCH("Sơn",'01_MASTER_DATABASE'!S42)), "✓", "✗")</f>
        <v/>
      </c>
      <c r="D45" s="113">
        <f>IF(ISNUMBER(SEARCH("Anodize",'01_MASTER_DATABASE'!S42)), "✓", "✗")</f>
        <v/>
      </c>
      <c r="E45" s="113">
        <f>IF(ISNUMBER(SEARCH("PVDF",'01_MASTER_DATABASE'!S42)), "✓", "✗")</f>
        <v/>
      </c>
      <c r="F45" s="113">
        <f>IF(ISNUMBER(SEARCH("MED",'01_MASTER_DATABASE'!S42)), "✓", "✗")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3">
        <f>IF(ISNUMBER(SEARCH("Sơn",'01_MASTER_DATABASE'!S43)), "✓", "✗")</f>
        <v/>
      </c>
      <c r="D46" s="113">
        <f>IF(ISNUMBER(SEARCH("Anodize",'01_MASTER_DATABASE'!S43)), "✓", "✗")</f>
        <v/>
      </c>
      <c r="E46" s="113">
        <f>IF(ISNUMBER(SEARCH("PVDF",'01_MASTER_DATABASE'!S43)), "✓", "✗")</f>
        <v/>
      </c>
      <c r="F46" s="113">
        <f>IF(ISNUMBER(SEARCH("MED",'01_MASTER_DATABASE'!S43)), "✓", "✗")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3">
        <f>IF(ISNUMBER(SEARCH("Sơn",'01_MASTER_DATABASE'!S44)), "✓", "✗")</f>
        <v/>
      </c>
      <c r="D47" s="113">
        <f>IF(ISNUMBER(SEARCH("Anodize",'01_MASTER_DATABASE'!S44)), "✓", "✗")</f>
        <v/>
      </c>
      <c r="E47" s="113">
        <f>IF(ISNUMBER(SEARCH("PVDF",'01_MASTER_DATABASE'!S44)), "✓", "✗")</f>
        <v/>
      </c>
      <c r="F47" s="113">
        <f>IF(ISNUMBER(SEARCH("MED",'01_MASTER_DATABASE'!S44)), "✓", "✗")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3">
        <f>IF(ISNUMBER(SEARCH("Sơn",'01_MASTER_DATABASE'!S45)), "✓", "✗")</f>
        <v/>
      </c>
      <c r="D48" s="113">
        <f>IF(ISNUMBER(SEARCH("Anodize",'01_MASTER_DATABASE'!S45)), "✓", "✗")</f>
        <v/>
      </c>
      <c r="E48" s="113">
        <f>IF(ISNUMBER(SEARCH("PVDF",'01_MASTER_DATABASE'!S45)), "✓", "✗")</f>
        <v/>
      </c>
      <c r="F48" s="113">
        <f>IF(ISNUMBER(SEARCH("MED",'01_MASTER_DATABASE'!S45)), "✓", "✗")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3">
        <f>IF(ISNUMBER(SEARCH("Sơn",'01_MASTER_DATABASE'!S46)), "✓", "✗")</f>
        <v/>
      </c>
      <c r="D49" s="113">
        <f>IF(ISNUMBER(SEARCH("Anodize",'01_MASTER_DATABASE'!S46)), "✓", "✗")</f>
        <v/>
      </c>
      <c r="E49" s="113">
        <f>IF(ISNUMBER(SEARCH("PVDF",'01_MASTER_DATABASE'!S46)), "✓", "✗")</f>
        <v/>
      </c>
      <c r="F49" s="113">
        <f>IF(ISNUMBER(SEARCH("MED",'01_MASTER_DATABASE'!S46)), "✓", "✗")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3">
        <f>IF(ISNUMBER(SEARCH("Sơn",'01_MASTER_DATABASE'!S47)), "✓", "✗")</f>
        <v/>
      </c>
      <c r="D50" s="113">
        <f>IF(ISNUMBER(SEARCH("Anodize",'01_MASTER_DATABASE'!S47)), "✓", "✗")</f>
        <v/>
      </c>
      <c r="E50" s="113">
        <f>IF(ISNUMBER(SEARCH("PVDF",'01_MASTER_DATABASE'!S47)), "✓", "✗")</f>
        <v/>
      </c>
      <c r="F50" s="113">
        <f>IF(ISNUMBER(SEARCH("MED",'01_MASTER_DATABASE'!S47)), "✓", "✗")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3">
        <f>IF(ISNUMBER(SEARCH("Sơn",'01_MASTER_DATABASE'!S48)), "✓", "✗")</f>
        <v/>
      </c>
      <c r="D51" s="113">
        <f>IF(ISNUMBER(SEARCH("Anodize",'01_MASTER_DATABASE'!S48)), "✓", "✗")</f>
        <v/>
      </c>
      <c r="E51" s="113">
        <f>IF(ISNUMBER(SEARCH("PVDF",'01_MASTER_DATABASE'!S48)), "✓", "✗")</f>
        <v/>
      </c>
      <c r="F51" s="113">
        <f>IF(ISNUMBER(SEARCH("MED",'01_MASTER_DATABASE'!S48)), "✓", "✗")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3">
        <f>IF(ISNUMBER(SEARCH("Sơn",'01_MASTER_DATABASE'!S49)), "✓", "✗")</f>
        <v/>
      </c>
      <c r="D52" s="113">
        <f>IF(ISNUMBER(SEARCH("Anodize",'01_MASTER_DATABASE'!S49)), "✓", "✗")</f>
        <v/>
      </c>
      <c r="E52" s="113">
        <f>IF(ISNUMBER(SEARCH("PVDF",'01_MASTER_DATABASE'!S49)), "✓", "✗")</f>
        <v/>
      </c>
      <c r="F52" s="113">
        <f>IF(ISNUMBER(SEARCH("MED",'01_MASTER_DATABASE'!S49)), "✓", "✗")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3">
        <f>IF(ISNUMBER(SEARCH("Sơn",'01_MASTER_DATABASE'!S50)), "✓", "✗")</f>
        <v/>
      </c>
      <c r="D53" s="113">
        <f>IF(ISNUMBER(SEARCH("Anodize",'01_MASTER_DATABASE'!S50)), "✓", "✗")</f>
        <v/>
      </c>
      <c r="E53" s="113">
        <f>IF(ISNUMBER(SEARCH("PVDF",'01_MASTER_DATABASE'!S50)), "✓", "✗")</f>
        <v/>
      </c>
      <c r="F53" s="113">
        <f>IF(ISNUMBER(SEARCH("MED",'01_MASTER_DATABASE'!S50)), "✓", "✗")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3">
        <f>IF(ISNUMBER(SEARCH("Sơn",'01_MASTER_DATABASE'!S51)), "✓", "✗")</f>
        <v/>
      </c>
      <c r="D54" s="113">
        <f>IF(ISNUMBER(SEARCH("Anodize",'01_MASTER_DATABASE'!S51)), "✓", "✗")</f>
        <v/>
      </c>
      <c r="E54" s="113">
        <f>IF(ISNUMBER(SEARCH("PVDF",'01_MASTER_DATABASE'!S51)), "✓", "✗")</f>
        <v/>
      </c>
      <c r="F54" s="113">
        <f>IF(ISNUMBER(SEARCH("MED",'01_MASTER_DATABASE'!S51)), "✓", "✗")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3">
        <f>IF(ISNUMBER(SEARCH("Sơn",'01_MASTER_DATABASE'!S52)), "✓", "✗")</f>
        <v/>
      </c>
      <c r="D55" s="113">
        <f>IF(ISNUMBER(SEARCH("Anodize",'01_MASTER_DATABASE'!S52)), "✓", "✗")</f>
        <v/>
      </c>
      <c r="E55" s="113">
        <f>IF(ISNUMBER(SEARCH("PVDF",'01_MASTER_DATABASE'!S52)), "✓", "✗")</f>
        <v/>
      </c>
      <c r="F55" s="113">
        <f>IF(ISNUMBER(SEARCH("MED",'01_MASTER_DATABASE'!S52)), "✓", "✗")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3">
        <f>IF(ISNUMBER(SEARCH("Sơn",'01_MASTER_DATABASE'!S53)), "✓", "✗")</f>
        <v/>
      </c>
      <c r="D56" s="113">
        <f>IF(ISNUMBER(SEARCH("Anodize",'01_MASTER_DATABASE'!S53)), "✓", "✗")</f>
        <v/>
      </c>
      <c r="E56" s="113">
        <f>IF(ISNUMBER(SEARCH("PVDF",'01_MASTER_DATABASE'!S53)), "✓", "✗")</f>
        <v/>
      </c>
      <c r="F56" s="113">
        <f>IF(ISNUMBER(SEARCH("MED",'01_MASTER_DATABASE'!S53)), "✓", "✗")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3">
        <f>IF(ISNUMBER(SEARCH("Sơn",'01_MASTER_DATABASE'!S54)), "✓", "✗")</f>
        <v/>
      </c>
      <c r="D57" s="113">
        <f>IF(ISNUMBER(SEARCH("Anodize",'01_MASTER_DATABASE'!S54)), "✓", "✗")</f>
        <v/>
      </c>
      <c r="E57" s="113">
        <f>IF(ISNUMBER(SEARCH("PVDF",'01_MASTER_DATABASE'!S54)), "✓", "✗")</f>
        <v/>
      </c>
      <c r="F57" s="113">
        <f>IF(ISNUMBER(SEARCH("MED",'01_MASTER_DATABASE'!S54)), "✓", "✗")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3">
        <f>IF(ISNUMBER(SEARCH("Sơn",'01_MASTER_DATABASE'!S55)), "✓", "✗")</f>
        <v/>
      </c>
      <c r="D58" s="113">
        <f>IF(ISNUMBER(SEARCH("Anodize",'01_MASTER_DATABASE'!S55)), "✓", "✗")</f>
        <v/>
      </c>
      <c r="E58" s="113">
        <f>IF(ISNUMBER(SEARCH("PVDF",'01_MASTER_DATABASE'!S55)), "✓", "✗")</f>
        <v/>
      </c>
      <c r="F58" s="113">
        <f>IF(ISNUMBER(SEARCH("MED",'01_MASTER_DATABASE'!S55)), "✓", "✗")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3">
        <f>IF(ISNUMBER(SEARCH("Sơn",'01_MASTER_DATABASE'!S56)), "✓", "✗")</f>
        <v/>
      </c>
      <c r="D59" s="113">
        <f>IF(ISNUMBER(SEARCH("Anodize",'01_MASTER_DATABASE'!S56)), "✓", "✗")</f>
        <v/>
      </c>
      <c r="E59" s="113">
        <f>IF(ISNUMBER(SEARCH("PVDF",'01_MASTER_DATABASE'!S56)), "✓", "✗")</f>
        <v/>
      </c>
      <c r="F59" s="113">
        <f>IF(ISNUMBER(SEARCH("MED",'01_MASTER_DATABASE'!S56)), "✓", "✗")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3">
        <f>IF(ISNUMBER(SEARCH("Sơn",'01_MASTER_DATABASE'!S57)), "✓", "✗")</f>
        <v/>
      </c>
      <c r="D60" s="113">
        <f>IF(ISNUMBER(SEARCH("Anodize",'01_MASTER_DATABASE'!S57)), "✓", "✗")</f>
        <v/>
      </c>
      <c r="E60" s="113">
        <f>IF(ISNUMBER(SEARCH("PVDF",'01_MASTER_DATABASE'!S57)), "✓", "✗")</f>
        <v/>
      </c>
      <c r="F60" s="113">
        <f>IF(ISNUMBER(SEARCH("MED",'01_MASTER_DATABASE'!S57)), "✓", "✗")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3">
        <f>IF(ISNUMBER(SEARCH("Sơn",'01_MASTER_DATABASE'!S58)), "✓", "✗")</f>
        <v/>
      </c>
      <c r="D61" s="113">
        <f>IF(ISNUMBER(SEARCH("Anodize",'01_MASTER_DATABASE'!S58)), "✓", "✗")</f>
        <v/>
      </c>
      <c r="E61" s="113">
        <f>IF(ISNUMBER(SEARCH("PVDF",'01_MASTER_DATABASE'!S58)), "✓", "✗")</f>
        <v/>
      </c>
      <c r="F61" s="113">
        <f>IF(ISNUMBER(SEARCH("MED",'01_MASTER_DATABASE'!S58)), "✓", "✗")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3">
        <f>IF(ISNUMBER(SEARCH("Sơn",'01_MASTER_DATABASE'!S59)), "✓", "✗")</f>
        <v/>
      </c>
      <c r="D62" s="113">
        <f>IF(ISNUMBER(SEARCH("Anodize",'01_MASTER_DATABASE'!S59)), "✓", "✗")</f>
        <v/>
      </c>
      <c r="E62" s="113">
        <f>IF(ISNUMBER(SEARCH("PVDF",'01_MASTER_DATABASE'!S59)), "✓", "✗")</f>
        <v/>
      </c>
      <c r="F62" s="113">
        <f>IF(ISNUMBER(SEARCH("MED",'01_MASTER_DATABASE'!S59)), "✓", "✗")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3">
        <f>IF(ISNUMBER(SEARCH("Sơn",'01_MASTER_DATABASE'!S60)), "✓", "✗")</f>
        <v/>
      </c>
      <c r="D63" s="113">
        <f>IF(ISNUMBER(SEARCH("Anodize",'01_MASTER_DATABASE'!S60)), "✓", "✗")</f>
        <v/>
      </c>
      <c r="E63" s="113">
        <f>IF(ISNUMBER(SEARCH("PVDF",'01_MASTER_DATABASE'!S60)), "✓", "✗")</f>
        <v/>
      </c>
      <c r="F63" s="113">
        <f>IF(ISNUMBER(SEARCH("MED",'01_MASTER_DATABASE'!S60)), "✓", "✗")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3">
        <f>IF(ISNUMBER(SEARCH("Sơn",'01_MASTER_DATABASE'!S61)), "✓", "✗")</f>
        <v/>
      </c>
      <c r="D64" s="113">
        <f>IF(ISNUMBER(SEARCH("Anodize",'01_MASTER_DATABASE'!S61)), "✓", "✗")</f>
        <v/>
      </c>
      <c r="E64" s="113">
        <f>IF(ISNUMBER(SEARCH("PVDF",'01_MASTER_DATABASE'!S61)), "✓", "✗")</f>
        <v/>
      </c>
      <c r="F64" s="113">
        <f>IF(ISNUMBER(SEARCH("MED",'01_MASTER_DATABASE'!S61)), "✓", "✗")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3">
        <f>IF(ISNUMBER(SEARCH("Sơn",'01_MASTER_DATABASE'!S62)), "✓", "✗")</f>
        <v/>
      </c>
      <c r="D65" s="113">
        <f>IF(ISNUMBER(SEARCH("Anodize",'01_MASTER_DATABASE'!S62)), "✓", "✗")</f>
        <v/>
      </c>
      <c r="E65" s="113">
        <f>IF(ISNUMBER(SEARCH("PVDF",'01_MASTER_DATABASE'!S62)), "✓", "✗")</f>
        <v/>
      </c>
      <c r="F65" s="113">
        <f>IF(ISNUMBER(SEARCH("MED",'01_MASTER_DATABASE'!S62)), "✓", "✗")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3">
        <f>IF(ISNUMBER(SEARCH("Sơn",'01_MASTER_DATABASE'!S63)), "✓", "✗")</f>
        <v/>
      </c>
      <c r="D66" s="113">
        <f>IF(ISNUMBER(SEARCH("Anodize",'01_MASTER_DATABASE'!S63)), "✓", "✗")</f>
        <v/>
      </c>
      <c r="E66" s="113">
        <f>IF(ISNUMBER(SEARCH("PVDF",'01_MASTER_DATABASE'!S63)), "✓", "✗")</f>
        <v/>
      </c>
      <c r="F66" s="113">
        <f>IF(ISNUMBER(SEARCH("MED",'01_MASTER_DATABASE'!S63)), "✓", "✗")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3">
        <f>IF(ISNUMBER(SEARCH("Sơn",'01_MASTER_DATABASE'!S64)), "✓", "✗")</f>
        <v/>
      </c>
      <c r="D67" s="113">
        <f>IF(ISNUMBER(SEARCH("Anodize",'01_MASTER_DATABASE'!S64)), "✓", "✗")</f>
        <v/>
      </c>
      <c r="E67" s="113">
        <f>IF(ISNUMBER(SEARCH("PVDF",'01_MASTER_DATABASE'!S64)), "✓", "✗")</f>
        <v/>
      </c>
      <c r="F67" s="113">
        <f>IF(ISNUMBER(SEARCH("MED",'01_MASTER_DATABASE'!S64)), "✓", "✗")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3">
        <f>IF(ISNUMBER(SEARCH("Sơn",'01_MASTER_DATABASE'!S65)), "✓", "✗")</f>
        <v/>
      </c>
      <c r="D68" s="113">
        <f>IF(ISNUMBER(SEARCH("Anodize",'01_MASTER_DATABASE'!S65)), "✓", "✗")</f>
        <v/>
      </c>
      <c r="E68" s="113">
        <f>IF(ISNUMBER(SEARCH("PVDF",'01_MASTER_DATABASE'!S65)), "✓", "✗")</f>
        <v/>
      </c>
      <c r="F68" s="113">
        <f>IF(ISNUMBER(SEARCH("MED",'01_MASTER_DATABASE'!S65)), "✓", "✗")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3">
        <f>IF(ISNUMBER(SEARCH("Sơn",'01_MASTER_DATABASE'!S66)), "✓", "✗")</f>
        <v/>
      </c>
      <c r="D69" s="113">
        <f>IF(ISNUMBER(SEARCH("Anodize",'01_MASTER_DATABASE'!S66)), "✓", "✗")</f>
        <v/>
      </c>
      <c r="E69" s="113">
        <f>IF(ISNUMBER(SEARCH("PVDF",'01_MASTER_DATABASE'!S66)), "✓", "✗")</f>
        <v/>
      </c>
      <c r="F69" s="113">
        <f>IF(ISNUMBER(SEARCH("MED",'01_MASTER_DATABASE'!S66)), "✓", "✗")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3">
        <f>IF(ISNUMBER(SEARCH("Sơn",'01_MASTER_DATABASE'!S67)), "✓", "✗")</f>
        <v/>
      </c>
      <c r="D70" s="113">
        <f>IF(ISNUMBER(SEARCH("Anodize",'01_MASTER_DATABASE'!S67)), "✓", "✗")</f>
        <v/>
      </c>
      <c r="E70" s="113">
        <f>IF(ISNUMBER(SEARCH("PVDF",'01_MASTER_DATABASE'!S67)), "✓", "✗")</f>
        <v/>
      </c>
      <c r="F70" s="113">
        <f>IF(ISNUMBER(SEARCH("MED",'01_MASTER_DATABASE'!S67)), "✓", "✗")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3">
        <f>IF(ISNUMBER(SEARCH("Sơn",'01_MASTER_DATABASE'!S68)), "✓", "✗")</f>
        <v/>
      </c>
      <c r="D71" s="113">
        <f>IF(ISNUMBER(SEARCH("Anodize",'01_MASTER_DATABASE'!S68)), "✓", "✗")</f>
        <v/>
      </c>
      <c r="E71" s="113">
        <f>IF(ISNUMBER(SEARCH("PVDF",'01_MASTER_DATABASE'!S68)), "✓", "✗")</f>
        <v/>
      </c>
      <c r="F71" s="113">
        <f>IF(ISNUMBER(SEARCH("MED",'01_MASTER_DATABASE'!S68)), "✓", "✗")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3">
        <f>IF(ISNUMBER(SEARCH("Sơn",'01_MASTER_DATABASE'!S69)), "✓", "✗")</f>
        <v/>
      </c>
      <c r="D72" s="113">
        <f>IF(ISNUMBER(SEARCH("Anodize",'01_MASTER_DATABASE'!S69)), "✓", "✗")</f>
        <v/>
      </c>
      <c r="E72" s="113">
        <f>IF(ISNUMBER(SEARCH("PVDF",'01_MASTER_DATABASE'!S69)), "✓", "✗")</f>
        <v/>
      </c>
      <c r="F72" s="113">
        <f>IF(ISNUMBER(SEARCH("MED",'01_MASTER_DATABASE'!S69)), "✓", "✗")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3">
        <f>IF(ISNUMBER(SEARCH("Sơn",'01_MASTER_DATABASE'!S70)), "✓", "✗")</f>
        <v/>
      </c>
      <c r="D73" s="113">
        <f>IF(ISNUMBER(SEARCH("Anodize",'01_MASTER_DATABASE'!S70)), "✓", "✗")</f>
        <v/>
      </c>
      <c r="E73" s="113">
        <f>IF(ISNUMBER(SEARCH("PVDF",'01_MASTER_DATABASE'!S70)), "✓", "✗")</f>
        <v/>
      </c>
      <c r="F73" s="113">
        <f>IF(ISNUMBER(SEARCH("MED",'01_MASTER_DATABASE'!S70)), "✓", "✗")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3">
        <f>IF(ISNUMBER(SEARCH("Sơn",'01_MASTER_DATABASE'!S71)), "✓", "✗")</f>
        <v/>
      </c>
      <c r="D74" s="113">
        <f>IF(ISNUMBER(SEARCH("Anodize",'01_MASTER_DATABASE'!S71)), "✓", "✗")</f>
        <v/>
      </c>
      <c r="E74" s="113">
        <f>IF(ISNUMBER(SEARCH("PVDF",'01_MASTER_DATABASE'!S71)), "✓", "✗")</f>
        <v/>
      </c>
      <c r="F74" s="113">
        <f>IF(ISNUMBER(SEARCH("MED",'01_MASTER_DATABASE'!S71)), "✓", "✗")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3">
        <f>IF(ISNUMBER(SEARCH("Sơn",'01_MASTER_DATABASE'!S72)), "✓", "✗")</f>
        <v/>
      </c>
      <c r="D75" s="113">
        <f>IF(ISNUMBER(SEARCH("Anodize",'01_MASTER_DATABASE'!S72)), "✓", "✗")</f>
        <v/>
      </c>
      <c r="E75" s="113">
        <f>IF(ISNUMBER(SEARCH("PVDF",'01_MASTER_DATABASE'!S72)), "✓", "✗")</f>
        <v/>
      </c>
      <c r="F75" s="113">
        <f>IF(ISNUMBER(SEARCH("MED",'01_MASTER_DATABASE'!S72)), "✓", "✗")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3">
        <f>IF(ISNUMBER(SEARCH("Sơn",'01_MASTER_DATABASE'!S73)), "✓", "✗")</f>
        <v/>
      </c>
      <c r="D76" s="113">
        <f>IF(ISNUMBER(SEARCH("Anodize",'01_MASTER_DATABASE'!S73)), "✓", "✗")</f>
        <v/>
      </c>
      <c r="E76" s="113">
        <f>IF(ISNUMBER(SEARCH("PVDF",'01_MASTER_DATABASE'!S73)), "✓", "✗")</f>
        <v/>
      </c>
      <c r="F76" s="113">
        <f>IF(ISNUMBER(SEARCH("MED",'01_MASTER_DATABASE'!S73)), "✓", "✗")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3">
        <f>IF(ISNUMBER(SEARCH("Sơn",'01_MASTER_DATABASE'!S74)), "✓", "✗")</f>
        <v/>
      </c>
      <c r="D77" s="113">
        <f>IF(ISNUMBER(SEARCH("Anodize",'01_MASTER_DATABASE'!S74)), "✓", "✗")</f>
        <v/>
      </c>
      <c r="E77" s="113">
        <f>IF(ISNUMBER(SEARCH("PVDF",'01_MASTER_DATABASE'!S74)), "✓", "✗")</f>
        <v/>
      </c>
      <c r="F77" s="113">
        <f>IF(ISNUMBER(SEARCH("MED",'01_MASTER_DATABASE'!S74)), "✓", "✗")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3">
        <f>IF(ISNUMBER(SEARCH("Sơn",'01_MASTER_DATABASE'!S75)), "✓", "✗")</f>
        <v/>
      </c>
      <c r="D78" s="113">
        <f>IF(ISNUMBER(SEARCH("Anodize",'01_MASTER_DATABASE'!S75)), "✓", "✗")</f>
        <v/>
      </c>
      <c r="E78" s="113">
        <f>IF(ISNUMBER(SEARCH("PVDF",'01_MASTER_DATABASE'!S75)), "✓", "✗")</f>
        <v/>
      </c>
      <c r="F78" s="113">
        <f>IF(ISNUMBER(SEARCH("MED",'01_MASTER_DATABASE'!S75)), "✓", "✗")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3">
        <f>IF(ISNUMBER(SEARCH("Sơn",'01_MASTER_DATABASE'!S76)), "✓", "✗")</f>
        <v/>
      </c>
      <c r="D79" s="113">
        <f>IF(ISNUMBER(SEARCH("Anodize",'01_MASTER_DATABASE'!S76)), "✓", "✗")</f>
        <v/>
      </c>
      <c r="E79" s="113">
        <f>IF(ISNUMBER(SEARCH("PVDF",'01_MASTER_DATABASE'!S76)), "✓", "✗")</f>
        <v/>
      </c>
      <c r="F79" s="113">
        <f>IF(ISNUMBER(SEARCH("MED",'01_MASTER_DATABASE'!S76)), "✓", "✗")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3">
        <f>IF(ISNUMBER(SEARCH("Sơn",'01_MASTER_DATABASE'!S77)), "✓", "✗")</f>
        <v/>
      </c>
      <c r="D80" s="113">
        <f>IF(ISNUMBER(SEARCH("Anodize",'01_MASTER_DATABASE'!S77)), "✓", "✗")</f>
        <v/>
      </c>
      <c r="E80" s="113">
        <f>IF(ISNUMBER(SEARCH("PVDF",'01_MASTER_DATABASE'!S77)), "✓", "✗")</f>
        <v/>
      </c>
      <c r="F80" s="113">
        <f>IF(ISNUMBER(SEARCH("MED",'01_MASTER_DATABASE'!S77)), "✓", "✗")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3">
        <f>IF(ISNUMBER(SEARCH("Sơn",'01_MASTER_DATABASE'!S78)), "✓", "✗")</f>
        <v/>
      </c>
      <c r="D81" s="113">
        <f>IF(ISNUMBER(SEARCH("Anodize",'01_MASTER_DATABASE'!S78)), "✓", "✗")</f>
        <v/>
      </c>
      <c r="E81" s="113">
        <f>IF(ISNUMBER(SEARCH("PVDF",'01_MASTER_DATABASE'!S78)), "✓", "✗")</f>
        <v/>
      </c>
      <c r="F81" s="113">
        <f>IF(ISNUMBER(SEARCH("MED",'01_MASTER_DATABASE'!S78)), "✓", "✗")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3">
        <f>IF(ISNUMBER(SEARCH("Sơn",'01_MASTER_DATABASE'!S79)), "✓", "✗")</f>
        <v/>
      </c>
      <c r="D82" s="113">
        <f>IF(ISNUMBER(SEARCH("Anodize",'01_MASTER_DATABASE'!S79)), "✓", "✗")</f>
        <v/>
      </c>
      <c r="E82" s="113">
        <f>IF(ISNUMBER(SEARCH("PVDF",'01_MASTER_DATABASE'!S79)), "✓", "✗")</f>
        <v/>
      </c>
      <c r="F82" s="113">
        <f>IF(ISNUMBER(SEARCH("MED",'01_MASTER_DATABASE'!S79)), "✓", "✗")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3">
        <f>IF(ISNUMBER(SEARCH("Sơn",'01_MASTER_DATABASE'!S80)), "✓", "✗")</f>
        <v/>
      </c>
      <c r="D83" s="113">
        <f>IF(ISNUMBER(SEARCH("Anodize",'01_MASTER_DATABASE'!S80)), "✓", "✗")</f>
        <v/>
      </c>
      <c r="E83" s="113">
        <f>IF(ISNUMBER(SEARCH("PVDF",'01_MASTER_DATABASE'!S80)), "✓", "✗")</f>
        <v/>
      </c>
      <c r="F83" s="113">
        <f>IF(ISNUMBER(SEARCH("MED",'01_MASTER_DATABASE'!S80)), "✓", "✗")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3">
        <f>IF(ISNUMBER(SEARCH("Sơn",'01_MASTER_DATABASE'!S81)), "✓", "✗")</f>
        <v/>
      </c>
      <c r="D84" s="113">
        <f>IF(ISNUMBER(SEARCH("Anodize",'01_MASTER_DATABASE'!S81)), "✓", "✗")</f>
        <v/>
      </c>
      <c r="E84" s="113">
        <f>IF(ISNUMBER(SEARCH("PVDF",'01_MASTER_DATABASE'!S81)), "✓", "✗")</f>
        <v/>
      </c>
      <c r="F84" s="113">
        <f>IF(ISNUMBER(SEARCH("MED",'01_MASTER_DATABASE'!S81)), "✓", "✗")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3">
        <f>IF(ISNUMBER(SEARCH("Sơn",'01_MASTER_DATABASE'!S82)), "✓", "✗")</f>
        <v/>
      </c>
      <c r="D85" s="113">
        <f>IF(ISNUMBER(SEARCH("Anodize",'01_MASTER_DATABASE'!S82)), "✓", "✗")</f>
        <v/>
      </c>
      <c r="E85" s="113">
        <f>IF(ISNUMBER(SEARCH("PVDF",'01_MASTER_DATABASE'!S82)), "✓", "✗")</f>
        <v/>
      </c>
      <c r="F85" s="113">
        <f>IF(ISNUMBER(SEARCH("MED",'01_MASTER_DATABASE'!S82)), "✓", "✗")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3">
        <f>IF(ISNUMBER(SEARCH("Sơn",'01_MASTER_DATABASE'!S83)), "✓", "✗")</f>
        <v/>
      </c>
      <c r="D86" s="113">
        <f>IF(ISNUMBER(SEARCH("Anodize",'01_MASTER_DATABASE'!S83)), "✓", "✗")</f>
        <v/>
      </c>
      <c r="E86" s="113">
        <f>IF(ISNUMBER(SEARCH("PVDF",'01_MASTER_DATABASE'!S83)), "✓", "✗")</f>
        <v/>
      </c>
      <c r="F86" s="113">
        <f>IF(ISNUMBER(SEARCH("MED",'01_MASTER_DATABASE'!S83)), "✓", "✗")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3">
        <f>IF(ISNUMBER(SEARCH("Sơn",'01_MASTER_DATABASE'!S84)), "✓", "✗")</f>
        <v/>
      </c>
      <c r="D87" s="113">
        <f>IF(ISNUMBER(SEARCH("Anodize",'01_MASTER_DATABASE'!S84)), "✓", "✗")</f>
        <v/>
      </c>
      <c r="E87" s="113">
        <f>IF(ISNUMBER(SEARCH("PVDF",'01_MASTER_DATABASE'!S84)), "✓", "✗")</f>
        <v/>
      </c>
      <c r="F87" s="113">
        <f>IF(ISNUMBER(SEARCH("MED",'01_MASTER_DATABASE'!S84)), "✓", "✗")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3">
        <f>IF(ISNUMBER(SEARCH("Sơn",'01_MASTER_DATABASE'!S85)), "✓", "✗")</f>
        <v/>
      </c>
      <c r="D88" s="113">
        <f>IF(ISNUMBER(SEARCH("Anodize",'01_MASTER_DATABASE'!S85)), "✓", "✗")</f>
        <v/>
      </c>
      <c r="E88" s="113">
        <f>IF(ISNUMBER(SEARCH("PVDF",'01_MASTER_DATABASE'!S85)), "✓", "✗")</f>
        <v/>
      </c>
      <c r="F88" s="113">
        <f>IF(ISNUMBER(SEARCH("MED",'01_MASTER_DATABASE'!S85)), "✓", "✗")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3">
        <f>IF(ISNUMBER(SEARCH("Sơn",'01_MASTER_DATABASE'!S86)), "✓", "✗")</f>
        <v/>
      </c>
      <c r="D89" s="113">
        <f>IF(ISNUMBER(SEARCH("Anodize",'01_MASTER_DATABASE'!S86)), "✓", "✗")</f>
        <v/>
      </c>
      <c r="E89" s="113">
        <f>IF(ISNUMBER(SEARCH("PVDF",'01_MASTER_DATABASE'!S86)), "✓", "✗")</f>
        <v/>
      </c>
      <c r="F89" s="113">
        <f>IF(ISNUMBER(SEARCH("MED",'01_MASTER_DATABASE'!S86)), "✓", "✗")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3">
        <f>IF(ISNUMBER(SEARCH("Sơn",'01_MASTER_DATABASE'!S87)), "✓", "✗")</f>
        <v/>
      </c>
      <c r="D90" s="113">
        <f>IF(ISNUMBER(SEARCH("Anodize",'01_MASTER_DATABASE'!S87)), "✓", "✗")</f>
        <v/>
      </c>
      <c r="E90" s="113">
        <f>IF(ISNUMBER(SEARCH("PVDF",'01_MASTER_DATABASE'!S87)), "✓", "✗")</f>
        <v/>
      </c>
      <c r="F90" s="113">
        <f>IF(ISNUMBER(SEARCH("MED",'01_MASTER_DATABASE'!S87)), "✓", "✗")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3">
        <f>IF(ISNUMBER(SEARCH("Sơn",'01_MASTER_DATABASE'!S88)), "✓", "✗")</f>
        <v/>
      </c>
      <c r="D91" s="113">
        <f>IF(ISNUMBER(SEARCH("Anodize",'01_MASTER_DATABASE'!S88)), "✓", "✗")</f>
        <v/>
      </c>
      <c r="E91" s="113">
        <f>IF(ISNUMBER(SEARCH("PVDF",'01_MASTER_DATABASE'!S88)), "✓", "✗")</f>
        <v/>
      </c>
      <c r="F91" s="113">
        <f>IF(ISNUMBER(SEARCH("MED",'01_MASTER_DATABASE'!S88)), "✓", "✗")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3">
        <f>IF(ISNUMBER(SEARCH("Sơn",'01_MASTER_DATABASE'!S89)), "✓", "✗")</f>
        <v/>
      </c>
      <c r="D92" s="113">
        <f>IF(ISNUMBER(SEARCH("Anodize",'01_MASTER_DATABASE'!S89)), "✓", "✗")</f>
        <v/>
      </c>
      <c r="E92" s="113">
        <f>IF(ISNUMBER(SEARCH("PVDF",'01_MASTER_DATABASE'!S89)), "✓", "✗")</f>
        <v/>
      </c>
      <c r="F92" s="113">
        <f>IF(ISNUMBER(SEARCH("MED",'01_MASTER_DATABASE'!S89)), "✓", "✗")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3">
        <f>IF(ISNUMBER(SEARCH("Sơn",'01_MASTER_DATABASE'!S90)), "✓", "✗")</f>
        <v/>
      </c>
      <c r="D93" s="113">
        <f>IF(ISNUMBER(SEARCH("Anodize",'01_MASTER_DATABASE'!S90)), "✓", "✗")</f>
        <v/>
      </c>
      <c r="E93" s="113">
        <f>IF(ISNUMBER(SEARCH("PVDF",'01_MASTER_DATABASE'!S90)), "✓", "✗")</f>
        <v/>
      </c>
      <c r="F93" s="113">
        <f>IF(ISNUMBER(SEARCH("MED",'01_MASTER_DATABASE'!S90)), "✓", "✗")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3">
        <f>IF(ISNUMBER(SEARCH("Sơn",'01_MASTER_DATABASE'!S91)), "✓", "✗")</f>
        <v/>
      </c>
      <c r="D94" s="113">
        <f>IF(ISNUMBER(SEARCH("Anodize",'01_MASTER_DATABASE'!S91)), "✓", "✗")</f>
        <v/>
      </c>
      <c r="E94" s="113">
        <f>IF(ISNUMBER(SEARCH("PVDF",'01_MASTER_DATABASE'!S91)), "✓", "✗")</f>
        <v/>
      </c>
      <c r="F94" s="113">
        <f>IF(ISNUMBER(SEARCH("MED",'01_MASTER_DATABASE'!S91)), "✓", "✗")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3">
        <f>IF(ISNUMBER(SEARCH("Sơn",'01_MASTER_DATABASE'!S92)), "✓", "✗")</f>
        <v/>
      </c>
      <c r="D95" s="113">
        <f>IF(ISNUMBER(SEARCH("Anodize",'01_MASTER_DATABASE'!S92)), "✓", "✗")</f>
        <v/>
      </c>
      <c r="E95" s="113">
        <f>IF(ISNUMBER(SEARCH("PVDF",'01_MASTER_DATABASE'!S92)), "✓", "✗")</f>
        <v/>
      </c>
      <c r="F95" s="113">
        <f>IF(ISNUMBER(SEARCH("MED",'01_MASTER_DATABASE'!S92)), "✓", "✗")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3">
        <f>IF(ISNUMBER(SEARCH("Sơn",'01_MASTER_DATABASE'!S93)), "✓", "✗")</f>
        <v/>
      </c>
      <c r="D96" s="113">
        <f>IF(ISNUMBER(SEARCH("Anodize",'01_MASTER_DATABASE'!S93)), "✓", "✗")</f>
        <v/>
      </c>
      <c r="E96" s="113">
        <f>IF(ISNUMBER(SEARCH("PVDF",'01_MASTER_DATABASE'!S93)), "✓", "✗")</f>
        <v/>
      </c>
      <c r="F96" s="113">
        <f>IF(ISNUMBER(SEARCH("MED",'01_MASTER_DATABASE'!S93)), "✓", "✗")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3">
        <f>IF(ISNUMBER(SEARCH("Sơn",'01_MASTER_DATABASE'!S94)), "✓", "✗")</f>
        <v/>
      </c>
      <c r="D97" s="113">
        <f>IF(ISNUMBER(SEARCH("Anodize",'01_MASTER_DATABASE'!S94)), "✓", "✗")</f>
        <v/>
      </c>
      <c r="E97" s="113">
        <f>IF(ISNUMBER(SEARCH("PVDF",'01_MASTER_DATABASE'!S94)), "✓", "✗")</f>
        <v/>
      </c>
      <c r="F97" s="113">
        <f>IF(ISNUMBER(SEARCH("MED",'01_MASTER_DATABASE'!S94)), "✓", "✗")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3">
        <f>IF(ISNUMBER(SEARCH("Sơn",'01_MASTER_DATABASE'!S95)), "✓", "✗")</f>
        <v/>
      </c>
      <c r="D98" s="113">
        <f>IF(ISNUMBER(SEARCH("Anodize",'01_MASTER_DATABASE'!S95)), "✓", "✗")</f>
        <v/>
      </c>
      <c r="E98" s="113">
        <f>IF(ISNUMBER(SEARCH("PVDF",'01_MASTER_DATABASE'!S95)), "✓", "✗")</f>
        <v/>
      </c>
      <c r="F98" s="113">
        <f>IF(ISNUMBER(SEARCH("MED",'01_MASTER_DATABASE'!S95)), "✓", "✗")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3">
        <f>IF(ISNUMBER(SEARCH("Sơn",'01_MASTER_DATABASE'!S96)), "✓", "✗")</f>
        <v/>
      </c>
      <c r="D99" s="113">
        <f>IF(ISNUMBER(SEARCH("Anodize",'01_MASTER_DATABASE'!S96)), "✓", "✗")</f>
        <v/>
      </c>
      <c r="E99" s="113">
        <f>IF(ISNUMBER(SEARCH("PVDF",'01_MASTER_DATABASE'!S96)), "✓", "✗")</f>
        <v/>
      </c>
      <c r="F99" s="113">
        <f>IF(ISNUMBER(SEARCH("MED",'01_MASTER_DATABASE'!S96)), "✓", "✗")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3">
        <f>IF(ISNUMBER(SEARCH("Sơn",'01_MASTER_DATABASE'!S97)), "✓", "✗")</f>
        <v/>
      </c>
      <c r="D100" s="113">
        <f>IF(ISNUMBER(SEARCH("Anodize",'01_MASTER_DATABASE'!S97)), "✓", "✗")</f>
        <v/>
      </c>
      <c r="E100" s="113">
        <f>IF(ISNUMBER(SEARCH("PVDF",'01_MASTER_DATABASE'!S97)), "✓", "✗")</f>
        <v/>
      </c>
      <c r="F100" s="113">
        <f>IF(ISNUMBER(SEARCH("MED",'01_MASTER_DATABASE'!S97)), "✓", "✗")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3">
        <f>IF(ISNUMBER(SEARCH("Sơn",'01_MASTER_DATABASE'!S98)), "✓", "✗")</f>
        <v/>
      </c>
      <c r="D101" s="113">
        <f>IF(ISNUMBER(SEARCH("Anodize",'01_MASTER_DATABASE'!S98)), "✓", "✗")</f>
        <v/>
      </c>
      <c r="E101" s="113">
        <f>IF(ISNUMBER(SEARCH("PVDF",'01_MASTER_DATABASE'!S98)), "✓", "✗")</f>
        <v/>
      </c>
      <c r="F101" s="113">
        <f>IF(ISNUMBER(SEARCH("MED",'01_MASTER_DATABASE'!S98)), "✓", "✗")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3">
        <f>IF(ISNUMBER(SEARCH("Sơn",'01_MASTER_DATABASE'!S99)), "✓", "✗")</f>
        <v/>
      </c>
      <c r="D102" s="113">
        <f>IF(ISNUMBER(SEARCH("Anodize",'01_MASTER_DATABASE'!S99)), "✓", "✗")</f>
        <v/>
      </c>
      <c r="E102" s="113">
        <f>IF(ISNUMBER(SEARCH("PVDF",'01_MASTER_DATABASE'!S99)), "✓", "✗")</f>
        <v/>
      </c>
      <c r="F102" s="113">
        <f>IF(ISNUMBER(SEARCH("MED",'01_MASTER_DATABASE'!S99)), "✓", "✗")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3">
        <f>IF(ISNUMBER(SEARCH("Sơn",'01_MASTER_DATABASE'!S100)), "✓", "✗")</f>
        <v/>
      </c>
      <c r="D103" s="113">
        <f>IF(ISNUMBER(SEARCH("Anodize",'01_MASTER_DATABASE'!S100)), "✓", "✗")</f>
        <v/>
      </c>
      <c r="E103" s="113">
        <f>IF(ISNUMBER(SEARCH("PVDF",'01_MASTER_DATABASE'!S100)), "✓", "✗")</f>
        <v/>
      </c>
      <c r="F103" s="113">
        <f>IF(ISNUMBER(SEARCH("MED",'01_MASTER_DATABASE'!S100)), "✓", "✗")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3">
        <f>IF(ISNUMBER(SEARCH("Sơn",'01_MASTER_DATABASE'!S101)), "✓", "✗")</f>
        <v/>
      </c>
      <c r="D104" s="113">
        <f>IF(ISNUMBER(SEARCH("Anodize",'01_MASTER_DATABASE'!S101)), "✓", "✗")</f>
        <v/>
      </c>
      <c r="E104" s="113">
        <f>IF(ISNUMBER(SEARCH("PVDF",'01_MASTER_DATABASE'!S101)), "✓", "✗")</f>
        <v/>
      </c>
      <c r="F104" s="113">
        <f>IF(ISNUMBER(SEARCH("MED",'01_MASTER_DATABASE'!S101)), "✓", "✗")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3">
        <f>IF(ISNUMBER(SEARCH("Sơn",'01_MASTER_DATABASE'!S102)), "✓", "✗")</f>
        <v/>
      </c>
      <c r="D105" s="113">
        <f>IF(ISNUMBER(SEARCH("Anodize",'01_MASTER_DATABASE'!S102)), "✓", "✗")</f>
        <v/>
      </c>
      <c r="E105" s="113">
        <f>IF(ISNUMBER(SEARCH("PVDF",'01_MASTER_DATABASE'!S102)), "✓", "✗")</f>
        <v/>
      </c>
      <c r="F105" s="113">
        <f>IF(ISNUMBER(SEARCH("MED",'01_MASTER_DATABASE'!S102)), "✓", "✗")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3">
        <f>IF(ISNUMBER(SEARCH("Sơn",'01_MASTER_DATABASE'!S103)), "✓", "✗")</f>
        <v/>
      </c>
      <c r="D106" s="113">
        <f>IF(ISNUMBER(SEARCH("Anodize",'01_MASTER_DATABASE'!S103)), "✓", "✗")</f>
        <v/>
      </c>
      <c r="E106" s="113">
        <f>IF(ISNUMBER(SEARCH("PVDF",'01_MASTER_DATABASE'!S103)), "✓", "✗")</f>
        <v/>
      </c>
      <c r="F106" s="113">
        <f>IF(ISNUMBER(SEARCH("MED",'01_MASTER_DATABASE'!S103)), "✓", "✗")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3">
        <f>IF(ISNUMBER(SEARCH("Sơn",'01_MASTER_DATABASE'!S104)), "✓", "✗")</f>
        <v/>
      </c>
      <c r="D107" s="113">
        <f>IF(ISNUMBER(SEARCH("Anodize",'01_MASTER_DATABASE'!S104)), "✓", "✗")</f>
        <v/>
      </c>
      <c r="E107" s="113">
        <f>IF(ISNUMBER(SEARCH("PVDF",'01_MASTER_DATABASE'!S104)), "✓", "✗")</f>
        <v/>
      </c>
      <c r="F107" s="113">
        <f>IF(ISNUMBER(SEARCH("MED",'01_MASTER_DATABASE'!S104)), "✓", "✗")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3">
        <f>IF(ISNUMBER(SEARCH("Sơn",'01_MASTER_DATABASE'!S105)), "✓", "✗")</f>
        <v/>
      </c>
      <c r="D108" s="113">
        <f>IF(ISNUMBER(SEARCH("Anodize",'01_MASTER_DATABASE'!S105)), "✓", "✗")</f>
        <v/>
      </c>
      <c r="E108" s="113">
        <f>IF(ISNUMBER(SEARCH("PVDF",'01_MASTER_DATABASE'!S105)), "✓", "✗")</f>
        <v/>
      </c>
      <c r="F108" s="113">
        <f>IF(ISNUMBER(SEARCH("MED",'01_MASTER_DATABASE'!S105)), "✓", "✗")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3">
        <f>IF(ISNUMBER(SEARCH("Sơn",'01_MASTER_DATABASE'!S106)), "✓", "✗")</f>
        <v/>
      </c>
      <c r="D109" s="113">
        <f>IF(ISNUMBER(SEARCH("Anodize",'01_MASTER_DATABASE'!S106)), "✓", "✗")</f>
        <v/>
      </c>
      <c r="E109" s="113">
        <f>IF(ISNUMBER(SEARCH("PVDF",'01_MASTER_DATABASE'!S106)), "✓", "✗")</f>
        <v/>
      </c>
      <c r="F109" s="113">
        <f>IF(ISNUMBER(SEARCH("MED",'01_MASTER_DATABASE'!S106)), "✓", "✗")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3">
        <f>IF(ISNUMBER(SEARCH("Sơn",'01_MASTER_DATABASE'!S107)), "✓", "✗")</f>
        <v/>
      </c>
      <c r="D110" s="113">
        <f>IF(ISNUMBER(SEARCH("Anodize",'01_MASTER_DATABASE'!S107)), "✓", "✗")</f>
        <v/>
      </c>
      <c r="E110" s="113">
        <f>IF(ISNUMBER(SEARCH("PVDF",'01_MASTER_DATABASE'!S107)), "✓", "✗")</f>
        <v/>
      </c>
      <c r="F110" s="113">
        <f>IF(ISNUMBER(SEARCH("MED",'01_MASTER_DATABASE'!S107)), "✓", "✗")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3">
        <f>IF(ISNUMBER(SEARCH("Sơn",'01_MASTER_DATABASE'!S108)), "✓", "✗")</f>
        <v/>
      </c>
      <c r="D111" s="113">
        <f>IF(ISNUMBER(SEARCH("Anodize",'01_MASTER_DATABASE'!S108)), "✓", "✗")</f>
        <v/>
      </c>
      <c r="E111" s="113">
        <f>IF(ISNUMBER(SEARCH("PVDF",'01_MASTER_DATABASE'!S108)), "✓", "✗")</f>
        <v/>
      </c>
      <c r="F111" s="113">
        <f>IF(ISNUMBER(SEARCH("MED",'01_MASTER_DATABASE'!S108)), "✓", "✗")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3">
        <f>IF(ISNUMBER(SEARCH("Sơn",'01_MASTER_DATABASE'!S109)), "✓", "✗")</f>
        <v/>
      </c>
      <c r="D112" s="113">
        <f>IF(ISNUMBER(SEARCH("Anodize",'01_MASTER_DATABASE'!S109)), "✓", "✗")</f>
        <v/>
      </c>
      <c r="E112" s="113">
        <f>IF(ISNUMBER(SEARCH("PVDF",'01_MASTER_DATABASE'!S109)), "✓", "✗")</f>
        <v/>
      </c>
      <c r="F112" s="113">
        <f>IF(ISNUMBER(SEARCH("MED",'01_MASTER_DATABASE'!S109)), "✓", "✗")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3">
        <f>IF(ISNUMBER(SEARCH("Sơn",'01_MASTER_DATABASE'!S110)), "✓", "✗")</f>
        <v/>
      </c>
      <c r="D113" s="113">
        <f>IF(ISNUMBER(SEARCH("Anodize",'01_MASTER_DATABASE'!S110)), "✓", "✗")</f>
        <v/>
      </c>
      <c r="E113" s="113">
        <f>IF(ISNUMBER(SEARCH("PVDF",'01_MASTER_DATABASE'!S110)), "✓", "✗")</f>
        <v/>
      </c>
      <c r="F113" s="113">
        <f>IF(ISNUMBER(SEARCH("MED",'01_MASTER_DATABASE'!S110)), "✓", "✗")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3">
        <f>IF(ISNUMBER(SEARCH("Sơn",'01_MASTER_DATABASE'!S111)), "✓", "✗")</f>
        <v/>
      </c>
      <c r="D114" s="113">
        <f>IF(ISNUMBER(SEARCH("Anodize",'01_MASTER_DATABASE'!S111)), "✓", "✗")</f>
        <v/>
      </c>
      <c r="E114" s="113">
        <f>IF(ISNUMBER(SEARCH("PVDF",'01_MASTER_DATABASE'!S111)), "✓", "✗")</f>
        <v/>
      </c>
      <c r="F114" s="113">
        <f>IF(ISNUMBER(SEARCH("MED",'01_MASTER_DATABASE'!S111)), "✓", "✗")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3">
        <f>IF(ISNUMBER(SEARCH("Sơn",'01_MASTER_DATABASE'!S112)), "✓", "✗")</f>
        <v/>
      </c>
      <c r="D115" s="113">
        <f>IF(ISNUMBER(SEARCH("Anodize",'01_MASTER_DATABASE'!S112)), "✓", "✗")</f>
        <v/>
      </c>
      <c r="E115" s="113">
        <f>IF(ISNUMBER(SEARCH("PVDF",'01_MASTER_DATABASE'!S112)), "✓", "✗")</f>
        <v/>
      </c>
      <c r="F115" s="113">
        <f>IF(ISNUMBER(SEARCH("MED",'01_MASTER_DATABASE'!S112)), "✓", "✗")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3">
        <f>IF(ISNUMBER(SEARCH("Sơn",'01_MASTER_DATABASE'!S113)), "✓", "✗")</f>
        <v/>
      </c>
      <c r="D116" s="113">
        <f>IF(ISNUMBER(SEARCH("Anodize",'01_MASTER_DATABASE'!S113)), "✓", "✗")</f>
        <v/>
      </c>
      <c r="E116" s="113">
        <f>IF(ISNUMBER(SEARCH("PVDF",'01_MASTER_DATABASE'!S113)), "✓", "✗")</f>
        <v/>
      </c>
      <c r="F116" s="113">
        <f>IF(ISNUMBER(SEARCH("MED",'01_MASTER_DATABASE'!S113)), "✓", "✗")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3">
        <f>IF(ISNUMBER(SEARCH("Sơn",'01_MASTER_DATABASE'!S114)), "✓", "✗")</f>
        <v/>
      </c>
      <c r="D117" s="113">
        <f>IF(ISNUMBER(SEARCH("Anodize",'01_MASTER_DATABASE'!S114)), "✓", "✗")</f>
        <v/>
      </c>
      <c r="E117" s="113">
        <f>IF(ISNUMBER(SEARCH("PVDF",'01_MASTER_DATABASE'!S114)), "✓", "✗")</f>
        <v/>
      </c>
      <c r="F117" s="113">
        <f>IF(ISNUMBER(SEARCH("MED",'01_MASTER_DATABASE'!S114)), "✓", "✗")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3">
        <f>IF(ISNUMBER(SEARCH("Sơn",'01_MASTER_DATABASE'!S115)), "✓", "✗")</f>
        <v/>
      </c>
      <c r="D118" s="113">
        <f>IF(ISNUMBER(SEARCH("Anodize",'01_MASTER_DATABASE'!S115)), "✓", "✗")</f>
        <v/>
      </c>
      <c r="E118" s="113">
        <f>IF(ISNUMBER(SEARCH("PVDF",'01_MASTER_DATABASE'!S115)), "✓", "✗")</f>
        <v/>
      </c>
      <c r="F118" s="113">
        <f>IF(ISNUMBER(SEARCH("MED",'01_MASTER_DATABASE'!S115)), "✓", "✗")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3">
        <f>IF(ISNUMBER(SEARCH("Sơn",'01_MASTER_DATABASE'!S116)), "✓", "✗")</f>
        <v/>
      </c>
      <c r="D119" s="113">
        <f>IF(ISNUMBER(SEARCH("Anodize",'01_MASTER_DATABASE'!S116)), "✓", "✗")</f>
        <v/>
      </c>
      <c r="E119" s="113">
        <f>IF(ISNUMBER(SEARCH("PVDF",'01_MASTER_DATABASE'!S116)), "✓", "✗")</f>
        <v/>
      </c>
      <c r="F119" s="113">
        <f>IF(ISNUMBER(SEARCH("MED",'01_MASTER_DATABASE'!S116)), "✓", "✗")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3">
        <f>IF(ISNUMBER(SEARCH("Sơn",'01_MASTER_DATABASE'!S117)), "✓", "✗")</f>
        <v/>
      </c>
      <c r="D120" s="113">
        <f>IF(ISNUMBER(SEARCH("Anodize",'01_MASTER_DATABASE'!S117)), "✓", "✗")</f>
        <v/>
      </c>
      <c r="E120" s="113">
        <f>IF(ISNUMBER(SEARCH("PVDF",'01_MASTER_DATABASE'!S117)), "✓", "✗")</f>
        <v/>
      </c>
      <c r="F120" s="113">
        <f>IF(ISNUMBER(SEARCH("MED",'01_MASTER_DATABASE'!S117)), "✓", "✗")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3">
        <f>IF(ISNUMBER(SEARCH("Sơn",'01_MASTER_DATABASE'!S118)), "✓", "✗")</f>
        <v/>
      </c>
      <c r="D121" s="113">
        <f>IF(ISNUMBER(SEARCH("Anodize",'01_MASTER_DATABASE'!S118)), "✓", "✗")</f>
        <v/>
      </c>
      <c r="E121" s="113">
        <f>IF(ISNUMBER(SEARCH("PVDF",'01_MASTER_DATABASE'!S118)), "✓", "✗")</f>
        <v/>
      </c>
      <c r="F121" s="113">
        <f>IF(ISNUMBER(SEARCH("MED",'01_MASTER_DATABASE'!S118)), "✓", "✗")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3">
        <f>IF(ISNUMBER(SEARCH("Sơn",'01_MASTER_DATABASE'!S119)), "✓", "✗")</f>
        <v/>
      </c>
      <c r="D122" s="113">
        <f>IF(ISNUMBER(SEARCH("Anodize",'01_MASTER_DATABASE'!S119)), "✓", "✗")</f>
        <v/>
      </c>
      <c r="E122" s="113">
        <f>IF(ISNUMBER(SEARCH("PVDF",'01_MASTER_DATABASE'!S119)), "✓", "✗")</f>
        <v/>
      </c>
      <c r="F122" s="113">
        <f>IF(ISNUMBER(SEARCH("MED",'01_MASTER_DATABASE'!S119)), "✓", "✗")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3">
        <f>IF(ISNUMBER(SEARCH("Sơn",'01_MASTER_DATABASE'!S120)), "✓", "✗")</f>
        <v/>
      </c>
      <c r="D123" s="113">
        <f>IF(ISNUMBER(SEARCH("Anodize",'01_MASTER_DATABASE'!S120)), "✓", "✗")</f>
        <v/>
      </c>
      <c r="E123" s="113">
        <f>IF(ISNUMBER(SEARCH("PVDF",'01_MASTER_DATABASE'!S120)), "✓", "✗")</f>
        <v/>
      </c>
      <c r="F123" s="113">
        <f>IF(ISNUMBER(SEARCH("MED",'01_MASTER_DATABASE'!S120)), "✓", "✗")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3">
        <f>IF(ISNUMBER(SEARCH("Sơn",'01_MASTER_DATABASE'!S121)), "✓", "✗")</f>
        <v/>
      </c>
      <c r="D124" s="113">
        <f>IF(ISNUMBER(SEARCH("Anodize",'01_MASTER_DATABASE'!S121)), "✓", "✗")</f>
        <v/>
      </c>
      <c r="E124" s="113">
        <f>IF(ISNUMBER(SEARCH("PVDF",'01_MASTER_DATABASE'!S121)), "✓", "✗")</f>
        <v/>
      </c>
      <c r="F124" s="113">
        <f>IF(ISNUMBER(SEARCH("MED",'01_MASTER_DATABASE'!S121)), "✓", "✗")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3">
        <f>IF(ISNUMBER(SEARCH("Sơn",'01_MASTER_DATABASE'!S122)), "✓", "✗")</f>
        <v/>
      </c>
      <c r="D125" s="113">
        <f>IF(ISNUMBER(SEARCH("Anodize",'01_MASTER_DATABASE'!S122)), "✓", "✗")</f>
        <v/>
      </c>
      <c r="E125" s="113">
        <f>IF(ISNUMBER(SEARCH("PVDF",'01_MASTER_DATABASE'!S122)), "✓", "✗")</f>
        <v/>
      </c>
      <c r="F125" s="113">
        <f>IF(ISNUMBER(SEARCH("MED",'01_MASTER_DATABASE'!S122)), "✓", "✗")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3">
        <f>IF(ISNUMBER(SEARCH("Sơn",'01_MASTER_DATABASE'!S123)), "✓", "✗")</f>
        <v/>
      </c>
      <c r="D126" s="113">
        <f>IF(ISNUMBER(SEARCH("Anodize",'01_MASTER_DATABASE'!S123)), "✓", "✗")</f>
        <v/>
      </c>
      <c r="E126" s="113">
        <f>IF(ISNUMBER(SEARCH("PVDF",'01_MASTER_DATABASE'!S123)), "✓", "✗")</f>
        <v/>
      </c>
      <c r="F126" s="113">
        <f>IF(ISNUMBER(SEARCH("MED",'01_MASTER_DATABASE'!S123)), "✓", "✗")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3">
        <f>IF(ISNUMBER(SEARCH("Sơn",'01_MASTER_DATABASE'!S124)), "✓", "✗")</f>
        <v/>
      </c>
      <c r="D127" s="113">
        <f>IF(ISNUMBER(SEARCH("Anodize",'01_MASTER_DATABASE'!S124)), "✓", "✗")</f>
        <v/>
      </c>
      <c r="E127" s="113">
        <f>IF(ISNUMBER(SEARCH("PVDF",'01_MASTER_DATABASE'!S124)), "✓", "✗")</f>
        <v/>
      </c>
      <c r="F127" s="113">
        <f>IF(ISNUMBER(SEARCH("MED",'01_MASTER_DATABASE'!S124)), "✓", "✗")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3">
        <f>IF(ISNUMBER(SEARCH("Sơn",'01_MASTER_DATABASE'!S125)), "✓", "✗")</f>
        <v/>
      </c>
      <c r="D128" s="113">
        <f>IF(ISNUMBER(SEARCH("Anodize",'01_MASTER_DATABASE'!S125)), "✓", "✗")</f>
        <v/>
      </c>
      <c r="E128" s="113">
        <f>IF(ISNUMBER(SEARCH("PVDF",'01_MASTER_DATABASE'!S125)), "✓", "✗")</f>
        <v/>
      </c>
      <c r="F128" s="113">
        <f>IF(ISNUMBER(SEARCH("MED",'01_MASTER_DATABASE'!S125)), "✓", "✗")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3">
        <f>IF(ISNUMBER(SEARCH("Sơn",'01_MASTER_DATABASE'!S126)), "✓", "✗")</f>
        <v/>
      </c>
      <c r="D129" s="113">
        <f>IF(ISNUMBER(SEARCH("Anodize",'01_MASTER_DATABASE'!S126)), "✓", "✗")</f>
        <v/>
      </c>
      <c r="E129" s="113">
        <f>IF(ISNUMBER(SEARCH("PVDF",'01_MASTER_DATABASE'!S126)), "✓", "✗")</f>
        <v/>
      </c>
      <c r="F129" s="113">
        <f>IF(ISNUMBER(SEARCH("MED",'01_MASTER_DATABASE'!S126)), "✓", "✗")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3">
        <f>IF(ISNUMBER(SEARCH("Sơn",'01_MASTER_DATABASE'!S127)), "✓", "✗")</f>
        <v/>
      </c>
      <c r="D130" s="113">
        <f>IF(ISNUMBER(SEARCH("Anodize",'01_MASTER_DATABASE'!S127)), "✓", "✗")</f>
        <v/>
      </c>
      <c r="E130" s="113">
        <f>IF(ISNUMBER(SEARCH("PVDF",'01_MASTER_DATABASE'!S127)), "✓", "✗")</f>
        <v/>
      </c>
      <c r="F130" s="113">
        <f>IF(ISNUMBER(SEARCH("MED",'01_MASTER_DATABASE'!S127)), "✓", "✗")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3">
        <f>IF(ISNUMBER(SEARCH("Sơn",'01_MASTER_DATABASE'!S128)), "✓", "✗")</f>
        <v/>
      </c>
      <c r="D131" s="113">
        <f>IF(ISNUMBER(SEARCH("Anodize",'01_MASTER_DATABASE'!S128)), "✓", "✗")</f>
        <v/>
      </c>
      <c r="E131" s="113">
        <f>IF(ISNUMBER(SEARCH("PVDF",'01_MASTER_DATABASE'!S128)), "✓", "✗")</f>
        <v/>
      </c>
      <c r="F131" s="113">
        <f>IF(ISNUMBER(SEARCH("MED",'01_MASTER_DATABASE'!S128)), "✓", "✗")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3">
        <f>IF(ISNUMBER(SEARCH("Sơn",'01_MASTER_DATABASE'!S129)), "✓", "✗")</f>
        <v/>
      </c>
      <c r="D132" s="113">
        <f>IF(ISNUMBER(SEARCH("Anodize",'01_MASTER_DATABASE'!S129)), "✓", "✗")</f>
        <v/>
      </c>
      <c r="E132" s="113">
        <f>IF(ISNUMBER(SEARCH("PVDF",'01_MASTER_DATABASE'!S129)), "✓", "✗")</f>
        <v/>
      </c>
      <c r="F132" s="113">
        <f>IF(ISNUMBER(SEARCH("MED",'01_MASTER_DATABASE'!S129)), "✓", "✗")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3">
        <f>IF(ISNUMBER(SEARCH("Sơn",'01_MASTER_DATABASE'!S130)), "✓", "✗")</f>
        <v/>
      </c>
      <c r="D133" s="113">
        <f>IF(ISNUMBER(SEARCH("Anodize",'01_MASTER_DATABASE'!S130)), "✓", "✗")</f>
        <v/>
      </c>
      <c r="E133" s="113">
        <f>IF(ISNUMBER(SEARCH("PVDF",'01_MASTER_DATABASE'!S130)), "✓", "✗")</f>
        <v/>
      </c>
      <c r="F133" s="113">
        <f>IF(ISNUMBER(SEARCH("MED",'01_MASTER_DATABASE'!S130)), "✓", "✗")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3">
        <f>IF(ISNUMBER(SEARCH("Sơn",'01_MASTER_DATABASE'!S131)), "✓", "✗")</f>
        <v/>
      </c>
      <c r="D134" s="113">
        <f>IF(ISNUMBER(SEARCH("Anodize",'01_MASTER_DATABASE'!S131)), "✓", "✗")</f>
        <v/>
      </c>
      <c r="E134" s="113">
        <f>IF(ISNUMBER(SEARCH("PVDF",'01_MASTER_DATABASE'!S131)), "✓", "✗")</f>
        <v/>
      </c>
      <c r="F134" s="113">
        <f>IF(ISNUMBER(SEARCH("MED",'01_MASTER_DATABASE'!S131)), "✓", "✗")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3">
        <f>IF(ISNUMBER(SEARCH("Sơn",'01_MASTER_DATABASE'!S132)), "✓", "✗")</f>
        <v/>
      </c>
      <c r="D135" s="113">
        <f>IF(ISNUMBER(SEARCH("Anodize",'01_MASTER_DATABASE'!S132)), "✓", "✗")</f>
        <v/>
      </c>
      <c r="E135" s="113">
        <f>IF(ISNUMBER(SEARCH("PVDF",'01_MASTER_DATABASE'!S132)), "✓", "✗")</f>
        <v/>
      </c>
      <c r="F135" s="113">
        <f>IF(ISNUMBER(SEARCH("MED",'01_MASTER_DATABASE'!S132)), "✓", "✗")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3">
        <f>IF(ISNUMBER(SEARCH("Sơn",'01_MASTER_DATABASE'!S133)), "✓", "✗")</f>
        <v/>
      </c>
      <c r="D136" s="113">
        <f>IF(ISNUMBER(SEARCH("Anodize",'01_MASTER_DATABASE'!S133)), "✓", "✗")</f>
        <v/>
      </c>
      <c r="E136" s="113">
        <f>IF(ISNUMBER(SEARCH("PVDF",'01_MASTER_DATABASE'!S133)), "✓", "✗")</f>
        <v/>
      </c>
      <c r="F136" s="113">
        <f>IF(ISNUMBER(SEARCH("MED",'01_MASTER_DATABASE'!S133)), "✓", "✗")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3">
        <f>IF(ISNUMBER(SEARCH("Sơn",'01_MASTER_DATABASE'!S134)), "✓", "✗")</f>
        <v/>
      </c>
      <c r="D137" s="113">
        <f>IF(ISNUMBER(SEARCH("Anodize",'01_MASTER_DATABASE'!S134)), "✓", "✗")</f>
        <v/>
      </c>
      <c r="E137" s="113">
        <f>IF(ISNUMBER(SEARCH("PVDF",'01_MASTER_DATABASE'!S134)), "✓", "✗")</f>
        <v/>
      </c>
      <c r="F137" s="113">
        <f>IF(ISNUMBER(SEARCH("MED",'01_MASTER_DATABASE'!S134)), "✓", "✗")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3">
        <f>IF(ISNUMBER(SEARCH("Sơn",'01_MASTER_DATABASE'!S135)), "✓", "✗")</f>
        <v/>
      </c>
      <c r="D138" s="113">
        <f>IF(ISNUMBER(SEARCH("Anodize",'01_MASTER_DATABASE'!S135)), "✓", "✗")</f>
        <v/>
      </c>
      <c r="E138" s="113">
        <f>IF(ISNUMBER(SEARCH("PVDF",'01_MASTER_DATABASE'!S135)), "✓", "✗")</f>
        <v/>
      </c>
      <c r="F138" s="113">
        <f>IF(ISNUMBER(SEARCH("MED",'01_MASTER_DATABASE'!S135)), "✓", "✗")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3">
        <f>IF(ISNUMBER(SEARCH("Sơn",'01_MASTER_DATABASE'!S136)), "✓", "✗")</f>
        <v/>
      </c>
      <c r="D139" s="113">
        <f>IF(ISNUMBER(SEARCH("Anodize",'01_MASTER_DATABASE'!S136)), "✓", "✗")</f>
        <v/>
      </c>
      <c r="E139" s="113">
        <f>IF(ISNUMBER(SEARCH("PVDF",'01_MASTER_DATABASE'!S136)), "✓", "✗")</f>
        <v/>
      </c>
      <c r="F139" s="113">
        <f>IF(ISNUMBER(SEARCH("MED",'01_MASTER_DATABASE'!S136)), "✓", "✗")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3">
        <f>IF(ISNUMBER(SEARCH("Sơn",'01_MASTER_DATABASE'!S137)), "✓", "✗")</f>
        <v/>
      </c>
      <c r="D140" s="113">
        <f>IF(ISNUMBER(SEARCH("Anodize",'01_MASTER_DATABASE'!S137)), "✓", "✗")</f>
        <v/>
      </c>
      <c r="E140" s="113">
        <f>IF(ISNUMBER(SEARCH("PVDF",'01_MASTER_DATABASE'!S137)), "✓", "✗")</f>
        <v/>
      </c>
      <c r="F140" s="113">
        <f>IF(ISNUMBER(SEARCH("MED",'01_MASTER_DATABASE'!S137)), "✓", "✗")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3">
        <f>IF(ISNUMBER(SEARCH("Sơn",'01_MASTER_DATABASE'!S138)), "✓", "✗")</f>
        <v/>
      </c>
      <c r="D141" s="113">
        <f>IF(ISNUMBER(SEARCH("Anodize",'01_MASTER_DATABASE'!S138)), "✓", "✗")</f>
        <v/>
      </c>
      <c r="E141" s="113">
        <f>IF(ISNUMBER(SEARCH("PVDF",'01_MASTER_DATABASE'!S138)), "✓", "✗")</f>
        <v/>
      </c>
      <c r="F141" s="113">
        <f>IF(ISNUMBER(SEARCH("MED",'01_MASTER_DATABASE'!S138)), "✓", "✗")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3">
        <f>IF(ISNUMBER(SEARCH("Sơn",'01_MASTER_DATABASE'!S139)), "✓", "✗")</f>
        <v/>
      </c>
      <c r="D142" s="113">
        <f>IF(ISNUMBER(SEARCH("Anodize",'01_MASTER_DATABASE'!S139)), "✓", "✗")</f>
        <v/>
      </c>
      <c r="E142" s="113">
        <f>IF(ISNUMBER(SEARCH("PVDF",'01_MASTER_DATABASE'!S139)), "✓", "✗")</f>
        <v/>
      </c>
      <c r="F142" s="113">
        <f>IF(ISNUMBER(SEARCH("MED",'01_MASTER_DATABASE'!S139)), "✓", "✗")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3">
        <f>IF(ISNUMBER(SEARCH("Sơn",'01_MASTER_DATABASE'!S140)), "✓", "✗")</f>
        <v/>
      </c>
      <c r="D143" s="113">
        <f>IF(ISNUMBER(SEARCH("Anodize",'01_MASTER_DATABASE'!S140)), "✓", "✗")</f>
        <v/>
      </c>
      <c r="E143" s="113">
        <f>IF(ISNUMBER(SEARCH("PVDF",'01_MASTER_DATABASE'!S140)), "✓", "✗")</f>
        <v/>
      </c>
      <c r="F143" s="113">
        <f>IF(ISNUMBER(SEARCH("MED",'01_MASTER_DATABASE'!S140)), "✓", "✗")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3">
        <f>IF(ISNUMBER(SEARCH("Sơn",'01_MASTER_DATABASE'!S141)), "✓", "✗")</f>
        <v/>
      </c>
      <c r="D144" s="113">
        <f>IF(ISNUMBER(SEARCH("Anodize",'01_MASTER_DATABASE'!S141)), "✓", "✗")</f>
        <v/>
      </c>
      <c r="E144" s="113">
        <f>IF(ISNUMBER(SEARCH("PVDF",'01_MASTER_DATABASE'!S141)), "✓", "✗")</f>
        <v/>
      </c>
      <c r="F144" s="113">
        <f>IF(ISNUMBER(SEARCH("MED",'01_MASTER_DATABASE'!S141)), "✓", "✗")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3">
        <f>IF(ISNUMBER(SEARCH("Sơn",'01_MASTER_DATABASE'!S142)), "✓", "✗")</f>
        <v/>
      </c>
      <c r="D145" s="113">
        <f>IF(ISNUMBER(SEARCH("Anodize",'01_MASTER_DATABASE'!S142)), "✓", "✗")</f>
        <v/>
      </c>
      <c r="E145" s="113">
        <f>IF(ISNUMBER(SEARCH("PVDF",'01_MASTER_DATABASE'!S142)), "✓", "✗")</f>
        <v/>
      </c>
      <c r="F145" s="113">
        <f>IF(ISNUMBER(SEARCH("MED",'01_MASTER_DATABASE'!S142)), "✓", "✗")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3">
        <f>IF(ISNUMBER(SEARCH("Sơn",'01_MASTER_DATABASE'!S143)), "✓", "✗")</f>
        <v/>
      </c>
      <c r="D146" s="113">
        <f>IF(ISNUMBER(SEARCH("Anodize",'01_MASTER_DATABASE'!S143)), "✓", "✗")</f>
        <v/>
      </c>
      <c r="E146" s="113">
        <f>IF(ISNUMBER(SEARCH("PVDF",'01_MASTER_DATABASE'!S143)), "✓", "✗")</f>
        <v/>
      </c>
      <c r="F146" s="113">
        <f>IF(ISNUMBER(SEARCH("MED",'01_MASTER_DATABASE'!S143)), "✓", "✗")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3">
        <f>IF(ISNUMBER(SEARCH("Sơn",'01_MASTER_DATABASE'!S144)), "✓", "✗")</f>
        <v/>
      </c>
      <c r="D147" s="113">
        <f>IF(ISNUMBER(SEARCH("Anodize",'01_MASTER_DATABASE'!S144)), "✓", "✗")</f>
        <v/>
      </c>
      <c r="E147" s="113">
        <f>IF(ISNUMBER(SEARCH("PVDF",'01_MASTER_DATABASE'!S144)), "✓", "✗")</f>
        <v/>
      </c>
      <c r="F147" s="113">
        <f>IF(ISNUMBER(SEARCH("MED",'01_MASTER_DATABASE'!S144)), "✓", "✗")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3">
        <f>IF(ISNUMBER(SEARCH("Sơn",'01_MASTER_DATABASE'!S145)), "✓", "✗")</f>
        <v/>
      </c>
      <c r="D148" s="113">
        <f>IF(ISNUMBER(SEARCH("Anodize",'01_MASTER_DATABASE'!S145)), "✓", "✗")</f>
        <v/>
      </c>
      <c r="E148" s="113">
        <f>IF(ISNUMBER(SEARCH("PVDF",'01_MASTER_DATABASE'!S145)), "✓", "✗")</f>
        <v/>
      </c>
      <c r="F148" s="113">
        <f>IF(ISNUMBER(SEARCH("MED",'01_MASTER_DATABASE'!S145)), "✓", "✗")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3">
        <f>IF(ISNUMBER(SEARCH("Sơn",'01_MASTER_DATABASE'!S146)), "✓", "✗")</f>
        <v/>
      </c>
      <c r="D149" s="113">
        <f>IF(ISNUMBER(SEARCH("Anodize",'01_MASTER_DATABASE'!S146)), "✓", "✗")</f>
        <v/>
      </c>
      <c r="E149" s="113">
        <f>IF(ISNUMBER(SEARCH("PVDF",'01_MASTER_DATABASE'!S146)), "✓", "✗")</f>
        <v/>
      </c>
      <c r="F149" s="113">
        <f>IF(ISNUMBER(SEARCH("MED",'01_MASTER_DATABASE'!S146)), "✓", "✗")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3">
        <f>IF(ISNUMBER(SEARCH("Sơn",'01_MASTER_DATABASE'!S147)), "✓", "✗")</f>
        <v/>
      </c>
      <c r="D150" s="113">
        <f>IF(ISNUMBER(SEARCH("Anodize",'01_MASTER_DATABASE'!S147)), "✓", "✗")</f>
        <v/>
      </c>
      <c r="E150" s="113">
        <f>IF(ISNUMBER(SEARCH("PVDF",'01_MASTER_DATABASE'!S147)), "✓", "✗")</f>
        <v/>
      </c>
      <c r="F150" s="113">
        <f>IF(ISNUMBER(SEARCH("MED",'01_MASTER_DATABASE'!S147)), "✓", "✗")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3">
        <f>IF(ISNUMBER(SEARCH("Sơn",'01_MASTER_DATABASE'!S148)), "✓", "✗")</f>
        <v/>
      </c>
      <c r="D151" s="113">
        <f>IF(ISNUMBER(SEARCH("Anodize",'01_MASTER_DATABASE'!S148)), "✓", "✗")</f>
        <v/>
      </c>
      <c r="E151" s="113">
        <f>IF(ISNUMBER(SEARCH("PVDF",'01_MASTER_DATABASE'!S148)), "✓", "✗")</f>
        <v/>
      </c>
      <c r="F151" s="113">
        <f>IF(ISNUMBER(SEARCH("MED",'01_MASTER_DATABASE'!S148)), "✓", "✗")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3">
        <f>IF(ISNUMBER(SEARCH("Sơn",'01_MASTER_DATABASE'!S149)), "✓", "✗")</f>
        <v/>
      </c>
      <c r="D152" s="113">
        <f>IF(ISNUMBER(SEARCH("Anodize",'01_MASTER_DATABASE'!S149)), "✓", "✗")</f>
        <v/>
      </c>
      <c r="E152" s="113">
        <f>IF(ISNUMBER(SEARCH("PVDF",'01_MASTER_DATABASE'!S149)), "✓", "✗")</f>
        <v/>
      </c>
      <c r="F152" s="113">
        <f>IF(ISNUMBER(SEARCH("MED",'01_MASTER_DATABASE'!S149)), "✓", "✗")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3">
        <f>IF(ISNUMBER(SEARCH("Sơn",'01_MASTER_DATABASE'!S150)), "✓", "✗")</f>
        <v/>
      </c>
      <c r="D153" s="113">
        <f>IF(ISNUMBER(SEARCH("Anodize",'01_MASTER_DATABASE'!S150)), "✓", "✗")</f>
        <v/>
      </c>
      <c r="E153" s="113">
        <f>IF(ISNUMBER(SEARCH("PVDF",'01_MASTER_DATABASE'!S150)), "✓", "✗")</f>
        <v/>
      </c>
      <c r="F153" s="113">
        <f>IF(ISNUMBER(SEARCH("MED",'01_MASTER_DATABASE'!S150)), "✓", "✗")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3">
        <f>IF(ISNUMBER(SEARCH("Sơn",'01_MASTER_DATABASE'!S151)), "✓", "✗")</f>
        <v/>
      </c>
      <c r="D154" s="113">
        <f>IF(ISNUMBER(SEARCH("Anodize",'01_MASTER_DATABASE'!S151)), "✓", "✗")</f>
        <v/>
      </c>
      <c r="E154" s="113">
        <f>IF(ISNUMBER(SEARCH("PVDF",'01_MASTER_DATABASE'!S151)), "✓", "✗")</f>
        <v/>
      </c>
      <c r="F154" s="113">
        <f>IF(ISNUMBER(SEARCH("MED",'01_MASTER_DATABASE'!S151)), "✓", "✗")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3">
        <f>IF(ISNUMBER(SEARCH("Sơn",'01_MASTER_DATABASE'!S152)), "✓", "✗")</f>
        <v/>
      </c>
      <c r="D155" s="113">
        <f>IF(ISNUMBER(SEARCH("Anodize",'01_MASTER_DATABASE'!S152)), "✓", "✗")</f>
        <v/>
      </c>
      <c r="E155" s="113">
        <f>IF(ISNUMBER(SEARCH("PVDF",'01_MASTER_DATABASE'!S152)), "✓", "✗")</f>
        <v/>
      </c>
      <c r="F155" s="113">
        <f>IF(ISNUMBER(SEARCH("MED",'01_MASTER_DATABASE'!S152)), "✓", "✗")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3">
        <f>IF(ISNUMBER(SEARCH("Sơn",'01_MASTER_DATABASE'!S153)), "✓", "✗")</f>
        <v/>
      </c>
      <c r="D156" s="113">
        <f>IF(ISNUMBER(SEARCH("Anodize",'01_MASTER_DATABASE'!S153)), "✓", "✗")</f>
        <v/>
      </c>
      <c r="E156" s="113">
        <f>IF(ISNUMBER(SEARCH("PVDF",'01_MASTER_DATABASE'!S153)), "✓", "✗")</f>
        <v/>
      </c>
      <c r="F156" s="113">
        <f>IF(ISNUMBER(SEARCH("MED",'01_MASTER_DATABASE'!S153)), "✓", "✗")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3">
        <f>IF(ISNUMBER(SEARCH("Sơn",'01_MASTER_DATABASE'!S154)), "✓", "✗")</f>
        <v/>
      </c>
      <c r="D157" s="113">
        <f>IF(ISNUMBER(SEARCH("Anodize",'01_MASTER_DATABASE'!S154)), "✓", "✗")</f>
        <v/>
      </c>
      <c r="E157" s="113">
        <f>IF(ISNUMBER(SEARCH("PVDF",'01_MASTER_DATABASE'!S154)), "✓", "✗")</f>
        <v/>
      </c>
      <c r="F157" s="113">
        <f>IF(ISNUMBER(SEARCH("MED",'01_MASTER_DATABASE'!S154)), "✓", "✗")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3">
        <f>IF(ISNUMBER(SEARCH("Sơn",'01_MASTER_DATABASE'!S155)), "✓", "✗")</f>
        <v/>
      </c>
      <c r="D158" s="113">
        <f>IF(ISNUMBER(SEARCH("Anodize",'01_MASTER_DATABASE'!S155)), "✓", "✗")</f>
        <v/>
      </c>
      <c r="E158" s="113">
        <f>IF(ISNUMBER(SEARCH("PVDF",'01_MASTER_DATABASE'!S155)), "✓", "✗")</f>
        <v/>
      </c>
      <c r="F158" s="113">
        <f>IF(ISNUMBER(SEARCH("MED",'01_MASTER_DATABASE'!S155)), "✓", "✗")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3">
        <f>IF(ISNUMBER(SEARCH("Sơn",'01_MASTER_DATABASE'!S156)), "✓", "✗")</f>
        <v/>
      </c>
      <c r="D159" s="113">
        <f>IF(ISNUMBER(SEARCH("Anodize",'01_MASTER_DATABASE'!S156)), "✓", "✗")</f>
        <v/>
      </c>
      <c r="E159" s="113">
        <f>IF(ISNUMBER(SEARCH("PVDF",'01_MASTER_DATABASE'!S156)), "✓", "✗")</f>
        <v/>
      </c>
      <c r="F159" s="113">
        <f>IF(ISNUMBER(SEARCH("MED",'01_MASTER_DATABASE'!S156)), "✓", "✗")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3">
        <f>IF(ISNUMBER(SEARCH("Sơn",'01_MASTER_DATABASE'!S157)), "✓", "✗")</f>
        <v/>
      </c>
      <c r="D160" s="113">
        <f>IF(ISNUMBER(SEARCH("Anodize",'01_MASTER_DATABASE'!S157)), "✓", "✗")</f>
        <v/>
      </c>
      <c r="E160" s="113">
        <f>IF(ISNUMBER(SEARCH("PVDF",'01_MASTER_DATABASE'!S157)), "✓", "✗")</f>
        <v/>
      </c>
      <c r="F160" s="113">
        <f>IF(ISNUMBER(SEARCH("MED",'01_MASTER_DATABASE'!S157)), "✓", "✗")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3">
        <f>IF(ISNUMBER(SEARCH("Sơn",'01_MASTER_DATABASE'!S158)), "✓", "✗")</f>
        <v/>
      </c>
      <c r="D161" s="113">
        <f>IF(ISNUMBER(SEARCH("Anodize",'01_MASTER_DATABASE'!S158)), "✓", "✗")</f>
        <v/>
      </c>
      <c r="E161" s="113">
        <f>IF(ISNUMBER(SEARCH("PVDF",'01_MASTER_DATABASE'!S158)), "✓", "✗")</f>
        <v/>
      </c>
      <c r="F161" s="113">
        <f>IF(ISNUMBER(SEARCH("MED",'01_MASTER_DATABASE'!S158)), "✓", "✗")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3">
        <f>IF(ISNUMBER(SEARCH("Sơn",'01_MASTER_DATABASE'!S159)), "✓", "✗")</f>
        <v/>
      </c>
      <c r="D162" s="113">
        <f>IF(ISNUMBER(SEARCH("Anodize",'01_MASTER_DATABASE'!S159)), "✓", "✗")</f>
        <v/>
      </c>
      <c r="E162" s="113">
        <f>IF(ISNUMBER(SEARCH("PVDF",'01_MASTER_DATABASE'!S159)), "✓", "✗")</f>
        <v/>
      </c>
      <c r="F162" s="113">
        <f>IF(ISNUMBER(SEARCH("MED",'01_MASTER_DATABASE'!S159)), "✓", "✗")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3">
        <f>IF(ISNUMBER(SEARCH("Sơn",'01_MASTER_DATABASE'!S160)), "✓", "✗")</f>
        <v/>
      </c>
      <c r="D163" s="113">
        <f>IF(ISNUMBER(SEARCH("Anodize",'01_MASTER_DATABASE'!S160)), "✓", "✗")</f>
        <v/>
      </c>
      <c r="E163" s="113">
        <f>IF(ISNUMBER(SEARCH("PVDF",'01_MASTER_DATABASE'!S160)), "✓", "✗")</f>
        <v/>
      </c>
      <c r="F163" s="113">
        <f>IF(ISNUMBER(SEARCH("MED",'01_MASTER_DATABASE'!S160)), "✓", "✗")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3">
        <f>IF(ISNUMBER(SEARCH("Sơn",'01_MASTER_DATABASE'!S161)), "✓", "✗")</f>
        <v/>
      </c>
      <c r="D164" s="113">
        <f>IF(ISNUMBER(SEARCH("Anodize",'01_MASTER_DATABASE'!S161)), "✓", "✗")</f>
        <v/>
      </c>
      <c r="E164" s="113">
        <f>IF(ISNUMBER(SEARCH("PVDF",'01_MASTER_DATABASE'!S161)), "✓", "✗")</f>
        <v/>
      </c>
      <c r="F164" s="113">
        <f>IF(ISNUMBER(SEARCH("MED",'01_MASTER_DATABASE'!S161)), "✓", "✗")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3">
        <f>IF(ISNUMBER(SEARCH("Sơn",'01_MASTER_DATABASE'!S162)), "✓", "✗")</f>
        <v/>
      </c>
      <c r="D165" s="113">
        <f>IF(ISNUMBER(SEARCH("Anodize",'01_MASTER_DATABASE'!S162)), "✓", "✗")</f>
        <v/>
      </c>
      <c r="E165" s="113">
        <f>IF(ISNUMBER(SEARCH("PVDF",'01_MASTER_DATABASE'!S162)), "✓", "✗")</f>
        <v/>
      </c>
      <c r="F165" s="113">
        <f>IF(ISNUMBER(SEARCH("MED",'01_MASTER_DATABASE'!S162)), "✓", "✗")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3">
        <f>IF(ISNUMBER(SEARCH("Sơn",'01_MASTER_DATABASE'!S163)), "✓", "✗")</f>
        <v/>
      </c>
      <c r="D166" s="113">
        <f>IF(ISNUMBER(SEARCH("Anodize",'01_MASTER_DATABASE'!S163)), "✓", "✗")</f>
        <v/>
      </c>
      <c r="E166" s="113">
        <f>IF(ISNUMBER(SEARCH("PVDF",'01_MASTER_DATABASE'!S163)), "✓", "✗")</f>
        <v/>
      </c>
      <c r="F166" s="113">
        <f>IF(ISNUMBER(SEARCH("MED",'01_MASTER_DATABASE'!S163)), "✓", "✗")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3">
        <f>IF(ISNUMBER(SEARCH("Sơn",'01_MASTER_DATABASE'!S164)), "✓", "✗")</f>
        <v/>
      </c>
      <c r="D167" s="113">
        <f>IF(ISNUMBER(SEARCH("Anodize",'01_MASTER_DATABASE'!S164)), "✓", "✗")</f>
        <v/>
      </c>
      <c r="E167" s="113">
        <f>IF(ISNUMBER(SEARCH("PVDF",'01_MASTER_DATABASE'!S164)), "✓", "✗")</f>
        <v/>
      </c>
      <c r="F167" s="113">
        <f>IF(ISNUMBER(SEARCH("MED",'01_MASTER_DATABASE'!S164)), "✓", "✗")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3">
        <f>IF(ISNUMBER(SEARCH("Sơn",'01_MASTER_DATABASE'!S165)), "✓", "✗")</f>
        <v/>
      </c>
      <c r="D168" s="113">
        <f>IF(ISNUMBER(SEARCH("Anodize",'01_MASTER_DATABASE'!S165)), "✓", "✗")</f>
        <v/>
      </c>
      <c r="E168" s="113">
        <f>IF(ISNUMBER(SEARCH("PVDF",'01_MASTER_DATABASE'!S165)), "✓", "✗")</f>
        <v/>
      </c>
      <c r="F168" s="113">
        <f>IF(ISNUMBER(SEARCH("MED",'01_MASTER_DATABASE'!S165)), "✓", "✗")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3">
        <f>IF(ISNUMBER(SEARCH("Sơn",'01_MASTER_DATABASE'!S166)), "✓", "✗")</f>
        <v/>
      </c>
      <c r="D169" s="113">
        <f>IF(ISNUMBER(SEARCH("Anodize",'01_MASTER_DATABASE'!S166)), "✓", "✗")</f>
        <v/>
      </c>
      <c r="E169" s="113">
        <f>IF(ISNUMBER(SEARCH("PVDF",'01_MASTER_DATABASE'!S166)), "✓", "✗")</f>
        <v/>
      </c>
      <c r="F169" s="113">
        <f>IF(ISNUMBER(SEARCH("MED",'01_MASTER_DATABASE'!S166)), "✓", "✗")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3">
        <f>IF(ISNUMBER(SEARCH("Sơn",'01_MASTER_DATABASE'!S167)), "✓", "✗")</f>
        <v/>
      </c>
      <c r="D170" s="113">
        <f>IF(ISNUMBER(SEARCH("Anodize",'01_MASTER_DATABASE'!S167)), "✓", "✗")</f>
        <v/>
      </c>
      <c r="E170" s="113">
        <f>IF(ISNUMBER(SEARCH("PVDF",'01_MASTER_DATABASE'!S167)), "✓", "✗")</f>
        <v/>
      </c>
      <c r="F170" s="113">
        <f>IF(ISNUMBER(SEARCH("MED",'01_MASTER_DATABASE'!S167)), "✓", "✗")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3">
        <f>IF(ISNUMBER(SEARCH("Sơn",'01_MASTER_DATABASE'!S168)), "✓", "✗")</f>
        <v/>
      </c>
      <c r="D171" s="113">
        <f>IF(ISNUMBER(SEARCH("Anodize",'01_MASTER_DATABASE'!S168)), "✓", "✗")</f>
        <v/>
      </c>
      <c r="E171" s="113">
        <f>IF(ISNUMBER(SEARCH("PVDF",'01_MASTER_DATABASE'!S168)), "✓", "✗")</f>
        <v/>
      </c>
      <c r="F171" s="113">
        <f>IF(ISNUMBER(SEARCH("MED",'01_MASTER_DATABASE'!S168)), "✓", "✗")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3">
        <f>IF(ISNUMBER(SEARCH("Sơn",'01_MASTER_DATABASE'!S169)), "✓", "✗")</f>
        <v/>
      </c>
      <c r="D172" s="113">
        <f>IF(ISNUMBER(SEARCH("Anodize",'01_MASTER_DATABASE'!S169)), "✓", "✗")</f>
        <v/>
      </c>
      <c r="E172" s="113">
        <f>IF(ISNUMBER(SEARCH("PVDF",'01_MASTER_DATABASE'!S169)), "✓", "✗")</f>
        <v/>
      </c>
      <c r="F172" s="113">
        <f>IF(ISNUMBER(SEARCH("MED",'01_MASTER_DATABASE'!S169)), "✓", "✗")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3">
        <f>IF(ISNUMBER(SEARCH("Sơn",'01_MASTER_DATABASE'!S170)), "✓", "✗")</f>
        <v/>
      </c>
      <c r="D173" s="113">
        <f>IF(ISNUMBER(SEARCH("Anodize",'01_MASTER_DATABASE'!S170)), "✓", "✗")</f>
        <v/>
      </c>
      <c r="E173" s="113">
        <f>IF(ISNUMBER(SEARCH("PVDF",'01_MASTER_DATABASE'!S170)), "✓", "✗")</f>
        <v/>
      </c>
      <c r="F173" s="113">
        <f>IF(ISNUMBER(SEARCH("MED",'01_MASTER_DATABASE'!S170)), "✓", "✗")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3">
        <f>IF(ISNUMBER(SEARCH("Sơn",'01_MASTER_DATABASE'!S171)), "✓", "✗")</f>
        <v/>
      </c>
      <c r="D174" s="113">
        <f>IF(ISNUMBER(SEARCH("Anodize",'01_MASTER_DATABASE'!S171)), "✓", "✗")</f>
        <v/>
      </c>
      <c r="E174" s="113">
        <f>IF(ISNUMBER(SEARCH("PVDF",'01_MASTER_DATABASE'!S171)), "✓", "✗")</f>
        <v/>
      </c>
      <c r="F174" s="113">
        <f>IF(ISNUMBER(SEARCH("MED",'01_MASTER_DATABASE'!S171)), "✓", "✗")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3">
        <f>IF(ISNUMBER(SEARCH("Sơn",'01_MASTER_DATABASE'!S172)), "✓", "✗")</f>
        <v/>
      </c>
      <c r="D175" s="113">
        <f>IF(ISNUMBER(SEARCH("Anodize",'01_MASTER_DATABASE'!S172)), "✓", "✗")</f>
        <v/>
      </c>
      <c r="E175" s="113">
        <f>IF(ISNUMBER(SEARCH("PVDF",'01_MASTER_DATABASE'!S172)), "✓", "✗")</f>
        <v/>
      </c>
      <c r="F175" s="113">
        <f>IF(ISNUMBER(SEARCH("MED",'01_MASTER_DATABASE'!S172)), "✓", "✗")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3">
        <f>IF(ISNUMBER(SEARCH("Sơn",'01_MASTER_DATABASE'!S173)), "✓", "✗")</f>
        <v/>
      </c>
      <c r="D176" s="113">
        <f>IF(ISNUMBER(SEARCH("Anodize",'01_MASTER_DATABASE'!S173)), "✓", "✗")</f>
        <v/>
      </c>
      <c r="E176" s="113">
        <f>IF(ISNUMBER(SEARCH("PVDF",'01_MASTER_DATABASE'!S173)), "✓", "✗")</f>
        <v/>
      </c>
      <c r="F176" s="113">
        <f>IF(ISNUMBER(SEARCH("MED",'01_MASTER_DATABASE'!S173)), "✓", "✗")</f>
        <v/>
      </c>
    </row>
  </sheetData>
  <mergeCells count="1">
    <mergeCell ref="A1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109" t="inlineStr">
        <is>
          <t>MỨC ĐỘ THÍCH HỢP CHO TỪNG LOẠI CÔNG TRÌNH XÂY DỰNG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Nhà Phố Dân Dụng</t>
        </is>
      </c>
      <c r="D4" s="110" t="inlineStr">
        <is>
          <t>Biệt Thự / Villa</t>
        </is>
      </c>
      <c r="E4" s="110" t="inlineStr">
        <is>
          <t>Resort / Nghỉ Dưỡng</t>
        </is>
      </c>
      <c r="F4" s="110" t="inlineStr">
        <is>
          <t>Chung Cư Cao Tầng</t>
        </is>
      </c>
      <c r="G4" s="110" t="inlineStr">
        <is>
          <t>Văn Phòng / Showroom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>
        <f>IF(ISNUMBER(SEARCH("nhà phố",'01_MASTER_DATABASE'!K2)), "Tối Ưu", "Có Thể Dùng")</f>
        <v/>
      </c>
      <c r="D5" s="113">
        <f>IF(ISNUMBER(SEARCH("biệt thự",'01_MASTER_DATABASE'!K2)), "Tối Ưu", "Có Thể Dùng")</f>
        <v/>
      </c>
      <c r="E5" s="113">
        <f>IF(ISNUMBER(SEARCH("nghỉ dưỡng",'01_MASTER_DATABASE'!K2)), "Tối Ưu", "Có Thể Dùng")</f>
        <v/>
      </c>
      <c r="F5" s="113">
        <f>IF(ISNUMBER(SEARCH("chung cư",'01_MASTER_DATABASE'!K2)), "Tối Ưu", "Có Thể Dùng")</f>
        <v/>
      </c>
      <c r="G5" s="113">
        <f>IF(ISNUMBER(SEARCH("văn phòng",'01_MASTER_DATABASE'!K2)), "Tối Ưu", "Có Thể Dùng")</f>
        <v/>
      </c>
    </row>
    <row r="6" ht="25" customHeight="1">
      <c r="A6" s="113">
        <f>'01_MASTER_DATABASE'!C3</f>
        <v/>
      </c>
      <c r="B6" s="114">
        <f>'01_MASTER_DATABASE'!D3</f>
        <v/>
      </c>
      <c r="C6" s="113">
        <f>IF(ISNUMBER(SEARCH("nhà phố",'01_MASTER_DATABASE'!K3)), "Tối Ưu", "Có Thể Dùng")</f>
        <v/>
      </c>
      <c r="D6" s="113">
        <f>IF(ISNUMBER(SEARCH("biệt thự",'01_MASTER_DATABASE'!K3)), "Tối Ưu", "Có Thể Dùng")</f>
        <v/>
      </c>
      <c r="E6" s="113">
        <f>IF(ISNUMBER(SEARCH("nghỉ dưỡng",'01_MASTER_DATABASE'!K3)), "Tối Ưu", "Có Thể Dùng")</f>
        <v/>
      </c>
      <c r="F6" s="113">
        <f>IF(ISNUMBER(SEARCH("chung cư",'01_MASTER_DATABASE'!K3)), "Tối Ưu", "Có Thể Dùng")</f>
        <v/>
      </c>
      <c r="G6" s="113">
        <f>IF(ISNUMBER(SEARCH("văn phòng",'01_MASTER_DATABASE'!K3)), "Tối Ưu", "Có Thể Dùng")</f>
        <v/>
      </c>
    </row>
    <row r="7" ht="25" customHeight="1">
      <c r="A7" s="113">
        <f>'01_MASTER_DATABASE'!C4</f>
        <v/>
      </c>
      <c r="B7" s="114">
        <f>'01_MASTER_DATABASE'!D4</f>
        <v/>
      </c>
      <c r="C7" s="113">
        <f>IF(ISNUMBER(SEARCH("nhà phố",'01_MASTER_DATABASE'!K4)), "Tối Ưu", "Có Thể Dùng")</f>
        <v/>
      </c>
      <c r="D7" s="113">
        <f>IF(ISNUMBER(SEARCH("biệt thự",'01_MASTER_DATABASE'!K4)), "Tối Ưu", "Có Thể Dùng")</f>
        <v/>
      </c>
      <c r="E7" s="113">
        <f>IF(ISNUMBER(SEARCH("nghỉ dưỡng",'01_MASTER_DATABASE'!K4)), "Tối Ưu", "Có Thể Dùng")</f>
        <v/>
      </c>
      <c r="F7" s="113">
        <f>IF(ISNUMBER(SEARCH("chung cư",'01_MASTER_DATABASE'!K4)), "Tối Ưu", "Có Thể Dùng")</f>
        <v/>
      </c>
      <c r="G7" s="113">
        <f>IF(ISNUMBER(SEARCH("văn phòng",'01_MASTER_DATABASE'!K4)), "Tối Ưu", "Có Thể Dùng")</f>
        <v/>
      </c>
    </row>
    <row r="8" ht="25" customHeight="1">
      <c r="A8" s="113">
        <f>'01_MASTER_DATABASE'!C5</f>
        <v/>
      </c>
      <c r="B8" s="114">
        <f>'01_MASTER_DATABASE'!D5</f>
        <v/>
      </c>
      <c r="C8" s="113">
        <f>IF(ISNUMBER(SEARCH("nhà phố",'01_MASTER_DATABASE'!K5)), "Tối Ưu", "Có Thể Dùng")</f>
        <v/>
      </c>
      <c r="D8" s="113">
        <f>IF(ISNUMBER(SEARCH("biệt thự",'01_MASTER_DATABASE'!K5)), "Tối Ưu", "Có Thể Dùng")</f>
        <v/>
      </c>
      <c r="E8" s="113">
        <f>IF(ISNUMBER(SEARCH("nghỉ dưỡng",'01_MASTER_DATABASE'!K5)), "Tối Ưu", "Có Thể Dùng")</f>
        <v/>
      </c>
      <c r="F8" s="113">
        <f>IF(ISNUMBER(SEARCH("chung cư",'01_MASTER_DATABASE'!K5)), "Tối Ưu", "Có Thể Dùng")</f>
        <v/>
      </c>
      <c r="G8" s="113">
        <f>IF(ISNUMBER(SEARCH("văn phòng",'01_MASTER_DATABASE'!K5)), "Tối Ưu", "Có Thể Dùng")</f>
        <v/>
      </c>
    </row>
    <row r="9" ht="25" customHeight="1">
      <c r="A9" s="113">
        <f>'01_MASTER_DATABASE'!C6</f>
        <v/>
      </c>
      <c r="B9" s="114">
        <f>'01_MASTER_DATABASE'!D6</f>
        <v/>
      </c>
      <c r="C9" s="113">
        <f>IF(ISNUMBER(SEARCH("nhà phố",'01_MASTER_DATABASE'!K6)), "Tối Ưu", "Có Thể Dùng")</f>
        <v/>
      </c>
      <c r="D9" s="113">
        <f>IF(ISNUMBER(SEARCH("biệt thự",'01_MASTER_DATABASE'!K6)), "Tối Ưu", "Có Thể Dùng")</f>
        <v/>
      </c>
      <c r="E9" s="113">
        <f>IF(ISNUMBER(SEARCH("nghỉ dưỡng",'01_MASTER_DATABASE'!K6)), "Tối Ưu", "Có Thể Dùng")</f>
        <v/>
      </c>
      <c r="F9" s="113">
        <f>IF(ISNUMBER(SEARCH("chung cư",'01_MASTER_DATABASE'!K6)), "Tối Ưu", "Có Thể Dùng")</f>
        <v/>
      </c>
      <c r="G9" s="113">
        <f>IF(ISNUMBER(SEARCH("văn phòng",'01_MASTER_DATABASE'!K6)), "Tối Ưu", "Có Thể Dùng")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3">
        <f>IF(ISNUMBER(SEARCH("nhà phố",'01_MASTER_DATABASE'!K7)), "Tối Ưu", "Có Thể Dùng")</f>
        <v/>
      </c>
      <c r="D10" s="113">
        <f>IF(ISNUMBER(SEARCH("biệt thự",'01_MASTER_DATABASE'!K7)), "Tối Ưu", "Có Thể Dùng")</f>
        <v/>
      </c>
      <c r="E10" s="113">
        <f>IF(ISNUMBER(SEARCH("nghỉ dưỡng",'01_MASTER_DATABASE'!K7)), "Tối Ưu", "Có Thể Dùng")</f>
        <v/>
      </c>
      <c r="F10" s="113">
        <f>IF(ISNUMBER(SEARCH("chung cư",'01_MASTER_DATABASE'!K7)), "Tối Ưu", "Có Thể Dùng")</f>
        <v/>
      </c>
      <c r="G10" s="113">
        <f>IF(ISNUMBER(SEARCH("văn phòng",'01_MASTER_DATABASE'!K7)), "Tối Ưu", "Có Thể Dùng")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3">
        <f>IF(ISNUMBER(SEARCH("nhà phố",'01_MASTER_DATABASE'!K8)), "Tối Ưu", "Có Thể Dùng")</f>
        <v/>
      </c>
      <c r="D11" s="113">
        <f>IF(ISNUMBER(SEARCH("biệt thự",'01_MASTER_DATABASE'!K8)), "Tối Ưu", "Có Thể Dùng")</f>
        <v/>
      </c>
      <c r="E11" s="113">
        <f>IF(ISNUMBER(SEARCH("nghỉ dưỡng",'01_MASTER_DATABASE'!K8)), "Tối Ưu", "Có Thể Dùng")</f>
        <v/>
      </c>
      <c r="F11" s="113">
        <f>IF(ISNUMBER(SEARCH("chung cư",'01_MASTER_DATABASE'!K8)), "Tối Ưu", "Có Thể Dùng")</f>
        <v/>
      </c>
      <c r="G11" s="113">
        <f>IF(ISNUMBER(SEARCH("văn phòng",'01_MASTER_DATABASE'!K8)), "Tối Ưu", "Có Thể Dùng")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3">
        <f>IF(ISNUMBER(SEARCH("nhà phố",'01_MASTER_DATABASE'!K9)), "Tối Ưu", "Có Thể Dùng")</f>
        <v/>
      </c>
      <c r="D12" s="113">
        <f>IF(ISNUMBER(SEARCH("biệt thự",'01_MASTER_DATABASE'!K9)), "Tối Ưu", "Có Thể Dùng")</f>
        <v/>
      </c>
      <c r="E12" s="113">
        <f>IF(ISNUMBER(SEARCH("nghỉ dưỡng",'01_MASTER_DATABASE'!K9)), "Tối Ưu", "Có Thể Dùng")</f>
        <v/>
      </c>
      <c r="F12" s="113">
        <f>IF(ISNUMBER(SEARCH("chung cư",'01_MASTER_DATABASE'!K9)), "Tối Ưu", "Có Thể Dùng")</f>
        <v/>
      </c>
      <c r="G12" s="113">
        <f>IF(ISNUMBER(SEARCH("văn phòng",'01_MASTER_DATABASE'!K9)), "Tối Ưu", "Có Thể Dùng")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3">
        <f>IF(ISNUMBER(SEARCH("nhà phố",'01_MASTER_DATABASE'!K10)), "Tối Ưu", "Có Thể Dùng")</f>
        <v/>
      </c>
      <c r="D13" s="113">
        <f>IF(ISNUMBER(SEARCH("biệt thự",'01_MASTER_DATABASE'!K10)), "Tối Ưu", "Có Thể Dùng")</f>
        <v/>
      </c>
      <c r="E13" s="113">
        <f>IF(ISNUMBER(SEARCH("nghỉ dưỡng",'01_MASTER_DATABASE'!K10)), "Tối Ưu", "Có Thể Dùng")</f>
        <v/>
      </c>
      <c r="F13" s="113">
        <f>IF(ISNUMBER(SEARCH("chung cư",'01_MASTER_DATABASE'!K10)), "Tối Ưu", "Có Thể Dùng")</f>
        <v/>
      </c>
      <c r="G13" s="113">
        <f>IF(ISNUMBER(SEARCH("văn phòng",'01_MASTER_DATABASE'!K10)), "Tối Ưu", "Có Thể Dùng")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3">
        <f>IF(ISNUMBER(SEARCH("nhà phố",'01_MASTER_DATABASE'!K11)), "Tối Ưu", "Có Thể Dùng")</f>
        <v/>
      </c>
      <c r="D14" s="113">
        <f>IF(ISNUMBER(SEARCH("biệt thự",'01_MASTER_DATABASE'!K11)), "Tối Ưu", "Có Thể Dùng")</f>
        <v/>
      </c>
      <c r="E14" s="113">
        <f>IF(ISNUMBER(SEARCH("nghỉ dưỡng",'01_MASTER_DATABASE'!K11)), "Tối Ưu", "Có Thể Dùng")</f>
        <v/>
      </c>
      <c r="F14" s="113">
        <f>IF(ISNUMBER(SEARCH("chung cư",'01_MASTER_DATABASE'!K11)), "Tối Ưu", "Có Thể Dùng")</f>
        <v/>
      </c>
      <c r="G14" s="113">
        <f>IF(ISNUMBER(SEARCH("văn phòng",'01_MASTER_DATABASE'!K11)), "Tối Ưu", "Có Thể Dùng")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3">
        <f>IF(ISNUMBER(SEARCH("nhà phố",'01_MASTER_DATABASE'!K12)), "Tối Ưu", "Có Thể Dùng")</f>
        <v/>
      </c>
      <c r="D15" s="113">
        <f>IF(ISNUMBER(SEARCH("biệt thự",'01_MASTER_DATABASE'!K12)), "Tối Ưu", "Có Thể Dùng")</f>
        <v/>
      </c>
      <c r="E15" s="113">
        <f>IF(ISNUMBER(SEARCH("nghỉ dưỡng",'01_MASTER_DATABASE'!K12)), "Tối Ưu", "Có Thể Dùng")</f>
        <v/>
      </c>
      <c r="F15" s="113">
        <f>IF(ISNUMBER(SEARCH("chung cư",'01_MASTER_DATABASE'!K12)), "Tối Ưu", "Có Thể Dùng")</f>
        <v/>
      </c>
      <c r="G15" s="113">
        <f>IF(ISNUMBER(SEARCH("văn phòng",'01_MASTER_DATABASE'!K12)), "Tối Ưu", "Có Thể Dùng")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3">
        <f>IF(ISNUMBER(SEARCH("nhà phố",'01_MASTER_DATABASE'!K13)), "Tối Ưu", "Có Thể Dùng")</f>
        <v/>
      </c>
      <c r="D16" s="113">
        <f>IF(ISNUMBER(SEARCH("biệt thự",'01_MASTER_DATABASE'!K13)), "Tối Ưu", "Có Thể Dùng")</f>
        <v/>
      </c>
      <c r="E16" s="113">
        <f>IF(ISNUMBER(SEARCH("nghỉ dưỡng",'01_MASTER_DATABASE'!K13)), "Tối Ưu", "Có Thể Dùng")</f>
        <v/>
      </c>
      <c r="F16" s="113">
        <f>IF(ISNUMBER(SEARCH("chung cư",'01_MASTER_DATABASE'!K13)), "Tối Ưu", "Có Thể Dùng")</f>
        <v/>
      </c>
      <c r="G16" s="113">
        <f>IF(ISNUMBER(SEARCH("văn phòng",'01_MASTER_DATABASE'!K13)), "Tối Ưu", "Có Thể Dùng")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3">
        <f>IF(ISNUMBER(SEARCH("nhà phố",'01_MASTER_DATABASE'!K14)), "Tối Ưu", "Có Thể Dùng")</f>
        <v/>
      </c>
      <c r="D17" s="113">
        <f>IF(ISNUMBER(SEARCH("biệt thự",'01_MASTER_DATABASE'!K14)), "Tối Ưu", "Có Thể Dùng")</f>
        <v/>
      </c>
      <c r="E17" s="113">
        <f>IF(ISNUMBER(SEARCH("nghỉ dưỡng",'01_MASTER_DATABASE'!K14)), "Tối Ưu", "Có Thể Dùng")</f>
        <v/>
      </c>
      <c r="F17" s="113">
        <f>IF(ISNUMBER(SEARCH("chung cư",'01_MASTER_DATABASE'!K14)), "Tối Ưu", "Có Thể Dùng")</f>
        <v/>
      </c>
      <c r="G17" s="113">
        <f>IF(ISNUMBER(SEARCH("văn phòng",'01_MASTER_DATABASE'!K14)), "Tối Ưu", "Có Thể Dùng")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3">
        <f>IF(ISNUMBER(SEARCH("nhà phố",'01_MASTER_DATABASE'!K15)), "Tối Ưu", "Có Thể Dùng")</f>
        <v/>
      </c>
      <c r="D18" s="113">
        <f>IF(ISNUMBER(SEARCH("biệt thự",'01_MASTER_DATABASE'!K15)), "Tối Ưu", "Có Thể Dùng")</f>
        <v/>
      </c>
      <c r="E18" s="113">
        <f>IF(ISNUMBER(SEARCH("nghỉ dưỡng",'01_MASTER_DATABASE'!K15)), "Tối Ưu", "Có Thể Dùng")</f>
        <v/>
      </c>
      <c r="F18" s="113">
        <f>IF(ISNUMBER(SEARCH("chung cư",'01_MASTER_DATABASE'!K15)), "Tối Ưu", "Có Thể Dùng")</f>
        <v/>
      </c>
      <c r="G18" s="113">
        <f>IF(ISNUMBER(SEARCH("văn phòng",'01_MASTER_DATABASE'!K15)), "Tối Ưu", "Có Thể Dùng")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3">
        <f>IF(ISNUMBER(SEARCH("nhà phố",'01_MASTER_DATABASE'!K16)), "Tối Ưu", "Có Thể Dùng")</f>
        <v/>
      </c>
      <c r="D19" s="113">
        <f>IF(ISNUMBER(SEARCH("biệt thự",'01_MASTER_DATABASE'!K16)), "Tối Ưu", "Có Thể Dùng")</f>
        <v/>
      </c>
      <c r="E19" s="113">
        <f>IF(ISNUMBER(SEARCH("nghỉ dưỡng",'01_MASTER_DATABASE'!K16)), "Tối Ưu", "Có Thể Dùng")</f>
        <v/>
      </c>
      <c r="F19" s="113">
        <f>IF(ISNUMBER(SEARCH("chung cư",'01_MASTER_DATABASE'!K16)), "Tối Ưu", "Có Thể Dùng")</f>
        <v/>
      </c>
      <c r="G19" s="113">
        <f>IF(ISNUMBER(SEARCH("văn phòng",'01_MASTER_DATABASE'!K16)), "Tối Ưu", "Có Thể Dùng")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3">
        <f>IF(ISNUMBER(SEARCH("nhà phố",'01_MASTER_DATABASE'!K17)), "Tối Ưu", "Có Thể Dùng")</f>
        <v/>
      </c>
      <c r="D20" s="113">
        <f>IF(ISNUMBER(SEARCH("biệt thự",'01_MASTER_DATABASE'!K17)), "Tối Ưu", "Có Thể Dùng")</f>
        <v/>
      </c>
      <c r="E20" s="113">
        <f>IF(ISNUMBER(SEARCH("nghỉ dưỡng",'01_MASTER_DATABASE'!K17)), "Tối Ưu", "Có Thể Dùng")</f>
        <v/>
      </c>
      <c r="F20" s="113">
        <f>IF(ISNUMBER(SEARCH("chung cư",'01_MASTER_DATABASE'!K17)), "Tối Ưu", "Có Thể Dùng")</f>
        <v/>
      </c>
      <c r="G20" s="113">
        <f>IF(ISNUMBER(SEARCH("văn phòng",'01_MASTER_DATABASE'!K17)), "Tối Ưu", "Có Thể Dùng")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3">
        <f>IF(ISNUMBER(SEARCH("nhà phố",'01_MASTER_DATABASE'!K18)), "Tối Ưu", "Có Thể Dùng")</f>
        <v/>
      </c>
      <c r="D21" s="113">
        <f>IF(ISNUMBER(SEARCH("biệt thự",'01_MASTER_DATABASE'!K18)), "Tối Ưu", "Có Thể Dùng")</f>
        <v/>
      </c>
      <c r="E21" s="113">
        <f>IF(ISNUMBER(SEARCH("nghỉ dưỡng",'01_MASTER_DATABASE'!K18)), "Tối Ưu", "Có Thể Dùng")</f>
        <v/>
      </c>
      <c r="F21" s="113">
        <f>IF(ISNUMBER(SEARCH("chung cư",'01_MASTER_DATABASE'!K18)), "Tối Ưu", "Có Thể Dùng")</f>
        <v/>
      </c>
      <c r="G21" s="113">
        <f>IF(ISNUMBER(SEARCH("văn phòng",'01_MASTER_DATABASE'!K18)), "Tối Ưu", "Có Thể Dùng")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3">
        <f>IF(ISNUMBER(SEARCH("nhà phố",'01_MASTER_DATABASE'!K19)), "Tối Ưu", "Có Thể Dùng")</f>
        <v/>
      </c>
      <c r="D22" s="113">
        <f>IF(ISNUMBER(SEARCH("biệt thự",'01_MASTER_DATABASE'!K19)), "Tối Ưu", "Có Thể Dùng")</f>
        <v/>
      </c>
      <c r="E22" s="113">
        <f>IF(ISNUMBER(SEARCH("nghỉ dưỡng",'01_MASTER_DATABASE'!K19)), "Tối Ưu", "Có Thể Dùng")</f>
        <v/>
      </c>
      <c r="F22" s="113">
        <f>IF(ISNUMBER(SEARCH("chung cư",'01_MASTER_DATABASE'!K19)), "Tối Ưu", "Có Thể Dùng")</f>
        <v/>
      </c>
      <c r="G22" s="113">
        <f>IF(ISNUMBER(SEARCH("văn phòng",'01_MASTER_DATABASE'!K19)), "Tối Ưu", "Có Thể Dùng")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3">
        <f>IF(ISNUMBER(SEARCH("nhà phố",'01_MASTER_DATABASE'!K20)), "Tối Ưu", "Có Thể Dùng")</f>
        <v/>
      </c>
      <c r="D23" s="113">
        <f>IF(ISNUMBER(SEARCH("biệt thự",'01_MASTER_DATABASE'!K20)), "Tối Ưu", "Có Thể Dùng")</f>
        <v/>
      </c>
      <c r="E23" s="113">
        <f>IF(ISNUMBER(SEARCH("nghỉ dưỡng",'01_MASTER_DATABASE'!K20)), "Tối Ưu", "Có Thể Dùng")</f>
        <v/>
      </c>
      <c r="F23" s="113">
        <f>IF(ISNUMBER(SEARCH("chung cư",'01_MASTER_DATABASE'!K20)), "Tối Ưu", "Có Thể Dùng")</f>
        <v/>
      </c>
      <c r="G23" s="113">
        <f>IF(ISNUMBER(SEARCH("văn phòng",'01_MASTER_DATABASE'!K20)), "Tối Ưu", "Có Thể Dùng")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3">
        <f>IF(ISNUMBER(SEARCH("nhà phố",'01_MASTER_DATABASE'!K21)), "Tối Ưu", "Có Thể Dùng")</f>
        <v/>
      </c>
      <c r="D24" s="113">
        <f>IF(ISNUMBER(SEARCH("biệt thự",'01_MASTER_DATABASE'!K21)), "Tối Ưu", "Có Thể Dùng")</f>
        <v/>
      </c>
      <c r="E24" s="113">
        <f>IF(ISNUMBER(SEARCH("nghỉ dưỡng",'01_MASTER_DATABASE'!K21)), "Tối Ưu", "Có Thể Dùng")</f>
        <v/>
      </c>
      <c r="F24" s="113">
        <f>IF(ISNUMBER(SEARCH("chung cư",'01_MASTER_DATABASE'!K21)), "Tối Ưu", "Có Thể Dùng")</f>
        <v/>
      </c>
      <c r="G24" s="113">
        <f>IF(ISNUMBER(SEARCH("văn phòng",'01_MASTER_DATABASE'!K21)), "Tối Ưu", "Có Thể Dùng")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3">
        <f>IF(ISNUMBER(SEARCH("nhà phố",'01_MASTER_DATABASE'!K22)), "Tối Ưu", "Có Thể Dùng")</f>
        <v/>
      </c>
      <c r="D25" s="113">
        <f>IF(ISNUMBER(SEARCH("biệt thự",'01_MASTER_DATABASE'!K22)), "Tối Ưu", "Có Thể Dùng")</f>
        <v/>
      </c>
      <c r="E25" s="113">
        <f>IF(ISNUMBER(SEARCH("nghỉ dưỡng",'01_MASTER_DATABASE'!K22)), "Tối Ưu", "Có Thể Dùng")</f>
        <v/>
      </c>
      <c r="F25" s="113">
        <f>IF(ISNUMBER(SEARCH("chung cư",'01_MASTER_DATABASE'!K22)), "Tối Ưu", "Có Thể Dùng")</f>
        <v/>
      </c>
      <c r="G25" s="113">
        <f>IF(ISNUMBER(SEARCH("văn phòng",'01_MASTER_DATABASE'!K22)), "Tối Ưu", "Có Thể Dùng")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3">
        <f>IF(ISNUMBER(SEARCH("nhà phố",'01_MASTER_DATABASE'!K23)), "Tối Ưu", "Có Thể Dùng")</f>
        <v/>
      </c>
      <c r="D26" s="113">
        <f>IF(ISNUMBER(SEARCH("biệt thự",'01_MASTER_DATABASE'!K23)), "Tối Ưu", "Có Thể Dùng")</f>
        <v/>
      </c>
      <c r="E26" s="113">
        <f>IF(ISNUMBER(SEARCH("nghỉ dưỡng",'01_MASTER_DATABASE'!K23)), "Tối Ưu", "Có Thể Dùng")</f>
        <v/>
      </c>
      <c r="F26" s="113">
        <f>IF(ISNUMBER(SEARCH("chung cư",'01_MASTER_DATABASE'!K23)), "Tối Ưu", "Có Thể Dùng")</f>
        <v/>
      </c>
      <c r="G26" s="113">
        <f>IF(ISNUMBER(SEARCH("văn phòng",'01_MASTER_DATABASE'!K23)), "Tối Ưu", "Có Thể Dùng")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3">
        <f>IF(ISNUMBER(SEARCH("nhà phố",'01_MASTER_DATABASE'!K24)), "Tối Ưu", "Có Thể Dùng")</f>
        <v/>
      </c>
      <c r="D27" s="113">
        <f>IF(ISNUMBER(SEARCH("biệt thự",'01_MASTER_DATABASE'!K24)), "Tối Ưu", "Có Thể Dùng")</f>
        <v/>
      </c>
      <c r="E27" s="113">
        <f>IF(ISNUMBER(SEARCH("nghỉ dưỡng",'01_MASTER_DATABASE'!K24)), "Tối Ưu", "Có Thể Dùng")</f>
        <v/>
      </c>
      <c r="F27" s="113">
        <f>IF(ISNUMBER(SEARCH("chung cư",'01_MASTER_DATABASE'!K24)), "Tối Ưu", "Có Thể Dùng")</f>
        <v/>
      </c>
      <c r="G27" s="113">
        <f>IF(ISNUMBER(SEARCH("văn phòng",'01_MASTER_DATABASE'!K24)), "Tối Ưu", "Có Thể Dùng")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3">
        <f>IF(ISNUMBER(SEARCH("nhà phố",'01_MASTER_DATABASE'!K25)), "Tối Ưu", "Có Thể Dùng")</f>
        <v/>
      </c>
      <c r="D28" s="113">
        <f>IF(ISNUMBER(SEARCH("biệt thự",'01_MASTER_DATABASE'!K25)), "Tối Ưu", "Có Thể Dùng")</f>
        <v/>
      </c>
      <c r="E28" s="113">
        <f>IF(ISNUMBER(SEARCH("nghỉ dưỡng",'01_MASTER_DATABASE'!K25)), "Tối Ưu", "Có Thể Dùng")</f>
        <v/>
      </c>
      <c r="F28" s="113">
        <f>IF(ISNUMBER(SEARCH("chung cư",'01_MASTER_DATABASE'!K25)), "Tối Ưu", "Có Thể Dùng")</f>
        <v/>
      </c>
      <c r="G28" s="113">
        <f>IF(ISNUMBER(SEARCH("văn phòng",'01_MASTER_DATABASE'!K25)), "Tối Ưu", "Có Thể Dùng")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3">
        <f>IF(ISNUMBER(SEARCH("nhà phố",'01_MASTER_DATABASE'!K26)), "Tối Ưu", "Có Thể Dùng")</f>
        <v/>
      </c>
      <c r="D29" s="113">
        <f>IF(ISNUMBER(SEARCH("biệt thự",'01_MASTER_DATABASE'!K26)), "Tối Ưu", "Có Thể Dùng")</f>
        <v/>
      </c>
      <c r="E29" s="113">
        <f>IF(ISNUMBER(SEARCH("nghỉ dưỡng",'01_MASTER_DATABASE'!K26)), "Tối Ưu", "Có Thể Dùng")</f>
        <v/>
      </c>
      <c r="F29" s="113">
        <f>IF(ISNUMBER(SEARCH("chung cư",'01_MASTER_DATABASE'!K26)), "Tối Ưu", "Có Thể Dùng")</f>
        <v/>
      </c>
      <c r="G29" s="113">
        <f>IF(ISNUMBER(SEARCH("văn phòng",'01_MASTER_DATABASE'!K26)), "Tối Ưu", "Có Thể Dùng")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3">
        <f>IF(ISNUMBER(SEARCH("nhà phố",'01_MASTER_DATABASE'!K27)), "Tối Ưu", "Có Thể Dùng")</f>
        <v/>
      </c>
      <c r="D30" s="113">
        <f>IF(ISNUMBER(SEARCH("biệt thự",'01_MASTER_DATABASE'!K27)), "Tối Ưu", "Có Thể Dùng")</f>
        <v/>
      </c>
      <c r="E30" s="113">
        <f>IF(ISNUMBER(SEARCH("nghỉ dưỡng",'01_MASTER_DATABASE'!K27)), "Tối Ưu", "Có Thể Dùng")</f>
        <v/>
      </c>
      <c r="F30" s="113">
        <f>IF(ISNUMBER(SEARCH("chung cư",'01_MASTER_DATABASE'!K27)), "Tối Ưu", "Có Thể Dùng")</f>
        <v/>
      </c>
      <c r="G30" s="113">
        <f>IF(ISNUMBER(SEARCH("văn phòng",'01_MASTER_DATABASE'!K27)), "Tối Ưu", "Có Thể Dùng")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3">
        <f>IF(ISNUMBER(SEARCH("nhà phố",'01_MASTER_DATABASE'!K28)), "Tối Ưu", "Có Thể Dùng")</f>
        <v/>
      </c>
      <c r="D31" s="113">
        <f>IF(ISNUMBER(SEARCH("biệt thự",'01_MASTER_DATABASE'!K28)), "Tối Ưu", "Có Thể Dùng")</f>
        <v/>
      </c>
      <c r="E31" s="113">
        <f>IF(ISNUMBER(SEARCH("nghỉ dưỡng",'01_MASTER_DATABASE'!K28)), "Tối Ưu", "Có Thể Dùng")</f>
        <v/>
      </c>
      <c r="F31" s="113">
        <f>IF(ISNUMBER(SEARCH("chung cư",'01_MASTER_DATABASE'!K28)), "Tối Ưu", "Có Thể Dùng")</f>
        <v/>
      </c>
      <c r="G31" s="113">
        <f>IF(ISNUMBER(SEARCH("văn phòng",'01_MASTER_DATABASE'!K28)), "Tối Ưu", "Có Thể Dùng")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3">
        <f>IF(ISNUMBER(SEARCH("nhà phố",'01_MASTER_DATABASE'!K29)), "Tối Ưu", "Có Thể Dùng")</f>
        <v/>
      </c>
      <c r="D32" s="113">
        <f>IF(ISNUMBER(SEARCH("biệt thự",'01_MASTER_DATABASE'!K29)), "Tối Ưu", "Có Thể Dùng")</f>
        <v/>
      </c>
      <c r="E32" s="113">
        <f>IF(ISNUMBER(SEARCH("nghỉ dưỡng",'01_MASTER_DATABASE'!K29)), "Tối Ưu", "Có Thể Dùng")</f>
        <v/>
      </c>
      <c r="F32" s="113">
        <f>IF(ISNUMBER(SEARCH("chung cư",'01_MASTER_DATABASE'!K29)), "Tối Ưu", "Có Thể Dùng")</f>
        <v/>
      </c>
      <c r="G32" s="113">
        <f>IF(ISNUMBER(SEARCH("văn phòng",'01_MASTER_DATABASE'!K29)), "Tối Ưu", "Có Thể Dùng")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3">
        <f>IF(ISNUMBER(SEARCH("nhà phố",'01_MASTER_DATABASE'!K30)), "Tối Ưu", "Có Thể Dùng")</f>
        <v/>
      </c>
      <c r="D33" s="113">
        <f>IF(ISNUMBER(SEARCH("biệt thự",'01_MASTER_DATABASE'!K30)), "Tối Ưu", "Có Thể Dùng")</f>
        <v/>
      </c>
      <c r="E33" s="113">
        <f>IF(ISNUMBER(SEARCH("nghỉ dưỡng",'01_MASTER_DATABASE'!K30)), "Tối Ưu", "Có Thể Dùng")</f>
        <v/>
      </c>
      <c r="F33" s="113">
        <f>IF(ISNUMBER(SEARCH("chung cư",'01_MASTER_DATABASE'!K30)), "Tối Ưu", "Có Thể Dùng")</f>
        <v/>
      </c>
      <c r="G33" s="113">
        <f>IF(ISNUMBER(SEARCH("văn phòng",'01_MASTER_DATABASE'!K30)), "Tối Ưu", "Có Thể Dùng")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3">
        <f>IF(ISNUMBER(SEARCH("nhà phố",'01_MASTER_DATABASE'!K31)), "Tối Ưu", "Có Thể Dùng")</f>
        <v/>
      </c>
      <c r="D34" s="113">
        <f>IF(ISNUMBER(SEARCH("biệt thự",'01_MASTER_DATABASE'!K31)), "Tối Ưu", "Có Thể Dùng")</f>
        <v/>
      </c>
      <c r="E34" s="113">
        <f>IF(ISNUMBER(SEARCH("nghỉ dưỡng",'01_MASTER_DATABASE'!K31)), "Tối Ưu", "Có Thể Dùng")</f>
        <v/>
      </c>
      <c r="F34" s="113">
        <f>IF(ISNUMBER(SEARCH("chung cư",'01_MASTER_DATABASE'!K31)), "Tối Ưu", "Có Thể Dùng")</f>
        <v/>
      </c>
      <c r="G34" s="113">
        <f>IF(ISNUMBER(SEARCH("văn phòng",'01_MASTER_DATABASE'!K31)), "Tối Ưu", "Có Thể Dùng")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3">
        <f>IF(ISNUMBER(SEARCH("nhà phố",'01_MASTER_DATABASE'!K32)), "Tối Ưu", "Có Thể Dùng")</f>
        <v/>
      </c>
      <c r="D35" s="113">
        <f>IF(ISNUMBER(SEARCH("biệt thự",'01_MASTER_DATABASE'!K32)), "Tối Ưu", "Có Thể Dùng")</f>
        <v/>
      </c>
      <c r="E35" s="113">
        <f>IF(ISNUMBER(SEARCH("nghỉ dưỡng",'01_MASTER_DATABASE'!K32)), "Tối Ưu", "Có Thể Dùng")</f>
        <v/>
      </c>
      <c r="F35" s="113">
        <f>IF(ISNUMBER(SEARCH("chung cư",'01_MASTER_DATABASE'!K32)), "Tối Ưu", "Có Thể Dùng")</f>
        <v/>
      </c>
      <c r="G35" s="113">
        <f>IF(ISNUMBER(SEARCH("văn phòng",'01_MASTER_DATABASE'!K32)), "Tối Ưu", "Có Thể Dùng")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3">
        <f>IF(ISNUMBER(SEARCH("nhà phố",'01_MASTER_DATABASE'!K33)), "Tối Ưu", "Có Thể Dùng")</f>
        <v/>
      </c>
      <c r="D36" s="113">
        <f>IF(ISNUMBER(SEARCH("biệt thự",'01_MASTER_DATABASE'!K33)), "Tối Ưu", "Có Thể Dùng")</f>
        <v/>
      </c>
      <c r="E36" s="113">
        <f>IF(ISNUMBER(SEARCH("nghỉ dưỡng",'01_MASTER_DATABASE'!K33)), "Tối Ưu", "Có Thể Dùng")</f>
        <v/>
      </c>
      <c r="F36" s="113">
        <f>IF(ISNUMBER(SEARCH("chung cư",'01_MASTER_DATABASE'!K33)), "Tối Ưu", "Có Thể Dùng")</f>
        <v/>
      </c>
      <c r="G36" s="113">
        <f>IF(ISNUMBER(SEARCH("văn phòng",'01_MASTER_DATABASE'!K33)), "Tối Ưu", "Có Thể Dùng")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3">
        <f>IF(ISNUMBER(SEARCH("nhà phố",'01_MASTER_DATABASE'!K34)), "Tối Ưu", "Có Thể Dùng")</f>
        <v/>
      </c>
      <c r="D37" s="113">
        <f>IF(ISNUMBER(SEARCH("biệt thự",'01_MASTER_DATABASE'!K34)), "Tối Ưu", "Có Thể Dùng")</f>
        <v/>
      </c>
      <c r="E37" s="113">
        <f>IF(ISNUMBER(SEARCH("nghỉ dưỡng",'01_MASTER_DATABASE'!K34)), "Tối Ưu", "Có Thể Dùng")</f>
        <v/>
      </c>
      <c r="F37" s="113">
        <f>IF(ISNUMBER(SEARCH("chung cư",'01_MASTER_DATABASE'!K34)), "Tối Ưu", "Có Thể Dùng")</f>
        <v/>
      </c>
      <c r="G37" s="113">
        <f>IF(ISNUMBER(SEARCH("văn phòng",'01_MASTER_DATABASE'!K34)), "Tối Ưu", "Có Thể Dùng")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3">
        <f>IF(ISNUMBER(SEARCH("nhà phố",'01_MASTER_DATABASE'!K35)), "Tối Ưu", "Có Thể Dùng")</f>
        <v/>
      </c>
      <c r="D38" s="113">
        <f>IF(ISNUMBER(SEARCH("biệt thự",'01_MASTER_DATABASE'!K35)), "Tối Ưu", "Có Thể Dùng")</f>
        <v/>
      </c>
      <c r="E38" s="113">
        <f>IF(ISNUMBER(SEARCH("nghỉ dưỡng",'01_MASTER_DATABASE'!K35)), "Tối Ưu", "Có Thể Dùng")</f>
        <v/>
      </c>
      <c r="F38" s="113">
        <f>IF(ISNUMBER(SEARCH("chung cư",'01_MASTER_DATABASE'!K35)), "Tối Ưu", "Có Thể Dùng")</f>
        <v/>
      </c>
      <c r="G38" s="113">
        <f>IF(ISNUMBER(SEARCH("văn phòng",'01_MASTER_DATABASE'!K35)), "Tối Ưu", "Có Thể Dùng")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3">
        <f>IF(ISNUMBER(SEARCH("nhà phố",'01_MASTER_DATABASE'!K36)), "Tối Ưu", "Có Thể Dùng")</f>
        <v/>
      </c>
      <c r="D39" s="113">
        <f>IF(ISNUMBER(SEARCH("biệt thự",'01_MASTER_DATABASE'!K36)), "Tối Ưu", "Có Thể Dùng")</f>
        <v/>
      </c>
      <c r="E39" s="113">
        <f>IF(ISNUMBER(SEARCH("nghỉ dưỡng",'01_MASTER_DATABASE'!K36)), "Tối Ưu", "Có Thể Dùng")</f>
        <v/>
      </c>
      <c r="F39" s="113">
        <f>IF(ISNUMBER(SEARCH("chung cư",'01_MASTER_DATABASE'!K36)), "Tối Ưu", "Có Thể Dùng")</f>
        <v/>
      </c>
      <c r="G39" s="113">
        <f>IF(ISNUMBER(SEARCH("văn phòng",'01_MASTER_DATABASE'!K36)), "Tối Ưu", "Có Thể Dùng")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3">
        <f>IF(ISNUMBER(SEARCH("nhà phố",'01_MASTER_DATABASE'!K37)), "Tối Ưu", "Có Thể Dùng")</f>
        <v/>
      </c>
      <c r="D40" s="113">
        <f>IF(ISNUMBER(SEARCH("biệt thự",'01_MASTER_DATABASE'!K37)), "Tối Ưu", "Có Thể Dùng")</f>
        <v/>
      </c>
      <c r="E40" s="113">
        <f>IF(ISNUMBER(SEARCH("nghỉ dưỡng",'01_MASTER_DATABASE'!K37)), "Tối Ưu", "Có Thể Dùng")</f>
        <v/>
      </c>
      <c r="F40" s="113">
        <f>IF(ISNUMBER(SEARCH("chung cư",'01_MASTER_DATABASE'!K37)), "Tối Ưu", "Có Thể Dùng")</f>
        <v/>
      </c>
      <c r="G40" s="113">
        <f>IF(ISNUMBER(SEARCH("văn phòng",'01_MASTER_DATABASE'!K37)), "Tối Ưu", "Có Thể Dùng")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3">
        <f>IF(ISNUMBER(SEARCH("nhà phố",'01_MASTER_DATABASE'!K38)), "Tối Ưu", "Có Thể Dùng")</f>
        <v/>
      </c>
      <c r="D41" s="113">
        <f>IF(ISNUMBER(SEARCH("biệt thự",'01_MASTER_DATABASE'!K38)), "Tối Ưu", "Có Thể Dùng")</f>
        <v/>
      </c>
      <c r="E41" s="113">
        <f>IF(ISNUMBER(SEARCH("nghỉ dưỡng",'01_MASTER_DATABASE'!K38)), "Tối Ưu", "Có Thể Dùng")</f>
        <v/>
      </c>
      <c r="F41" s="113">
        <f>IF(ISNUMBER(SEARCH("chung cư",'01_MASTER_DATABASE'!K38)), "Tối Ưu", "Có Thể Dùng")</f>
        <v/>
      </c>
      <c r="G41" s="113">
        <f>IF(ISNUMBER(SEARCH("văn phòng",'01_MASTER_DATABASE'!K38)), "Tối Ưu", "Có Thể Dùng")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3">
        <f>IF(ISNUMBER(SEARCH("nhà phố",'01_MASTER_DATABASE'!K39)), "Tối Ưu", "Có Thể Dùng")</f>
        <v/>
      </c>
      <c r="D42" s="113">
        <f>IF(ISNUMBER(SEARCH("biệt thự",'01_MASTER_DATABASE'!K39)), "Tối Ưu", "Có Thể Dùng")</f>
        <v/>
      </c>
      <c r="E42" s="113">
        <f>IF(ISNUMBER(SEARCH("nghỉ dưỡng",'01_MASTER_DATABASE'!K39)), "Tối Ưu", "Có Thể Dùng")</f>
        <v/>
      </c>
      <c r="F42" s="113">
        <f>IF(ISNUMBER(SEARCH("chung cư",'01_MASTER_DATABASE'!K39)), "Tối Ưu", "Có Thể Dùng")</f>
        <v/>
      </c>
      <c r="G42" s="113">
        <f>IF(ISNUMBER(SEARCH("văn phòng",'01_MASTER_DATABASE'!K39)), "Tối Ưu", "Có Thể Dùng")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3">
        <f>IF(ISNUMBER(SEARCH("nhà phố",'01_MASTER_DATABASE'!K40)), "Tối Ưu", "Có Thể Dùng")</f>
        <v/>
      </c>
      <c r="D43" s="113">
        <f>IF(ISNUMBER(SEARCH("biệt thự",'01_MASTER_DATABASE'!K40)), "Tối Ưu", "Có Thể Dùng")</f>
        <v/>
      </c>
      <c r="E43" s="113">
        <f>IF(ISNUMBER(SEARCH("nghỉ dưỡng",'01_MASTER_DATABASE'!K40)), "Tối Ưu", "Có Thể Dùng")</f>
        <v/>
      </c>
      <c r="F43" s="113">
        <f>IF(ISNUMBER(SEARCH("chung cư",'01_MASTER_DATABASE'!K40)), "Tối Ưu", "Có Thể Dùng")</f>
        <v/>
      </c>
      <c r="G43" s="113">
        <f>IF(ISNUMBER(SEARCH("văn phòng",'01_MASTER_DATABASE'!K40)), "Tối Ưu", "Có Thể Dùng")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3">
        <f>IF(ISNUMBER(SEARCH("nhà phố",'01_MASTER_DATABASE'!K41)), "Tối Ưu", "Có Thể Dùng")</f>
        <v/>
      </c>
      <c r="D44" s="113">
        <f>IF(ISNUMBER(SEARCH("biệt thự",'01_MASTER_DATABASE'!K41)), "Tối Ưu", "Có Thể Dùng")</f>
        <v/>
      </c>
      <c r="E44" s="113">
        <f>IF(ISNUMBER(SEARCH("nghỉ dưỡng",'01_MASTER_DATABASE'!K41)), "Tối Ưu", "Có Thể Dùng")</f>
        <v/>
      </c>
      <c r="F44" s="113">
        <f>IF(ISNUMBER(SEARCH("chung cư",'01_MASTER_DATABASE'!K41)), "Tối Ưu", "Có Thể Dùng")</f>
        <v/>
      </c>
      <c r="G44" s="113">
        <f>IF(ISNUMBER(SEARCH("văn phòng",'01_MASTER_DATABASE'!K41)), "Tối Ưu", "Có Thể Dùng")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3">
        <f>IF(ISNUMBER(SEARCH("nhà phố",'01_MASTER_DATABASE'!K42)), "Tối Ưu", "Có Thể Dùng")</f>
        <v/>
      </c>
      <c r="D45" s="113">
        <f>IF(ISNUMBER(SEARCH("biệt thự",'01_MASTER_DATABASE'!K42)), "Tối Ưu", "Có Thể Dùng")</f>
        <v/>
      </c>
      <c r="E45" s="113">
        <f>IF(ISNUMBER(SEARCH("nghỉ dưỡng",'01_MASTER_DATABASE'!K42)), "Tối Ưu", "Có Thể Dùng")</f>
        <v/>
      </c>
      <c r="F45" s="113">
        <f>IF(ISNUMBER(SEARCH("chung cư",'01_MASTER_DATABASE'!K42)), "Tối Ưu", "Có Thể Dùng")</f>
        <v/>
      </c>
      <c r="G45" s="113">
        <f>IF(ISNUMBER(SEARCH("văn phòng",'01_MASTER_DATABASE'!K42)), "Tối Ưu", "Có Thể Dùng")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3">
        <f>IF(ISNUMBER(SEARCH("nhà phố",'01_MASTER_DATABASE'!K43)), "Tối Ưu", "Có Thể Dùng")</f>
        <v/>
      </c>
      <c r="D46" s="113">
        <f>IF(ISNUMBER(SEARCH("biệt thự",'01_MASTER_DATABASE'!K43)), "Tối Ưu", "Có Thể Dùng")</f>
        <v/>
      </c>
      <c r="E46" s="113">
        <f>IF(ISNUMBER(SEARCH("nghỉ dưỡng",'01_MASTER_DATABASE'!K43)), "Tối Ưu", "Có Thể Dùng")</f>
        <v/>
      </c>
      <c r="F46" s="113">
        <f>IF(ISNUMBER(SEARCH("chung cư",'01_MASTER_DATABASE'!K43)), "Tối Ưu", "Có Thể Dùng")</f>
        <v/>
      </c>
      <c r="G46" s="113">
        <f>IF(ISNUMBER(SEARCH("văn phòng",'01_MASTER_DATABASE'!K43)), "Tối Ưu", "Có Thể Dùng")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3">
        <f>IF(ISNUMBER(SEARCH("nhà phố",'01_MASTER_DATABASE'!K44)), "Tối Ưu", "Có Thể Dùng")</f>
        <v/>
      </c>
      <c r="D47" s="113">
        <f>IF(ISNUMBER(SEARCH("biệt thự",'01_MASTER_DATABASE'!K44)), "Tối Ưu", "Có Thể Dùng")</f>
        <v/>
      </c>
      <c r="E47" s="113">
        <f>IF(ISNUMBER(SEARCH("nghỉ dưỡng",'01_MASTER_DATABASE'!K44)), "Tối Ưu", "Có Thể Dùng")</f>
        <v/>
      </c>
      <c r="F47" s="113">
        <f>IF(ISNUMBER(SEARCH("chung cư",'01_MASTER_DATABASE'!K44)), "Tối Ưu", "Có Thể Dùng")</f>
        <v/>
      </c>
      <c r="G47" s="113">
        <f>IF(ISNUMBER(SEARCH("văn phòng",'01_MASTER_DATABASE'!K44)), "Tối Ưu", "Có Thể Dùng")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3">
        <f>IF(ISNUMBER(SEARCH("nhà phố",'01_MASTER_DATABASE'!K45)), "Tối Ưu", "Có Thể Dùng")</f>
        <v/>
      </c>
      <c r="D48" s="113">
        <f>IF(ISNUMBER(SEARCH("biệt thự",'01_MASTER_DATABASE'!K45)), "Tối Ưu", "Có Thể Dùng")</f>
        <v/>
      </c>
      <c r="E48" s="113">
        <f>IF(ISNUMBER(SEARCH("nghỉ dưỡng",'01_MASTER_DATABASE'!K45)), "Tối Ưu", "Có Thể Dùng")</f>
        <v/>
      </c>
      <c r="F48" s="113">
        <f>IF(ISNUMBER(SEARCH("chung cư",'01_MASTER_DATABASE'!K45)), "Tối Ưu", "Có Thể Dùng")</f>
        <v/>
      </c>
      <c r="G48" s="113">
        <f>IF(ISNUMBER(SEARCH("văn phòng",'01_MASTER_DATABASE'!K45)), "Tối Ưu", "Có Thể Dùng")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3">
        <f>IF(ISNUMBER(SEARCH("nhà phố",'01_MASTER_DATABASE'!K46)), "Tối Ưu", "Có Thể Dùng")</f>
        <v/>
      </c>
      <c r="D49" s="113">
        <f>IF(ISNUMBER(SEARCH("biệt thự",'01_MASTER_DATABASE'!K46)), "Tối Ưu", "Có Thể Dùng")</f>
        <v/>
      </c>
      <c r="E49" s="113">
        <f>IF(ISNUMBER(SEARCH("nghỉ dưỡng",'01_MASTER_DATABASE'!K46)), "Tối Ưu", "Có Thể Dùng")</f>
        <v/>
      </c>
      <c r="F49" s="113">
        <f>IF(ISNUMBER(SEARCH("chung cư",'01_MASTER_DATABASE'!K46)), "Tối Ưu", "Có Thể Dùng")</f>
        <v/>
      </c>
      <c r="G49" s="113">
        <f>IF(ISNUMBER(SEARCH("văn phòng",'01_MASTER_DATABASE'!K46)), "Tối Ưu", "Có Thể Dùng")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3">
        <f>IF(ISNUMBER(SEARCH("nhà phố",'01_MASTER_DATABASE'!K47)), "Tối Ưu", "Có Thể Dùng")</f>
        <v/>
      </c>
      <c r="D50" s="113">
        <f>IF(ISNUMBER(SEARCH("biệt thự",'01_MASTER_DATABASE'!K47)), "Tối Ưu", "Có Thể Dùng")</f>
        <v/>
      </c>
      <c r="E50" s="113">
        <f>IF(ISNUMBER(SEARCH("nghỉ dưỡng",'01_MASTER_DATABASE'!K47)), "Tối Ưu", "Có Thể Dùng")</f>
        <v/>
      </c>
      <c r="F50" s="113">
        <f>IF(ISNUMBER(SEARCH("chung cư",'01_MASTER_DATABASE'!K47)), "Tối Ưu", "Có Thể Dùng")</f>
        <v/>
      </c>
      <c r="G50" s="113">
        <f>IF(ISNUMBER(SEARCH("văn phòng",'01_MASTER_DATABASE'!K47)), "Tối Ưu", "Có Thể Dùng")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3">
        <f>IF(ISNUMBER(SEARCH("nhà phố",'01_MASTER_DATABASE'!K48)), "Tối Ưu", "Có Thể Dùng")</f>
        <v/>
      </c>
      <c r="D51" s="113">
        <f>IF(ISNUMBER(SEARCH("biệt thự",'01_MASTER_DATABASE'!K48)), "Tối Ưu", "Có Thể Dùng")</f>
        <v/>
      </c>
      <c r="E51" s="113">
        <f>IF(ISNUMBER(SEARCH("nghỉ dưỡng",'01_MASTER_DATABASE'!K48)), "Tối Ưu", "Có Thể Dùng")</f>
        <v/>
      </c>
      <c r="F51" s="113">
        <f>IF(ISNUMBER(SEARCH("chung cư",'01_MASTER_DATABASE'!K48)), "Tối Ưu", "Có Thể Dùng")</f>
        <v/>
      </c>
      <c r="G51" s="113">
        <f>IF(ISNUMBER(SEARCH("văn phòng",'01_MASTER_DATABASE'!K48)), "Tối Ưu", "Có Thể Dùng")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3">
        <f>IF(ISNUMBER(SEARCH("nhà phố",'01_MASTER_DATABASE'!K49)), "Tối Ưu", "Có Thể Dùng")</f>
        <v/>
      </c>
      <c r="D52" s="113">
        <f>IF(ISNUMBER(SEARCH("biệt thự",'01_MASTER_DATABASE'!K49)), "Tối Ưu", "Có Thể Dùng")</f>
        <v/>
      </c>
      <c r="E52" s="113">
        <f>IF(ISNUMBER(SEARCH("nghỉ dưỡng",'01_MASTER_DATABASE'!K49)), "Tối Ưu", "Có Thể Dùng")</f>
        <v/>
      </c>
      <c r="F52" s="113">
        <f>IF(ISNUMBER(SEARCH("chung cư",'01_MASTER_DATABASE'!K49)), "Tối Ưu", "Có Thể Dùng")</f>
        <v/>
      </c>
      <c r="G52" s="113">
        <f>IF(ISNUMBER(SEARCH("văn phòng",'01_MASTER_DATABASE'!K49)), "Tối Ưu", "Có Thể Dùng")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3">
        <f>IF(ISNUMBER(SEARCH("nhà phố",'01_MASTER_DATABASE'!K50)), "Tối Ưu", "Có Thể Dùng")</f>
        <v/>
      </c>
      <c r="D53" s="113">
        <f>IF(ISNUMBER(SEARCH("biệt thự",'01_MASTER_DATABASE'!K50)), "Tối Ưu", "Có Thể Dùng")</f>
        <v/>
      </c>
      <c r="E53" s="113">
        <f>IF(ISNUMBER(SEARCH("nghỉ dưỡng",'01_MASTER_DATABASE'!K50)), "Tối Ưu", "Có Thể Dùng")</f>
        <v/>
      </c>
      <c r="F53" s="113">
        <f>IF(ISNUMBER(SEARCH("chung cư",'01_MASTER_DATABASE'!K50)), "Tối Ưu", "Có Thể Dùng")</f>
        <v/>
      </c>
      <c r="G53" s="113">
        <f>IF(ISNUMBER(SEARCH("văn phòng",'01_MASTER_DATABASE'!K50)), "Tối Ưu", "Có Thể Dùng")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3">
        <f>IF(ISNUMBER(SEARCH("nhà phố",'01_MASTER_DATABASE'!K51)), "Tối Ưu", "Có Thể Dùng")</f>
        <v/>
      </c>
      <c r="D54" s="113">
        <f>IF(ISNUMBER(SEARCH("biệt thự",'01_MASTER_DATABASE'!K51)), "Tối Ưu", "Có Thể Dùng")</f>
        <v/>
      </c>
      <c r="E54" s="113">
        <f>IF(ISNUMBER(SEARCH("nghỉ dưỡng",'01_MASTER_DATABASE'!K51)), "Tối Ưu", "Có Thể Dùng")</f>
        <v/>
      </c>
      <c r="F54" s="113">
        <f>IF(ISNUMBER(SEARCH("chung cư",'01_MASTER_DATABASE'!K51)), "Tối Ưu", "Có Thể Dùng")</f>
        <v/>
      </c>
      <c r="G54" s="113">
        <f>IF(ISNUMBER(SEARCH("văn phòng",'01_MASTER_DATABASE'!K51)), "Tối Ưu", "Có Thể Dùng")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3">
        <f>IF(ISNUMBER(SEARCH("nhà phố",'01_MASTER_DATABASE'!K52)), "Tối Ưu", "Có Thể Dùng")</f>
        <v/>
      </c>
      <c r="D55" s="113">
        <f>IF(ISNUMBER(SEARCH("biệt thự",'01_MASTER_DATABASE'!K52)), "Tối Ưu", "Có Thể Dùng")</f>
        <v/>
      </c>
      <c r="E55" s="113">
        <f>IF(ISNUMBER(SEARCH("nghỉ dưỡng",'01_MASTER_DATABASE'!K52)), "Tối Ưu", "Có Thể Dùng")</f>
        <v/>
      </c>
      <c r="F55" s="113">
        <f>IF(ISNUMBER(SEARCH("chung cư",'01_MASTER_DATABASE'!K52)), "Tối Ưu", "Có Thể Dùng")</f>
        <v/>
      </c>
      <c r="G55" s="113">
        <f>IF(ISNUMBER(SEARCH("văn phòng",'01_MASTER_DATABASE'!K52)), "Tối Ưu", "Có Thể Dùng")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3">
        <f>IF(ISNUMBER(SEARCH("nhà phố",'01_MASTER_DATABASE'!K53)), "Tối Ưu", "Có Thể Dùng")</f>
        <v/>
      </c>
      <c r="D56" s="113">
        <f>IF(ISNUMBER(SEARCH("biệt thự",'01_MASTER_DATABASE'!K53)), "Tối Ưu", "Có Thể Dùng")</f>
        <v/>
      </c>
      <c r="E56" s="113">
        <f>IF(ISNUMBER(SEARCH("nghỉ dưỡng",'01_MASTER_DATABASE'!K53)), "Tối Ưu", "Có Thể Dùng")</f>
        <v/>
      </c>
      <c r="F56" s="113">
        <f>IF(ISNUMBER(SEARCH("chung cư",'01_MASTER_DATABASE'!K53)), "Tối Ưu", "Có Thể Dùng")</f>
        <v/>
      </c>
      <c r="G56" s="113">
        <f>IF(ISNUMBER(SEARCH("văn phòng",'01_MASTER_DATABASE'!K53)), "Tối Ưu", "Có Thể Dùng")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3">
        <f>IF(ISNUMBER(SEARCH("nhà phố",'01_MASTER_DATABASE'!K54)), "Tối Ưu", "Có Thể Dùng")</f>
        <v/>
      </c>
      <c r="D57" s="113">
        <f>IF(ISNUMBER(SEARCH("biệt thự",'01_MASTER_DATABASE'!K54)), "Tối Ưu", "Có Thể Dùng")</f>
        <v/>
      </c>
      <c r="E57" s="113">
        <f>IF(ISNUMBER(SEARCH("nghỉ dưỡng",'01_MASTER_DATABASE'!K54)), "Tối Ưu", "Có Thể Dùng")</f>
        <v/>
      </c>
      <c r="F57" s="113">
        <f>IF(ISNUMBER(SEARCH("chung cư",'01_MASTER_DATABASE'!K54)), "Tối Ưu", "Có Thể Dùng")</f>
        <v/>
      </c>
      <c r="G57" s="113">
        <f>IF(ISNUMBER(SEARCH("văn phòng",'01_MASTER_DATABASE'!K54)), "Tối Ưu", "Có Thể Dùng")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3">
        <f>IF(ISNUMBER(SEARCH("nhà phố",'01_MASTER_DATABASE'!K55)), "Tối Ưu", "Có Thể Dùng")</f>
        <v/>
      </c>
      <c r="D58" s="113">
        <f>IF(ISNUMBER(SEARCH("biệt thự",'01_MASTER_DATABASE'!K55)), "Tối Ưu", "Có Thể Dùng")</f>
        <v/>
      </c>
      <c r="E58" s="113">
        <f>IF(ISNUMBER(SEARCH("nghỉ dưỡng",'01_MASTER_DATABASE'!K55)), "Tối Ưu", "Có Thể Dùng")</f>
        <v/>
      </c>
      <c r="F58" s="113">
        <f>IF(ISNUMBER(SEARCH("chung cư",'01_MASTER_DATABASE'!K55)), "Tối Ưu", "Có Thể Dùng")</f>
        <v/>
      </c>
      <c r="G58" s="113">
        <f>IF(ISNUMBER(SEARCH("văn phòng",'01_MASTER_DATABASE'!K55)), "Tối Ưu", "Có Thể Dùng")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3">
        <f>IF(ISNUMBER(SEARCH("nhà phố",'01_MASTER_DATABASE'!K56)), "Tối Ưu", "Có Thể Dùng")</f>
        <v/>
      </c>
      <c r="D59" s="113">
        <f>IF(ISNUMBER(SEARCH("biệt thự",'01_MASTER_DATABASE'!K56)), "Tối Ưu", "Có Thể Dùng")</f>
        <v/>
      </c>
      <c r="E59" s="113">
        <f>IF(ISNUMBER(SEARCH("nghỉ dưỡng",'01_MASTER_DATABASE'!K56)), "Tối Ưu", "Có Thể Dùng")</f>
        <v/>
      </c>
      <c r="F59" s="113">
        <f>IF(ISNUMBER(SEARCH("chung cư",'01_MASTER_DATABASE'!K56)), "Tối Ưu", "Có Thể Dùng")</f>
        <v/>
      </c>
      <c r="G59" s="113">
        <f>IF(ISNUMBER(SEARCH("văn phòng",'01_MASTER_DATABASE'!K56)), "Tối Ưu", "Có Thể Dùng")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3">
        <f>IF(ISNUMBER(SEARCH("nhà phố",'01_MASTER_DATABASE'!K57)), "Tối Ưu", "Có Thể Dùng")</f>
        <v/>
      </c>
      <c r="D60" s="113">
        <f>IF(ISNUMBER(SEARCH("biệt thự",'01_MASTER_DATABASE'!K57)), "Tối Ưu", "Có Thể Dùng")</f>
        <v/>
      </c>
      <c r="E60" s="113">
        <f>IF(ISNUMBER(SEARCH("nghỉ dưỡng",'01_MASTER_DATABASE'!K57)), "Tối Ưu", "Có Thể Dùng")</f>
        <v/>
      </c>
      <c r="F60" s="113">
        <f>IF(ISNUMBER(SEARCH("chung cư",'01_MASTER_DATABASE'!K57)), "Tối Ưu", "Có Thể Dùng")</f>
        <v/>
      </c>
      <c r="G60" s="113">
        <f>IF(ISNUMBER(SEARCH("văn phòng",'01_MASTER_DATABASE'!K57)), "Tối Ưu", "Có Thể Dùng")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3">
        <f>IF(ISNUMBER(SEARCH("nhà phố",'01_MASTER_DATABASE'!K58)), "Tối Ưu", "Có Thể Dùng")</f>
        <v/>
      </c>
      <c r="D61" s="113">
        <f>IF(ISNUMBER(SEARCH("biệt thự",'01_MASTER_DATABASE'!K58)), "Tối Ưu", "Có Thể Dùng")</f>
        <v/>
      </c>
      <c r="E61" s="113">
        <f>IF(ISNUMBER(SEARCH("nghỉ dưỡng",'01_MASTER_DATABASE'!K58)), "Tối Ưu", "Có Thể Dùng")</f>
        <v/>
      </c>
      <c r="F61" s="113">
        <f>IF(ISNUMBER(SEARCH("chung cư",'01_MASTER_DATABASE'!K58)), "Tối Ưu", "Có Thể Dùng")</f>
        <v/>
      </c>
      <c r="G61" s="113">
        <f>IF(ISNUMBER(SEARCH("văn phòng",'01_MASTER_DATABASE'!K58)), "Tối Ưu", "Có Thể Dùng")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3">
        <f>IF(ISNUMBER(SEARCH("nhà phố",'01_MASTER_DATABASE'!K59)), "Tối Ưu", "Có Thể Dùng")</f>
        <v/>
      </c>
      <c r="D62" s="113">
        <f>IF(ISNUMBER(SEARCH("biệt thự",'01_MASTER_DATABASE'!K59)), "Tối Ưu", "Có Thể Dùng")</f>
        <v/>
      </c>
      <c r="E62" s="113">
        <f>IF(ISNUMBER(SEARCH("nghỉ dưỡng",'01_MASTER_DATABASE'!K59)), "Tối Ưu", "Có Thể Dùng")</f>
        <v/>
      </c>
      <c r="F62" s="113">
        <f>IF(ISNUMBER(SEARCH("chung cư",'01_MASTER_DATABASE'!K59)), "Tối Ưu", "Có Thể Dùng")</f>
        <v/>
      </c>
      <c r="G62" s="113">
        <f>IF(ISNUMBER(SEARCH("văn phòng",'01_MASTER_DATABASE'!K59)), "Tối Ưu", "Có Thể Dùng")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3">
        <f>IF(ISNUMBER(SEARCH("nhà phố",'01_MASTER_DATABASE'!K60)), "Tối Ưu", "Có Thể Dùng")</f>
        <v/>
      </c>
      <c r="D63" s="113">
        <f>IF(ISNUMBER(SEARCH("biệt thự",'01_MASTER_DATABASE'!K60)), "Tối Ưu", "Có Thể Dùng")</f>
        <v/>
      </c>
      <c r="E63" s="113">
        <f>IF(ISNUMBER(SEARCH("nghỉ dưỡng",'01_MASTER_DATABASE'!K60)), "Tối Ưu", "Có Thể Dùng")</f>
        <v/>
      </c>
      <c r="F63" s="113">
        <f>IF(ISNUMBER(SEARCH("chung cư",'01_MASTER_DATABASE'!K60)), "Tối Ưu", "Có Thể Dùng")</f>
        <v/>
      </c>
      <c r="G63" s="113">
        <f>IF(ISNUMBER(SEARCH("văn phòng",'01_MASTER_DATABASE'!K60)), "Tối Ưu", "Có Thể Dùng")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3">
        <f>IF(ISNUMBER(SEARCH("nhà phố",'01_MASTER_DATABASE'!K61)), "Tối Ưu", "Có Thể Dùng")</f>
        <v/>
      </c>
      <c r="D64" s="113">
        <f>IF(ISNUMBER(SEARCH("biệt thự",'01_MASTER_DATABASE'!K61)), "Tối Ưu", "Có Thể Dùng")</f>
        <v/>
      </c>
      <c r="E64" s="113">
        <f>IF(ISNUMBER(SEARCH("nghỉ dưỡng",'01_MASTER_DATABASE'!K61)), "Tối Ưu", "Có Thể Dùng")</f>
        <v/>
      </c>
      <c r="F64" s="113">
        <f>IF(ISNUMBER(SEARCH("chung cư",'01_MASTER_DATABASE'!K61)), "Tối Ưu", "Có Thể Dùng")</f>
        <v/>
      </c>
      <c r="G64" s="113">
        <f>IF(ISNUMBER(SEARCH("văn phòng",'01_MASTER_DATABASE'!K61)), "Tối Ưu", "Có Thể Dùng")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3">
        <f>IF(ISNUMBER(SEARCH("nhà phố",'01_MASTER_DATABASE'!K62)), "Tối Ưu", "Có Thể Dùng")</f>
        <v/>
      </c>
      <c r="D65" s="113">
        <f>IF(ISNUMBER(SEARCH("biệt thự",'01_MASTER_DATABASE'!K62)), "Tối Ưu", "Có Thể Dùng")</f>
        <v/>
      </c>
      <c r="E65" s="113">
        <f>IF(ISNUMBER(SEARCH("nghỉ dưỡng",'01_MASTER_DATABASE'!K62)), "Tối Ưu", "Có Thể Dùng")</f>
        <v/>
      </c>
      <c r="F65" s="113">
        <f>IF(ISNUMBER(SEARCH("chung cư",'01_MASTER_DATABASE'!K62)), "Tối Ưu", "Có Thể Dùng")</f>
        <v/>
      </c>
      <c r="G65" s="113">
        <f>IF(ISNUMBER(SEARCH("văn phòng",'01_MASTER_DATABASE'!K62)), "Tối Ưu", "Có Thể Dùng")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3">
        <f>IF(ISNUMBER(SEARCH("nhà phố",'01_MASTER_DATABASE'!K63)), "Tối Ưu", "Có Thể Dùng")</f>
        <v/>
      </c>
      <c r="D66" s="113">
        <f>IF(ISNUMBER(SEARCH("biệt thự",'01_MASTER_DATABASE'!K63)), "Tối Ưu", "Có Thể Dùng")</f>
        <v/>
      </c>
      <c r="E66" s="113">
        <f>IF(ISNUMBER(SEARCH("nghỉ dưỡng",'01_MASTER_DATABASE'!K63)), "Tối Ưu", "Có Thể Dùng")</f>
        <v/>
      </c>
      <c r="F66" s="113">
        <f>IF(ISNUMBER(SEARCH("chung cư",'01_MASTER_DATABASE'!K63)), "Tối Ưu", "Có Thể Dùng")</f>
        <v/>
      </c>
      <c r="G66" s="113">
        <f>IF(ISNUMBER(SEARCH("văn phòng",'01_MASTER_DATABASE'!K63)), "Tối Ưu", "Có Thể Dùng")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3">
        <f>IF(ISNUMBER(SEARCH("nhà phố",'01_MASTER_DATABASE'!K64)), "Tối Ưu", "Có Thể Dùng")</f>
        <v/>
      </c>
      <c r="D67" s="113">
        <f>IF(ISNUMBER(SEARCH("biệt thự",'01_MASTER_DATABASE'!K64)), "Tối Ưu", "Có Thể Dùng")</f>
        <v/>
      </c>
      <c r="E67" s="113">
        <f>IF(ISNUMBER(SEARCH("nghỉ dưỡng",'01_MASTER_DATABASE'!K64)), "Tối Ưu", "Có Thể Dùng")</f>
        <v/>
      </c>
      <c r="F67" s="113">
        <f>IF(ISNUMBER(SEARCH("chung cư",'01_MASTER_DATABASE'!K64)), "Tối Ưu", "Có Thể Dùng")</f>
        <v/>
      </c>
      <c r="G67" s="113">
        <f>IF(ISNUMBER(SEARCH("văn phòng",'01_MASTER_DATABASE'!K64)), "Tối Ưu", "Có Thể Dùng")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3">
        <f>IF(ISNUMBER(SEARCH("nhà phố",'01_MASTER_DATABASE'!K65)), "Tối Ưu", "Có Thể Dùng")</f>
        <v/>
      </c>
      <c r="D68" s="113">
        <f>IF(ISNUMBER(SEARCH("biệt thự",'01_MASTER_DATABASE'!K65)), "Tối Ưu", "Có Thể Dùng")</f>
        <v/>
      </c>
      <c r="E68" s="113">
        <f>IF(ISNUMBER(SEARCH("nghỉ dưỡng",'01_MASTER_DATABASE'!K65)), "Tối Ưu", "Có Thể Dùng")</f>
        <v/>
      </c>
      <c r="F68" s="113">
        <f>IF(ISNUMBER(SEARCH("chung cư",'01_MASTER_DATABASE'!K65)), "Tối Ưu", "Có Thể Dùng")</f>
        <v/>
      </c>
      <c r="G68" s="113">
        <f>IF(ISNUMBER(SEARCH("văn phòng",'01_MASTER_DATABASE'!K65)), "Tối Ưu", "Có Thể Dùng")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3">
        <f>IF(ISNUMBER(SEARCH("nhà phố",'01_MASTER_DATABASE'!K66)), "Tối Ưu", "Có Thể Dùng")</f>
        <v/>
      </c>
      <c r="D69" s="113">
        <f>IF(ISNUMBER(SEARCH("biệt thự",'01_MASTER_DATABASE'!K66)), "Tối Ưu", "Có Thể Dùng")</f>
        <v/>
      </c>
      <c r="E69" s="113">
        <f>IF(ISNUMBER(SEARCH("nghỉ dưỡng",'01_MASTER_DATABASE'!K66)), "Tối Ưu", "Có Thể Dùng")</f>
        <v/>
      </c>
      <c r="F69" s="113">
        <f>IF(ISNUMBER(SEARCH("chung cư",'01_MASTER_DATABASE'!K66)), "Tối Ưu", "Có Thể Dùng")</f>
        <v/>
      </c>
      <c r="G69" s="113">
        <f>IF(ISNUMBER(SEARCH("văn phòng",'01_MASTER_DATABASE'!K66)), "Tối Ưu", "Có Thể Dùng")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3">
        <f>IF(ISNUMBER(SEARCH("nhà phố",'01_MASTER_DATABASE'!K67)), "Tối Ưu", "Có Thể Dùng")</f>
        <v/>
      </c>
      <c r="D70" s="113">
        <f>IF(ISNUMBER(SEARCH("biệt thự",'01_MASTER_DATABASE'!K67)), "Tối Ưu", "Có Thể Dùng")</f>
        <v/>
      </c>
      <c r="E70" s="113">
        <f>IF(ISNUMBER(SEARCH("nghỉ dưỡng",'01_MASTER_DATABASE'!K67)), "Tối Ưu", "Có Thể Dùng")</f>
        <v/>
      </c>
      <c r="F70" s="113">
        <f>IF(ISNUMBER(SEARCH("chung cư",'01_MASTER_DATABASE'!K67)), "Tối Ưu", "Có Thể Dùng")</f>
        <v/>
      </c>
      <c r="G70" s="113">
        <f>IF(ISNUMBER(SEARCH("văn phòng",'01_MASTER_DATABASE'!K67)), "Tối Ưu", "Có Thể Dùng")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3">
        <f>IF(ISNUMBER(SEARCH("nhà phố",'01_MASTER_DATABASE'!K68)), "Tối Ưu", "Có Thể Dùng")</f>
        <v/>
      </c>
      <c r="D71" s="113">
        <f>IF(ISNUMBER(SEARCH("biệt thự",'01_MASTER_DATABASE'!K68)), "Tối Ưu", "Có Thể Dùng")</f>
        <v/>
      </c>
      <c r="E71" s="113">
        <f>IF(ISNUMBER(SEARCH("nghỉ dưỡng",'01_MASTER_DATABASE'!K68)), "Tối Ưu", "Có Thể Dùng")</f>
        <v/>
      </c>
      <c r="F71" s="113">
        <f>IF(ISNUMBER(SEARCH("chung cư",'01_MASTER_DATABASE'!K68)), "Tối Ưu", "Có Thể Dùng")</f>
        <v/>
      </c>
      <c r="G71" s="113">
        <f>IF(ISNUMBER(SEARCH("văn phòng",'01_MASTER_DATABASE'!K68)), "Tối Ưu", "Có Thể Dùng")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3">
        <f>IF(ISNUMBER(SEARCH("nhà phố",'01_MASTER_DATABASE'!K69)), "Tối Ưu", "Có Thể Dùng")</f>
        <v/>
      </c>
      <c r="D72" s="113">
        <f>IF(ISNUMBER(SEARCH("biệt thự",'01_MASTER_DATABASE'!K69)), "Tối Ưu", "Có Thể Dùng")</f>
        <v/>
      </c>
      <c r="E72" s="113">
        <f>IF(ISNUMBER(SEARCH("nghỉ dưỡng",'01_MASTER_DATABASE'!K69)), "Tối Ưu", "Có Thể Dùng")</f>
        <v/>
      </c>
      <c r="F72" s="113">
        <f>IF(ISNUMBER(SEARCH("chung cư",'01_MASTER_DATABASE'!K69)), "Tối Ưu", "Có Thể Dùng")</f>
        <v/>
      </c>
      <c r="G72" s="113">
        <f>IF(ISNUMBER(SEARCH("văn phòng",'01_MASTER_DATABASE'!K69)), "Tối Ưu", "Có Thể Dùng")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3">
        <f>IF(ISNUMBER(SEARCH("nhà phố",'01_MASTER_DATABASE'!K70)), "Tối Ưu", "Có Thể Dùng")</f>
        <v/>
      </c>
      <c r="D73" s="113">
        <f>IF(ISNUMBER(SEARCH("biệt thự",'01_MASTER_DATABASE'!K70)), "Tối Ưu", "Có Thể Dùng")</f>
        <v/>
      </c>
      <c r="E73" s="113">
        <f>IF(ISNUMBER(SEARCH("nghỉ dưỡng",'01_MASTER_DATABASE'!K70)), "Tối Ưu", "Có Thể Dùng")</f>
        <v/>
      </c>
      <c r="F73" s="113">
        <f>IF(ISNUMBER(SEARCH("chung cư",'01_MASTER_DATABASE'!K70)), "Tối Ưu", "Có Thể Dùng")</f>
        <v/>
      </c>
      <c r="G73" s="113">
        <f>IF(ISNUMBER(SEARCH("văn phòng",'01_MASTER_DATABASE'!K70)), "Tối Ưu", "Có Thể Dùng")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3">
        <f>IF(ISNUMBER(SEARCH("nhà phố",'01_MASTER_DATABASE'!K71)), "Tối Ưu", "Có Thể Dùng")</f>
        <v/>
      </c>
      <c r="D74" s="113">
        <f>IF(ISNUMBER(SEARCH("biệt thự",'01_MASTER_DATABASE'!K71)), "Tối Ưu", "Có Thể Dùng")</f>
        <v/>
      </c>
      <c r="E74" s="113">
        <f>IF(ISNUMBER(SEARCH("nghỉ dưỡng",'01_MASTER_DATABASE'!K71)), "Tối Ưu", "Có Thể Dùng")</f>
        <v/>
      </c>
      <c r="F74" s="113">
        <f>IF(ISNUMBER(SEARCH("chung cư",'01_MASTER_DATABASE'!K71)), "Tối Ưu", "Có Thể Dùng")</f>
        <v/>
      </c>
      <c r="G74" s="113">
        <f>IF(ISNUMBER(SEARCH("văn phòng",'01_MASTER_DATABASE'!K71)), "Tối Ưu", "Có Thể Dùng")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3">
        <f>IF(ISNUMBER(SEARCH("nhà phố",'01_MASTER_DATABASE'!K72)), "Tối Ưu", "Có Thể Dùng")</f>
        <v/>
      </c>
      <c r="D75" s="113">
        <f>IF(ISNUMBER(SEARCH("biệt thự",'01_MASTER_DATABASE'!K72)), "Tối Ưu", "Có Thể Dùng")</f>
        <v/>
      </c>
      <c r="E75" s="113">
        <f>IF(ISNUMBER(SEARCH("nghỉ dưỡng",'01_MASTER_DATABASE'!K72)), "Tối Ưu", "Có Thể Dùng")</f>
        <v/>
      </c>
      <c r="F75" s="113">
        <f>IF(ISNUMBER(SEARCH("chung cư",'01_MASTER_DATABASE'!K72)), "Tối Ưu", "Có Thể Dùng")</f>
        <v/>
      </c>
      <c r="G75" s="113">
        <f>IF(ISNUMBER(SEARCH("văn phòng",'01_MASTER_DATABASE'!K72)), "Tối Ưu", "Có Thể Dùng")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3">
        <f>IF(ISNUMBER(SEARCH("nhà phố",'01_MASTER_DATABASE'!K73)), "Tối Ưu", "Có Thể Dùng")</f>
        <v/>
      </c>
      <c r="D76" s="113">
        <f>IF(ISNUMBER(SEARCH("biệt thự",'01_MASTER_DATABASE'!K73)), "Tối Ưu", "Có Thể Dùng")</f>
        <v/>
      </c>
      <c r="E76" s="113">
        <f>IF(ISNUMBER(SEARCH("nghỉ dưỡng",'01_MASTER_DATABASE'!K73)), "Tối Ưu", "Có Thể Dùng")</f>
        <v/>
      </c>
      <c r="F76" s="113">
        <f>IF(ISNUMBER(SEARCH("chung cư",'01_MASTER_DATABASE'!K73)), "Tối Ưu", "Có Thể Dùng")</f>
        <v/>
      </c>
      <c r="G76" s="113">
        <f>IF(ISNUMBER(SEARCH("văn phòng",'01_MASTER_DATABASE'!K73)), "Tối Ưu", "Có Thể Dùng")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3">
        <f>IF(ISNUMBER(SEARCH("nhà phố",'01_MASTER_DATABASE'!K74)), "Tối Ưu", "Có Thể Dùng")</f>
        <v/>
      </c>
      <c r="D77" s="113">
        <f>IF(ISNUMBER(SEARCH("biệt thự",'01_MASTER_DATABASE'!K74)), "Tối Ưu", "Có Thể Dùng")</f>
        <v/>
      </c>
      <c r="E77" s="113">
        <f>IF(ISNUMBER(SEARCH("nghỉ dưỡng",'01_MASTER_DATABASE'!K74)), "Tối Ưu", "Có Thể Dùng")</f>
        <v/>
      </c>
      <c r="F77" s="113">
        <f>IF(ISNUMBER(SEARCH("chung cư",'01_MASTER_DATABASE'!K74)), "Tối Ưu", "Có Thể Dùng")</f>
        <v/>
      </c>
      <c r="G77" s="113">
        <f>IF(ISNUMBER(SEARCH("văn phòng",'01_MASTER_DATABASE'!K74)), "Tối Ưu", "Có Thể Dùng")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3">
        <f>IF(ISNUMBER(SEARCH("nhà phố",'01_MASTER_DATABASE'!K75)), "Tối Ưu", "Có Thể Dùng")</f>
        <v/>
      </c>
      <c r="D78" s="113">
        <f>IF(ISNUMBER(SEARCH("biệt thự",'01_MASTER_DATABASE'!K75)), "Tối Ưu", "Có Thể Dùng")</f>
        <v/>
      </c>
      <c r="E78" s="113">
        <f>IF(ISNUMBER(SEARCH("nghỉ dưỡng",'01_MASTER_DATABASE'!K75)), "Tối Ưu", "Có Thể Dùng")</f>
        <v/>
      </c>
      <c r="F78" s="113">
        <f>IF(ISNUMBER(SEARCH("chung cư",'01_MASTER_DATABASE'!K75)), "Tối Ưu", "Có Thể Dùng")</f>
        <v/>
      </c>
      <c r="G78" s="113">
        <f>IF(ISNUMBER(SEARCH("văn phòng",'01_MASTER_DATABASE'!K75)), "Tối Ưu", "Có Thể Dùng")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3">
        <f>IF(ISNUMBER(SEARCH("nhà phố",'01_MASTER_DATABASE'!K76)), "Tối Ưu", "Có Thể Dùng")</f>
        <v/>
      </c>
      <c r="D79" s="113">
        <f>IF(ISNUMBER(SEARCH("biệt thự",'01_MASTER_DATABASE'!K76)), "Tối Ưu", "Có Thể Dùng")</f>
        <v/>
      </c>
      <c r="E79" s="113">
        <f>IF(ISNUMBER(SEARCH("nghỉ dưỡng",'01_MASTER_DATABASE'!K76)), "Tối Ưu", "Có Thể Dùng")</f>
        <v/>
      </c>
      <c r="F79" s="113">
        <f>IF(ISNUMBER(SEARCH("chung cư",'01_MASTER_DATABASE'!K76)), "Tối Ưu", "Có Thể Dùng")</f>
        <v/>
      </c>
      <c r="G79" s="113">
        <f>IF(ISNUMBER(SEARCH("văn phòng",'01_MASTER_DATABASE'!K76)), "Tối Ưu", "Có Thể Dùng")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3">
        <f>IF(ISNUMBER(SEARCH("nhà phố",'01_MASTER_DATABASE'!K77)), "Tối Ưu", "Có Thể Dùng")</f>
        <v/>
      </c>
      <c r="D80" s="113">
        <f>IF(ISNUMBER(SEARCH("biệt thự",'01_MASTER_DATABASE'!K77)), "Tối Ưu", "Có Thể Dùng")</f>
        <v/>
      </c>
      <c r="E80" s="113">
        <f>IF(ISNUMBER(SEARCH("nghỉ dưỡng",'01_MASTER_DATABASE'!K77)), "Tối Ưu", "Có Thể Dùng")</f>
        <v/>
      </c>
      <c r="F80" s="113">
        <f>IF(ISNUMBER(SEARCH("chung cư",'01_MASTER_DATABASE'!K77)), "Tối Ưu", "Có Thể Dùng")</f>
        <v/>
      </c>
      <c r="G80" s="113">
        <f>IF(ISNUMBER(SEARCH("văn phòng",'01_MASTER_DATABASE'!K77)), "Tối Ưu", "Có Thể Dùng")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3">
        <f>IF(ISNUMBER(SEARCH("nhà phố",'01_MASTER_DATABASE'!K78)), "Tối Ưu", "Có Thể Dùng")</f>
        <v/>
      </c>
      <c r="D81" s="113">
        <f>IF(ISNUMBER(SEARCH("biệt thự",'01_MASTER_DATABASE'!K78)), "Tối Ưu", "Có Thể Dùng")</f>
        <v/>
      </c>
      <c r="E81" s="113">
        <f>IF(ISNUMBER(SEARCH("nghỉ dưỡng",'01_MASTER_DATABASE'!K78)), "Tối Ưu", "Có Thể Dùng")</f>
        <v/>
      </c>
      <c r="F81" s="113">
        <f>IF(ISNUMBER(SEARCH("chung cư",'01_MASTER_DATABASE'!K78)), "Tối Ưu", "Có Thể Dùng")</f>
        <v/>
      </c>
      <c r="G81" s="113">
        <f>IF(ISNUMBER(SEARCH("văn phòng",'01_MASTER_DATABASE'!K78)), "Tối Ưu", "Có Thể Dùng")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3">
        <f>IF(ISNUMBER(SEARCH("nhà phố",'01_MASTER_DATABASE'!K79)), "Tối Ưu", "Có Thể Dùng")</f>
        <v/>
      </c>
      <c r="D82" s="113">
        <f>IF(ISNUMBER(SEARCH("biệt thự",'01_MASTER_DATABASE'!K79)), "Tối Ưu", "Có Thể Dùng")</f>
        <v/>
      </c>
      <c r="E82" s="113">
        <f>IF(ISNUMBER(SEARCH("nghỉ dưỡng",'01_MASTER_DATABASE'!K79)), "Tối Ưu", "Có Thể Dùng")</f>
        <v/>
      </c>
      <c r="F82" s="113">
        <f>IF(ISNUMBER(SEARCH("chung cư",'01_MASTER_DATABASE'!K79)), "Tối Ưu", "Có Thể Dùng")</f>
        <v/>
      </c>
      <c r="G82" s="113">
        <f>IF(ISNUMBER(SEARCH("văn phòng",'01_MASTER_DATABASE'!K79)), "Tối Ưu", "Có Thể Dùng")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3">
        <f>IF(ISNUMBER(SEARCH("nhà phố",'01_MASTER_DATABASE'!K80)), "Tối Ưu", "Có Thể Dùng")</f>
        <v/>
      </c>
      <c r="D83" s="113">
        <f>IF(ISNUMBER(SEARCH("biệt thự",'01_MASTER_DATABASE'!K80)), "Tối Ưu", "Có Thể Dùng")</f>
        <v/>
      </c>
      <c r="E83" s="113">
        <f>IF(ISNUMBER(SEARCH("nghỉ dưỡng",'01_MASTER_DATABASE'!K80)), "Tối Ưu", "Có Thể Dùng")</f>
        <v/>
      </c>
      <c r="F83" s="113">
        <f>IF(ISNUMBER(SEARCH("chung cư",'01_MASTER_DATABASE'!K80)), "Tối Ưu", "Có Thể Dùng")</f>
        <v/>
      </c>
      <c r="G83" s="113">
        <f>IF(ISNUMBER(SEARCH("văn phòng",'01_MASTER_DATABASE'!K80)), "Tối Ưu", "Có Thể Dùng")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3">
        <f>IF(ISNUMBER(SEARCH("nhà phố",'01_MASTER_DATABASE'!K81)), "Tối Ưu", "Có Thể Dùng")</f>
        <v/>
      </c>
      <c r="D84" s="113">
        <f>IF(ISNUMBER(SEARCH("biệt thự",'01_MASTER_DATABASE'!K81)), "Tối Ưu", "Có Thể Dùng")</f>
        <v/>
      </c>
      <c r="E84" s="113">
        <f>IF(ISNUMBER(SEARCH("nghỉ dưỡng",'01_MASTER_DATABASE'!K81)), "Tối Ưu", "Có Thể Dùng")</f>
        <v/>
      </c>
      <c r="F84" s="113">
        <f>IF(ISNUMBER(SEARCH("chung cư",'01_MASTER_DATABASE'!K81)), "Tối Ưu", "Có Thể Dùng")</f>
        <v/>
      </c>
      <c r="G84" s="113">
        <f>IF(ISNUMBER(SEARCH("văn phòng",'01_MASTER_DATABASE'!K81)), "Tối Ưu", "Có Thể Dùng")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3">
        <f>IF(ISNUMBER(SEARCH("nhà phố",'01_MASTER_DATABASE'!K82)), "Tối Ưu", "Có Thể Dùng")</f>
        <v/>
      </c>
      <c r="D85" s="113">
        <f>IF(ISNUMBER(SEARCH("biệt thự",'01_MASTER_DATABASE'!K82)), "Tối Ưu", "Có Thể Dùng")</f>
        <v/>
      </c>
      <c r="E85" s="113">
        <f>IF(ISNUMBER(SEARCH("nghỉ dưỡng",'01_MASTER_DATABASE'!K82)), "Tối Ưu", "Có Thể Dùng")</f>
        <v/>
      </c>
      <c r="F85" s="113">
        <f>IF(ISNUMBER(SEARCH("chung cư",'01_MASTER_DATABASE'!K82)), "Tối Ưu", "Có Thể Dùng")</f>
        <v/>
      </c>
      <c r="G85" s="113">
        <f>IF(ISNUMBER(SEARCH("văn phòng",'01_MASTER_DATABASE'!K82)), "Tối Ưu", "Có Thể Dùng")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3">
        <f>IF(ISNUMBER(SEARCH("nhà phố",'01_MASTER_DATABASE'!K83)), "Tối Ưu", "Có Thể Dùng")</f>
        <v/>
      </c>
      <c r="D86" s="113">
        <f>IF(ISNUMBER(SEARCH("biệt thự",'01_MASTER_DATABASE'!K83)), "Tối Ưu", "Có Thể Dùng")</f>
        <v/>
      </c>
      <c r="E86" s="113">
        <f>IF(ISNUMBER(SEARCH("nghỉ dưỡng",'01_MASTER_DATABASE'!K83)), "Tối Ưu", "Có Thể Dùng")</f>
        <v/>
      </c>
      <c r="F86" s="113">
        <f>IF(ISNUMBER(SEARCH("chung cư",'01_MASTER_DATABASE'!K83)), "Tối Ưu", "Có Thể Dùng")</f>
        <v/>
      </c>
      <c r="G86" s="113">
        <f>IF(ISNUMBER(SEARCH("văn phòng",'01_MASTER_DATABASE'!K83)), "Tối Ưu", "Có Thể Dùng")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3">
        <f>IF(ISNUMBER(SEARCH("nhà phố",'01_MASTER_DATABASE'!K84)), "Tối Ưu", "Có Thể Dùng")</f>
        <v/>
      </c>
      <c r="D87" s="113">
        <f>IF(ISNUMBER(SEARCH("biệt thự",'01_MASTER_DATABASE'!K84)), "Tối Ưu", "Có Thể Dùng")</f>
        <v/>
      </c>
      <c r="E87" s="113">
        <f>IF(ISNUMBER(SEARCH("nghỉ dưỡng",'01_MASTER_DATABASE'!K84)), "Tối Ưu", "Có Thể Dùng")</f>
        <v/>
      </c>
      <c r="F87" s="113">
        <f>IF(ISNUMBER(SEARCH("chung cư",'01_MASTER_DATABASE'!K84)), "Tối Ưu", "Có Thể Dùng")</f>
        <v/>
      </c>
      <c r="G87" s="113">
        <f>IF(ISNUMBER(SEARCH("văn phòng",'01_MASTER_DATABASE'!K84)), "Tối Ưu", "Có Thể Dùng")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3">
        <f>IF(ISNUMBER(SEARCH("nhà phố",'01_MASTER_DATABASE'!K85)), "Tối Ưu", "Có Thể Dùng")</f>
        <v/>
      </c>
      <c r="D88" s="113">
        <f>IF(ISNUMBER(SEARCH("biệt thự",'01_MASTER_DATABASE'!K85)), "Tối Ưu", "Có Thể Dùng")</f>
        <v/>
      </c>
      <c r="E88" s="113">
        <f>IF(ISNUMBER(SEARCH("nghỉ dưỡng",'01_MASTER_DATABASE'!K85)), "Tối Ưu", "Có Thể Dùng")</f>
        <v/>
      </c>
      <c r="F88" s="113">
        <f>IF(ISNUMBER(SEARCH("chung cư",'01_MASTER_DATABASE'!K85)), "Tối Ưu", "Có Thể Dùng")</f>
        <v/>
      </c>
      <c r="G88" s="113">
        <f>IF(ISNUMBER(SEARCH("văn phòng",'01_MASTER_DATABASE'!K85)), "Tối Ưu", "Có Thể Dùng")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3">
        <f>IF(ISNUMBER(SEARCH("nhà phố",'01_MASTER_DATABASE'!K86)), "Tối Ưu", "Có Thể Dùng")</f>
        <v/>
      </c>
      <c r="D89" s="113">
        <f>IF(ISNUMBER(SEARCH("biệt thự",'01_MASTER_DATABASE'!K86)), "Tối Ưu", "Có Thể Dùng")</f>
        <v/>
      </c>
      <c r="E89" s="113">
        <f>IF(ISNUMBER(SEARCH("nghỉ dưỡng",'01_MASTER_DATABASE'!K86)), "Tối Ưu", "Có Thể Dùng")</f>
        <v/>
      </c>
      <c r="F89" s="113">
        <f>IF(ISNUMBER(SEARCH("chung cư",'01_MASTER_DATABASE'!K86)), "Tối Ưu", "Có Thể Dùng")</f>
        <v/>
      </c>
      <c r="G89" s="113">
        <f>IF(ISNUMBER(SEARCH("văn phòng",'01_MASTER_DATABASE'!K86)), "Tối Ưu", "Có Thể Dùng")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3">
        <f>IF(ISNUMBER(SEARCH("nhà phố",'01_MASTER_DATABASE'!K87)), "Tối Ưu", "Có Thể Dùng")</f>
        <v/>
      </c>
      <c r="D90" s="113">
        <f>IF(ISNUMBER(SEARCH("biệt thự",'01_MASTER_DATABASE'!K87)), "Tối Ưu", "Có Thể Dùng")</f>
        <v/>
      </c>
      <c r="E90" s="113">
        <f>IF(ISNUMBER(SEARCH("nghỉ dưỡng",'01_MASTER_DATABASE'!K87)), "Tối Ưu", "Có Thể Dùng")</f>
        <v/>
      </c>
      <c r="F90" s="113">
        <f>IF(ISNUMBER(SEARCH("chung cư",'01_MASTER_DATABASE'!K87)), "Tối Ưu", "Có Thể Dùng")</f>
        <v/>
      </c>
      <c r="G90" s="113">
        <f>IF(ISNUMBER(SEARCH("văn phòng",'01_MASTER_DATABASE'!K87)), "Tối Ưu", "Có Thể Dùng")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3">
        <f>IF(ISNUMBER(SEARCH("nhà phố",'01_MASTER_DATABASE'!K88)), "Tối Ưu", "Có Thể Dùng")</f>
        <v/>
      </c>
      <c r="D91" s="113">
        <f>IF(ISNUMBER(SEARCH("biệt thự",'01_MASTER_DATABASE'!K88)), "Tối Ưu", "Có Thể Dùng")</f>
        <v/>
      </c>
      <c r="E91" s="113">
        <f>IF(ISNUMBER(SEARCH("nghỉ dưỡng",'01_MASTER_DATABASE'!K88)), "Tối Ưu", "Có Thể Dùng")</f>
        <v/>
      </c>
      <c r="F91" s="113">
        <f>IF(ISNUMBER(SEARCH("chung cư",'01_MASTER_DATABASE'!K88)), "Tối Ưu", "Có Thể Dùng")</f>
        <v/>
      </c>
      <c r="G91" s="113">
        <f>IF(ISNUMBER(SEARCH("văn phòng",'01_MASTER_DATABASE'!K88)), "Tối Ưu", "Có Thể Dùng")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3">
        <f>IF(ISNUMBER(SEARCH("nhà phố",'01_MASTER_DATABASE'!K89)), "Tối Ưu", "Có Thể Dùng")</f>
        <v/>
      </c>
      <c r="D92" s="113">
        <f>IF(ISNUMBER(SEARCH("biệt thự",'01_MASTER_DATABASE'!K89)), "Tối Ưu", "Có Thể Dùng")</f>
        <v/>
      </c>
      <c r="E92" s="113">
        <f>IF(ISNUMBER(SEARCH("nghỉ dưỡng",'01_MASTER_DATABASE'!K89)), "Tối Ưu", "Có Thể Dùng")</f>
        <v/>
      </c>
      <c r="F92" s="113">
        <f>IF(ISNUMBER(SEARCH("chung cư",'01_MASTER_DATABASE'!K89)), "Tối Ưu", "Có Thể Dùng")</f>
        <v/>
      </c>
      <c r="G92" s="113">
        <f>IF(ISNUMBER(SEARCH("văn phòng",'01_MASTER_DATABASE'!K89)), "Tối Ưu", "Có Thể Dùng")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3">
        <f>IF(ISNUMBER(SEARCH("nhà phố",'01_MASTER_DATABASE'!K90)), "Tối Ưu", "Có Thể Dùng")</f>
        <v/>
      </c>
      <c r="D93" s="113">
        <f>IF(ISNUMBER(SEARCH("biệt thự",'01_MASTER_DATABASE'!K90)), "Tối Ưu", "Có Thể Dùng")</f>
        <v/>
      </c>
      <c r="E93" s="113">
        <f>IF(ISNUMBER(SEARCH("nghỉ dưỡng",'01_MASTER_DATABASE'!K90)), "Tối Ưu", "Có Thể Dùng")</f>
        <v/>
      </c>
      <c r="F93" s="113">
        <f>IF(ISNUMBER(SEARCH("chung cư",'01_MASTER_DATABASE'!K90)), "Tối Ưu", "Có Thể Dùng")</f>
        <v/>
      </c>
      <c r="G93" s="113">
        <f>IF(ISNUMBER(SEARCH("văn phòng",'01_MASTER_DATABASE'!K90)), "Tối Ưu", "Có Thể Dùng")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3">
        <f>IF(ISNUMBER(SEARCH("nhà phố",'01_MASTER_DATABASE'!K91)), "Tối Ưu", "Có Thể Dùng")</f>
        <v/>
      </c>
      <c r="D94" s="113">
        <f>IF(ISNUMBER(SEARCH("biệt thự",'01_MASTER_DATABASE'!K91)), "Tối Ưu", "Có Thể Dùng")</f>
        <v/>
      </c>
      <c r="E94" s="113">
        <f>IF(ISNUMBER(SEARCH("nghỉ dưỡng",'01_MASTER_DATABASE'!K91)), "Tối Ưu", "Có Thể Dùng")</f>
        <v/>
      </c>
      <c r="F94" s="113">
        <f>IF(ISNUMBER(SEARCH("chung cư",'01_MASTER_DATABASE'!K91)), "Tối Ưu", "Có Thể Dùng")</f>
        <v/>
      </c>
      <c r="G94" s="113">
        <f>IF(ISNUMBER(SEARCH("văn phòng",'01_MASTER_DATABASE'!K91)), "Tối Ưu", "Có Thể Dùng")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3">
        <f>IF(ISNUMBER(SEARCH("nhà phố",'01_MASTER_DATABASE'!K92)), "Tối Ưu", "Có Thể Dùng")</f>
        <v/>
      </c>
      <c r="D95" s="113">
        <f>IF(ISNUMBER(SEARCH("biệt thự",'01_MASTER_DATABASE'!K92)), "Tối Ưu", "Có Thể Dùng")</f>
        <v/>
      </c>
      <c r="E95" s="113">
        <f>IF(ISNUMBER(SEARCH("nghỉ dưỡng",'01_MASTER_DATABASE'!K92)), "Tối Ưu", "Có Thể Dùng")</f>
        <v/>
      </c>
      <c r="F95" s="113">
        <f>IF(ISNUMBER(SEARCH("chung cư",'01_MASTER_DATABASE'!K92)), "Tối Ưu", "Có Thể Dùng")</f>
        <v/>
      </c>
      <c r="G95" s="113">
        <f>IF(ISNUMBER(SEARCH("văn phòng",'01_MASTER_DATABASE'!K92)), "Tối Ưu", "Có Thể Dùng")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3">
        <f>IF(ISNUMBER(SEARCH("nhà phố",'01_MASTER_DATABASE'!K93)), "Tối Ưu", "Có Thể Dùng")</f>
        <v/>
      </c>
      <c r="D96" s="113">
        <f>IF(ISNUMBER(SEARCH("biệt thự",'01_MASTER_DATABASE'!K93)), "Tối Ưu", "Có Thể Dùng")</f>
        <v/>
      </c>
      <c r="E96" s="113">
        <f>IF(ISNUMBER(SEARCH("nghỉ dưỡng",'01_MASTER_DATABASE'!K93)), "Tối Ưu", "Có Thể Dùng")</f>
        <v/>
      </c>
      <c r="F96" s="113">
        <f>IF(ISNUMBER(SEARCH("chung cư",'01_MASTER_DATABASE'!K93)), "Tối Ưu", "Có Thể Dùng")</f>
        <v/>
      </c>
      <c r="G96" s="113">
        <f>IF(ISNUMBER(SEARCH("văn phòng",'01_MASTER_DATABASE'!K93)), "Tối Ưu", "Có Thể Dùng")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3">
        <f>IF(ISNUMBER(SEARCH("nhà phố",'01_MASTER_DATABASE'!K94)), "Tối Ưu", "Có Thể Dùng")</f>
        <v/>
      </c>
      <c r="D97" s="113">
        <f>IF(ISNUMBER(SEARCH("biệt thự",'01_MASTER_DATABASE'!K94)), "Tối Ưu", "Có Thể Dùng")</f>
        <v/>
      </c>
      <c r="E97" s="113">
        <f>IF(ISNUMBER(SEARCH("nghỉ dưỡng",'01_MASTER_DATABASE'!K94)), "Tối Ưu", "Có Thể Dùng")</f>
        <v/>
      </c>
      <c r="F97" s="113">
        <f>IF(ISNUMBER(SEARCH("chung cư",'01_MASTER_DATABASE'!K94)), "Tối Ưu", "Có Thể Dùng")</f>
        <v/>
      </c>
      <c r="G97" s="113">
        <f>IF(ISNUMBER(SEARCH("văn phòng",'01_MASTER_DATABASE'!K94)), "Tối Ưu", "Có Thể Dùng")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3">
        <f>IF(ISNUMBER(SEARCH("nhà phố",'01_MASTER_DATABASE'!K95)), "Tối Ưu", "Có Thể Dùng")</f>
        <v/>
      </c>
      <c r="D98" s="113">
        <f>IF(ISNUMBER(SEARCH("biệt thự",'01_MASTER_DATABASE'!K95)), "Tối Ưu", "Có Thể Dùng")</f>
        <v/>
      </c>
      <c r="E98" s="113">
        <f>IF(ISNUMBER(SEARCH("nghỉ dưỡng",'01_MASTER_DATABASE'!K95)), "Tối Ưu", "Có Thể Dùng")</f>
        <v/>
      </c>
      <c r="F98" s="113">
        <f>IF(ISNUMBER(SEARCH("chung cư",'01_MASTER_DATABASE'!K95)), "Tối Ưu", "Có Thể Dùng")</f>
        <v/>
      </c>
      <c r="G98" s="113">
        <f>IF(ISNUMBER(SEARCH("văn phòng",'01_MASTER_DATABASE'!K95)), "Tối Ưu", "Có Thể Dùng")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3">
        <f>IF(ISNUMBER(SEARCH("nhà phố",'01_MASTER_DATABASE'!K96)), "Tối Ưu", "Có Thể Dùng")</f>
        <v/>
      </c>
      <c r="D99" s="113">
        <f>IF(ISNUMBER(SEARCH("biệt thự",'01_MASTER_DATABASE'!K96)), "Tối Ưu", "Có Thể Dùng")</f>
        <v/>
      </c>
      <c r="E99" s="113">
        <f>IF(ISNUMBER(SEARCH("nghỉ dưỡng",'01_MASTER_DATABASE'!K96)), "Tối Ưu", "Có Thể Dùng")</f>
        <v/>
      </c>
      <c r="F99" s="113">
        <f>IF(ISNUMBER(SEARCH("chung cư",'01_MASTER_DATABASE'!K96)), "Tối Ưu", "Có Thể Dùng")</f>
        <v/>
      </c>
      <c r="G99" s="113">
        <f>IF(ISNUMBER(SEARCH("văn phòng",'01_MASTER_DATABASE'!K96)), "Tối Ưu", "Có Thể Dùng")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3">
        <f>IF(ISNUMBER(SEARCH("nhà phố",'01_MASTER_DATABASE'!K97)), "Tối Ưu", "Có Thể Dùng")</f>
        <v/>
      </c>
      <c r="D100" s="113">
        <f>IF(ISNUMBER(SEARCH("biệt thự",'01_MASTER_DATABASE'!K97)), "Tối Ưu", "Có Thể Dùng")</f>
        <v/>
      </c>
      <c r="E100" s="113">
        <f>IF(ISNUMBER(SEARCH("nghỉ dưỡng",'01_MASTER_DATABASE'!K97)), "Tối Ưu", "Có Thể Dùng")</f>
        <v/>
      </c>
      <c r="F100" s="113">
        <f>IF(ISNUMBER(SEARCH("chung cư",'01_MASTER_DATABASE'!K97)), "Tối Ưu", "Có Thể Dùng")</f>
        <v/>
      </c>
      <c r="G100" s="113">
        <f>IF(ISNUMBER(SEARCH("văn phòng",'01_MASTER_DATABASE'!K97)), "Tối Ưu", "Có Thể Dùng")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3">
        <f>IF(ISNUMBER(SEARCH("nhà phố",'01_MASTER_DATABASE'!K98)), "Tối Ưu", "Có Thể Dùng")</f>
        <v/>
      </c>
      <c r="D101" s="113">
        <f>IF(ISNUMBER(SEARCH("biệt thự",'01_MASTER_DATABASE'!K98)), "Tối Ưu", "Có Thể Dùng")</f>
        <v/>
      </c>
      <c r="E101" s="113">
        <f>IF(ISNUMBER(SEARCH("nghỉ dưỡng",'01_MASTER_DATABASE'!K98)), "Tối Ưu", "Có Thể Dùng")</f>
        <v/>
      </c>
      <c r="F101" s="113">
        <f>IF(ISNUMBER(SEARCH("chung cư",'01_MASTER_DATABASE'!K98)), "Tối Ưu", "Có Thể Dùng")</f>
        <v/>
      </c>
      <c r="G101" s="113">
        <f>IF(ISNUMBER(SEARCH("văn phòng",'01_MASTER_DATABASE'!K98)), "Tối Ưu", "Có Thể Dùng")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3">
        <f>IF(ISNUMBER(SEARCH("nhà phố",'01_MASTER_DATABASE'!K99)), "Tối Ưu", "Có Thể Dùng")</f>
        <v/>
      </c>
      <c r="D102" s="113">
        <f>IF(ISNUMBER(SEARCH("biệt thự",'01_MASTER_DATABASE'!K99)), "Tối Ưu", "Có Thể Dùng")</f>
        <v/>
      </c>
      <c r="E102" s="113">
        <f>IF(ISNUMBER(SEARCH("nghỉ dưỡng",'01_MASTER_DATABASE'!K99)), "Tối Ưu", "Có Thể Dùng")</f>
        <v/>
      </c>
      <c r="F102" s="113">
        <f>IF(ISNUMBER(SEARCH("chung cư",'01_MASTER_DATABASE'!K99)), "Tối Ưu", "Có Thể Dùng")</f>
        <v/>
      </c>
      <c r="G102" s="113">
        <f>IF(ISNUMBER(SEARCH("văn phòng",'01_MASTER_DATABASE'!K99)), "Tối Ưu", "Có Thể Dùng")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3">
        <f>IF(ISNUMBER(SEARCH("nhà phố",'01_MASTER_DATABASE'!K100)), "Tối Ưu", "Có Thể Dùng")</f>
        <v/>
      </c>
      <c r="D103" s="113">
        <f>IF(ISNUMBER(SEARCH("biệt thự",'01_MASTER_DATABASE'!K100)), "Tối Ưu", "Có Thể Dùng")</f>
        <v/>
      </c>
      <c r="E103" s="113">
        <f>IF(ISNUMBER(SEARCH("nghỉ dưỡng",'01_MASTER_DATABASE'!K100)), "Tối Ưu", "Có Thể Dùng")</f>
        <v/>
      </c>
      <c r="F103" s="113">
        <f>IF(ISNUMBER(SEARCH("chung cư",'01_MASTER_DATABASE'!K100)), "Tối Ưu", "Có Thể Dùng")</f>
        <v/>
      </c>
      <c r="G103" s="113">
        <f>IF(ISNUMBER(SEARCH("văn phòng",'01_MASTER_DATABASE'!K100)), "Tối Ưu", "Có Thể Dùng")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3">
        <f>IF(ISNUMBER(SEARCH("nhà phố",'01_MASTER_DATABASE'!K101)), "Tối Ưu", "Có Thể Dùng")</f>
        <v/>
      </c>
      <c r="D104" s="113">
        <f>IF(ISNUMBER(SEARCH("biệt thự",'01_MASTER_DATABASE'!K101)), "Tối Ưu", "Có Thể Dùng")</f>
        <v/>
      </c>
      <c r="E104" s="113">
        <f>IF(ISNUMBER(SEARCH("nghỉ dưỡng",'01_MASTER_DATABASE'!K101)), "Tối Ưu", "Có Thể Dùng")</f>
        <v/>
      </c>
      <c r="F104" s="113">
        <f>IF(ISNUMBER(SEARCH("chung cư",'01_MASTER_DATABASE'!K101)), "Tối Ưu", "Có Thể Dùng")</f>
        <v/>
      </c>
      <c r="G104" s="113">
        <f>IF(ISNUMBER(SEARCH("văn phòng",'01_MASTER_DATABASE'!K101)), "Tối Ưu", "Có Thể Dùng")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3">
        <f>IF(ISNUMBER(SEARCH("nhà phố",'01_MASTER_DATABASE'!K102)), "Tối Ưu", "Có Thể Dùng")</f>
        <v/>
      </c>
      <c r="D105" s="113">
        <f>IF(ISNUMBER(SEARCH("biệt thự",'01_MASTER_DATABASE'!K102)), "Tối Ưu", "Có Thể Dùng")</f>
        <v/>
      </c>
      <c r="E105" s="113">
        <f>IF(ISNUMBER(SEARCH("nghỉ dưỡng",'01_MASTER_DATABASE'!K102)), "Tối Ưu", "Có Thể Dùng")</f>
        <v/>
      </c>
      <c r="F105" s="113">
        <f>IF(ISNUMBER(SEARCH("chung cư",'01_MASTER_DATABASE'!K102)), "Tối Ưu", "Có Thể Dùng")</f>
        <v/>
      </c>
      <c r="G105" s="113">
        <f>IF(ISNUMBER(SEARCH("văn phòng",'01_MASTER_DATABASE'!K102)), "Tối Ưu", "Có Thể Dùng")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3">
        <f>IF(ISNUMBER(SEARCH("nhà phố",'01_MASTER_DATABASE'!K103)), "Tối Ưu", "Có Thể Dùng")</f>
        <v/>
      </c>
      <c r="D106" s="113">
        <f>IF(ISNUMBER(SEARCH("biệt thự",'01_MASTER_DATABASE'!K103)), "Tối Ưu", "Có Thể Dùng")</f>
        <v/>
      </c>
      <c r="E106" s="113">
        <f>IF(ISNUMBER(SEARCH("nghỉ dưỡng",'01_MASTER_DATABASE'!K103)), "Tối Ưu", "Có Thể Dùng")</f>
        <v/>
      </c>
      <c r="F106" s="113">
        <f>IF(ISNUMBER(SEARCH("chung cư",'01_MASTER_DATABASE'!K103)), "Tối Ưu", "Có Thể Dùng")</f>
        <v/>
      </c>
      <c r="G106" s="113">
        <f>IF(ISNUMBER(SEARCH("văn phòng",'01_MASTER_DATABASE'!K103)), "Tối Ưu", "Có Thể Dùng")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3">
        <f>IF(ISNUMBER(SEARCH("nhà phố",'01_MASTER_DATABASE'!K104)), "Tối Ưu", "Có Thể Dùng")</f>
        <v/>
      </c>
      <c r="D107" s="113">
        <f>IF(ISNUMBER(SEARCH("biệt thự",'01_MASTER_DATABASE'!K104)), "Tối Ưu", "Có Thể Dùng")</f>
        <v/>
      </c>
      <c r="E107" s="113">
        <f>IF(ISNUMBER(SEARCH("nghỉ dưỡng",'01_MASTER_DATABASE'!K104)), "Tối Ưu", "Có Thể Dùng")</f>
        <v/>
      </c>
      <c r="F107" s="113">
        <f>IF(ISNUMBER(SEARCH("chung cư",'01_MASTER_DATABASE'!K104)), "Tối Ưu", "Có Thể Dùng")</f>
        <v/>
      </c>
      <c r="G107" s="113">
        <f>IF(ISNUMBER(SEARCH("văn phòng",'01_MASTER_DATABASE'!K104)), "Tối Ưu", "Có Thể Dùng")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3">
        <f>IF(ISNUMBER(SEARCH("nhà phố",'01_MASTER_DATABASE'!K105)), "Tối Ưu", "Có Thể Dùng")</f>
        <v/>
      </c>
      <c r="D108" s="113">
        <f>IF(ISNUMBER(SEARCH("biệt thự",'01_MASTER_DATABASE'!K105)), "Tối Ưu", "Có Thể Dùng")</f>
        <v/>
      </c>
      <c r="E108" s="113">
        <f>IF(ISNUMBER(SEARCH("nghỉ dưỡng",'01_MASTER_DATABASE'!K105)), "Tối Ưu", "Có Thể Dùng")</f>
        <v/>
      </c>
      <c r="F108" s="113">
        <f>IF(ISNUMBER(SEARCH("chung cư",'01_MASTER_DATABASE'!K105)), "Tối Ưu", "Có Thể Dùng")</f>
        <v/>
      </c>
      <c r="G108" s="113">
        <f>IF(ISNUMBER(SEARCH("văn phòng",'01_MASTER_DATABASE'!K105)), "Tối Ưu", "Có Thể Dùng")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3">
        <f>IF(ISNUMBER(SEARCH("nhà phố",'01_MASTER_DATABASE'!K106)), "Tối Ưu", "Có Thể Dùng")</f>
        <v/>
      </c>
      <c r="D109" s="113">
        <f>IF(ISNUMBER(SEARCH("biệt thự",'01_MASTER_DATABASE'!K106)), "Tối Ưu", "Có Thể Dùng")</f>
        <v/>
      </c>
      <c r="E109" s="113">
        <f>IF(ISNUMBER(SEARCH("nghỉ dưỡng",'01_MASTER_DATABASE'!K106)), "Tối Ưu", "Có Thể Dùng")</f>
        <v/>
      </c>
      <c r="F109" s="113">
        <f>IF(ISNUMBER(SEARCH("chung cư",'01_MASTER_DATABASE'!K106)), "Tối Ưu", "Có Thể Dùng")</f>
        <v/>
      </c>
      <c r="G109" s="113">
        <f>IF(ISNUMBER(SEARCH("văn phòng",'01_MASTER_DATABASE'!K106)), "Tối Ưu", "Có Thể Dùng")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3">
        <f>IF(ISNUMBER(SEARCH("nhà phố",'01_MASTER_DATABASE'!K107)), "Tối Ưu", "Có Thể Dùng")</f>
        <v/>
      </c>
      <c r="D110" s="113">
        <f>IF(ISNUMBER(SEARCH("biệt thự",'01_MASTER_DATABASE'!K107)), "Tối Ưu", "Có Thể Dùng")</f>
        <v/>
      </c>
      <c r="E110" s="113">
        <f>IF(ISNUMBER(SEARCH("nghỉ dưỡng",'01_MASTER_DATABASE'!K107)), "Tối Ưu", "Có Thể Dùng")</f>
        <v/>
      </c>
      <c r="F110" s="113">
        <f>IF(ISNUMBER(SEARCH("chung cư",'01_MASTER_DATABASE'!K107)), "Tối Ưu", "Có Thể Dùng")</f>
        <v/>
      </c>
      <c r="G110" s="113">
        <f>IF(ISNUMBER(SEARCH("văn phòng",'01_MASTER_DATABASE'!K107)), "Tối Ưu", "Có Thể Dùng")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3">
        <f>IF(ISNUMBER(SEARCH("nhà phố",'01_MASTER_DATABASE'!K108)), "Tối Ưu", "Có Thể Dùng")</f>
        <v/>
      </c>
      <c r="D111" s="113">
        <f>IF(ISNUMBER(SEARCH("biệt thự",'01_MASTER_DATABASE'!K108)), "Tối Ưu", "Có Thể Dùng")</f>
        <v/>
      </c>
      <c r="E111" s="113">
        <f>IF(ISNUMBER(SEARCH("nghỉ dưỡng",'01_MASTER_DATABASE'!K108)), "Tối Ưu", "Có Thể Dùng")</f>
        <v/>
      </c>
      <c r="F111" s="113">
        <f>IF(ISNUMBER(SEARCH("chung cư",'01_MASTER_DATABASE'!K108)), "Tối Ưu", "Có Thể Dùng")</f>
        <v/>
      </c>
      <c r="G111" s="113">
        <f>IF(ISNUMBER(SEARCH("văn phòng",'01_MASTER_DATABASE'!K108)), "Tối Ưu", "Có Thể Dùng")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3">
        <f>IF(ISNUMBER(SEARCH("nhà phố",'01_MASTER_DATABASE'!K109)), "Tối Ưu", "Có Thể Dùng")</f>
        <v/>
      </c>
      <c r="D112" s="113">
        <f>IF(ISNUMBER(SEARCH("biệt thự",'01_MASTER_DATABASE'!K109)), "Tối Ưu", "Có Thể Dùng")</f>
        <v/>
      </c>
      <c r="E112" s="113">
        <f>IF(ISNUMBER(SEARCH("nghỉ dưỡng",'01_MASTER_DATABASE'!K109)), "Tối Ưu", "Có Thể Dùng")</f>
        <v/>
      </c>
      <c r="F112" s="113">
        <f>IF(ISNUMBER(SEARCH("chung cư",'01_MASTER_DATABASE'!K109)), "Tối Ưu", "Có Thể Dùng")</f>
        <v/>
      </c>
      <c r="G112" s="113">
        <f>IF(ISNUMBER(SEARCH("văn phòng",'01_MASTER_DATABASE'!K109)), "Tối Ưu", "Có Thể Dùng")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3">
        <f>IF(ISNUMBER(SEARCH("nhà phố",'01_MASTER_DATABASE'!K110)), "Tối Ưu", "Có Thể Dùng")</f>
        <v/>
      </c>
      <c r="D113" s="113">
        <f>IF(ISNUMBER(SEARCH("biệt thự",'01_MASTER_DATABASE'!K110)), "Tối Ưu", "Có Thể Dùng")</f>
        <v/>
      </c>
      <c r="E113" s="113">
        <f>IF(ISNUMBER(SEARCH("nghỉ dưỡng",'01_MASTER_DATABASE'!K110)), "Tối Ưu", "Có Thể Dùng")</f>
        <v/>
      </c>
      <c r="F113" s="113">
        <f>IF(ISNUMBER(SEARCH("chung cư",'01_MASTER_DATABASE'!K110)), "Tối Ưu", "Có Thể Dùng")</f>
        <v/>
      </c>
      <c r="G113" s="113">
        <f>IF(ISNUMBER(SEARCH("văn phòng",'01_MASTER_DATABASE'!K110)), "Tối Ưu", "Có Thể Dùng")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3">
        <f>IF(ISNUMBER(SEARCH("nhà phố",'01_MASTER_DATABASE'!K111)), "Tối Ưu", "Có Thể Dùng")</f>
        <v/>
      </c>
      <c r="D114" s="113">
        <f>IF(ISNUMBER(SEARCH("biệt thự",'01_MASTER_DATABASE'!K111)), "Tối Ưu", "Có Thể Dùng")</f>
        <v/>
      </c>
      <c r="E114" s="113">
        <f>IF(ISNUMBER(SEARCH("nghỉ dưỡng",'01_MASTER_DATABASE'!K111)), "Tối Ưu", "Có Thể Dùng")</f>
        <v/>
      </c>
      <c r="F114" s="113">
        <f>IF(ISNUMBER(SEARCH("chung cư",'01_MASTER_DATABASE'!K111)), "Tối Ưu", "Có Thể Dùng")</f>
        <v/>
      </c>
      <c r="G114" s="113">
        <f>IF(ISNUMBER(SEARCH("văn phòng",'01_MASTER_DATABASE'!K111)), "Tối Ưu", "Có Thể Dùng")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3">
        <f>IF(ISNUMBER(SEARCH("nhà phố",'01_MASTER_DATABASE'!K112)), "Tối Ưu", "Có Thể Dùng")</f>
        <v/>
      </c>
      <c r="D115" s="113">
        <f>IF(ISNUMBER(SEARCH("biệt thự",'01_MASTER_DATABASE'!K112)), "Tối Ưu", "Có Thể Dùng")</f>
        <v/>
      </c>
      <c r="E115" s="113">
        <f>IF(ISNUMBER(SEARCH("nghỉ dưỡng",'01_MASTER_DATABASE'!K112)), "Tối Ưu", "Có Thể Dùng")</f>
        <v/>
      </c>
      <c r="F115" s="113">
        <f>IF(ISNUMBER(SEARCH("chung cư",'01_MASTER_DATABASE'!K112)), "Tối Ưu", "Có Thể Dùng")</f>
        <v/>
      </c>
      <c r="G115" s="113">
        <f>IF(ISNUMBER(SEARCH("văn phòng",'01_MASTER_DATABASE'!K112)), "Tối Ưu", "Có Thể Dùng")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3">
        <f>IF(ISNUMBER(SEARCH("nhà phố",'01_MASTER_DATABASE'!K113)), "Tối Ưu", "Có Thể Dùng")</f>
        <v/>
      </c>
      <c r="D116" s="113">
        <f>IF(ISNUMBER(SEARCH("biệt thự",'01_MASTER_DATABASE'!K113)), "Tối Ưu", "Có Thể Dùng")</f>
        <v/>
      </c>
      <c r="E116" s="113">
        <f>IF(ISNUMBER(SEARCH("nghỉ dưỡng",'01_MASTER_DATABASE'!K113)), "Tối Ưu", "Có Thể Dùng")</f>
        <v/>
      </c>
      <c r="F116" s="113">
        <f>IF(ISNUMBER(SEARCH("chung cư",'01_MASTER_DATABASE'!K113)), "Tối Ưu", "Có Thể Dùng")</f>
        <v/>
      </c>
      <c r="G116" s="113">
        <f>IF(ISNUMBER(SEARCH("văn phòng",'01_MASTER_DATABASE'!K113)), "Tối Ưu", "Có Thể Dùng")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3">
        <f>IF(ISNUMBER(SEARCH("nhà phố",'01_MASTER_DATABASE'!K114)), "Tối Ưu", "Có Thể Dùng")</f>
        <v/>
      </c>
      <c r="D117" s="113">
        <f>IF(ISNUMBER(SEARCH("biệt thự",'01_MASTER_DATABASE'!K114)), "Tối Ưu", "Có Thể Dùng")</f>
        <v/>
      </c>
      <c r="E117" s="113">
        <f>IF(ISNUMBER(SEARCH("nghỉ dưỡng",'01_MASTER_DATABASE'!K114)), "Tối Ưu", "Có Thể Dùng")</f>
        <v/>
      </c>
      <c r="F117" s="113">
        <f>IF(ISNUMBER(SEARCH("chung cư",'01_MASTER_DATABASE'!K114)), "Tối Ưu", "Có Thể Dùng")</f>
        <v/>
      </c>
      <c r="G117" s="113">
        <f>IF(ISNUMBER(SEARCH("văn phòng",'01_MASTER_DATABASE'!K114)), "Tối Ưu", "Có Thể Dùng")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3">
        <f>IF(ISNUMBER(SEARCH("nhà phố",'01_MASTER_DATABASE'!K115)), "Tối Ưu", "Có Thể Dùng")</f>
        <v/>
      </c>
      <c r="D118" s="113">
        <f>IF(ISNUMBER(SEARCH("biệt thự",'01_MASTER_DATABASE'!K115)), "Tối Ưu", "Có Thể Dùng")</f>
        <v/>
      </c>
      <c r="E118" s="113">
        <f>IF(ISNUMBER(SEARCH("nghỉ dưỡng",'01_MASTER_DATABASE'!K115)), "Tối Ưu", "Có Thể Dùng")</f>
        <v/>
      </c>
      <c r="F118" s="113">
        <f>IF(ISNUMBER(SEARCH("chung cư",'01_MASTER_DATABASE'!K115)), "Tối Ưu", "Có Thể Dùng")</f>
        <v/>
      </c>
      <c r="G118" s="113">
        <f>IF(ISNUMBER(SEARCH("văn phòng",'01_MASTER_DATABASE'!K115)), "Tối Ưu", "Có Thể Dùng")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3">
        <f>IF(ISNUMBER(SEARCH("nhà phố",'01_MASTER_DATABASE'!K116)), "Tối Ưu", "Có Thể Dùng")</f>
        <v/>
      </c>
      <c r="D119" s="113">
        <f>IF(ISNUMBER(SEARCH("biệt thự",'01_MASTER_DATABASE'!K116)), "Tối Ưu", "Có Thể Dùng")</f>
        <v/>
      </c>
      <c r="E119" s="113">
        <f>IF(ISNUMBER(SEARCH("nghỉ dưỡng",'01_MASTER_DATABASE'!K116)), "Tối Ưu", "Có Thể Dùng")</f>
        <v/>
      </c>
      <c r="F119" s="113">
        <f>IF(ISNUMBER(SEARCH("chung cư",'01_MASTER_DATABASE'!K116)), "Tối Ưu", "Có Thể Dùng")</f>
        <v/>
      </c>
      <c r="G119" s="113">
        <f>IF(ISNUMBER(SEARCH("văn phòng",'01_MASTER_DATABASE'!K116)), "Tối Ưu", "Có Thể Dùng")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3">
        <f>IF(ISNUMBER(SEARCH("nhà phố",'01_MASTER_DATABASE'!K117)), "Tối Ưu", "Có Thể Dùng")</f>
        <v/>
      </c>
      <c r="D120" s="113">
        <f>IF(ISNUMBER(SEARCH("biệt thự",'01_MASTER_DATABASE'!K117)), "Tối Ưu", "Có Thể Dùng")</f>
        <v/>
      </c>
      <c r="E120" s="113">
        <f>IF(ISNUMBER(SEARCH("nghỉ dưỡng",'01_MASTER_DATABASE'!K117)), "Tối Ưu", "Có Thể Dùng")</f>
        <v/>
      </c>
      <c r="F120" s="113">
        <f>IF(ISNUMBER(SEARCH("chung cư",'01_MASTER_DATABASE'!K117)), "Tối Ưu", "Có Thể Dùng")</f>
        <v/>
      </c>
      <c r="G120" s="113">
        <f>IF(ISNUMBER(SEARCH("văn phòng",'01_MASTER_DATABASE'!K117)), "Tối Ưu", "Có Thể Dùng")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3">
        <f>IF(ISNUMBER(SEARCH("nhà phố",'01_MASTER_DATABASE'!K118)), "Tối Ưu", "Có Thể Dùng")</f>
        <v/>
      </c>
      <c r="D121" s="113">
        <f>IF(ISNUMBER(SEARCH("biệt thự",'01_MASTER_DATABASE'!K118)), "Tối Ưu", "Có Thể Dùng")</f>
        <v/>
      </c>
      <c r="E121" s="113">
        <f>IF(ISNUMBER(SEARCH("nghỉ dưỡng",'01_MASTER_DATABASE'!K118)), "Tối Ưu", "Có Thể Dùng")</f>
        <v/>
      </c>
      <c r="F121" s="113">
        <f>IF(ISNUMBER(SEARCH("chung cư",'01_MASTER_DATABASE'!K118)), "Tối Ưu", "Có Thể Dùng")</f>
        <v/>
      </c>
      <c r="G121" s="113">
        <f>IF(ISNUMBER(SEARCH("văn phòng",'01_MASTER_DATABASE'!K118)), "Tối Ưu", "Có Thể Dùng")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3">
        <f>IF(ISNUMBER(SEARCH("nhà phố",'01_MASTER_DATABASE'!K119)), "Tối Ưu", "Có Thể Dùng")</f>
        <v/>
      </c>
      <c r="D122" s="113">
        <f>IF(ISNUMBER(SEARCH("biệt thự",'01_MASTER_DATABASE'!K119)), "Tối Ưu", "Có Thể Dùng")</f>
        <v/>
      </c>
      <c r="E122" s="113">
        <f>IF(ISNUMBER(SEARCH("nghỉ dưỡng",'01_MASTER_DATABASE'!K119)), "Tối Ưu", "Có Thể Dùng")</f>
        <v/>
      </c>
      <c r="F122" s="113">
        <f>IF(ISNUMBER(SEARCH("chung cư",'01_MASTER_DATABASE'!K119)), "Tối Ưu", "Có Thể Dùng")</f>
        <v/>
      </c>
      <c r="G122" s="113">
        <f>IF(ISNUMBER(SEARCH("văn phòng",'01_MASTER_DATABASE'!K119)), "Tối Ưu", "Có Thể Dùng")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3">
        <f>IF(ISNUMBER(SEARCH("nhà phố",'01_MASTER_DATABASE'!K120)), "Tối Ưu", "Có Thể Dùng")</f>
        <v/>
      </c>
      <c r="D123" s="113">
        <f>IF(ISNUMBER(SEARCH("biệt thự",'01_MASTER_DATABASE'!K120)), "Tối Ưu", "Có Thể Dùng")</f>
        <v/>
      </c>
      <c r="E123" s="113">
        <f>IF(ISNUMBER(SEARCH("nghỉ dưỡng",'01_MASTER_DATABASE'!K120)), "Tối Ưu", "Có Thể Dùng")</f>
        <v/>
      </c>
      <c r="F123" s="113">
        <f>IF(ISNUMBER(SEARCH("chung cư",'01_MASTER_DATABASE'!K120)), "Tối Ưu", "Có Thể Dùng")</f>
        <v/>
      </c>
      <c r="G123" s="113">
        <f>IF(ISNUMBER(SEARCH("văn phòng",'01_MASTER_DATABASE'!K120)), "Tối Ưu", "Có Thể Dùng")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3">
        <f>IF(ISNUMBER(SEARCH("nhà phố",'01_MASTER_DATABASE'!K121)), "Tối Ưu", "Có Thể Dùng")</f>
        <v/>
      </c>
      <c r="D124" s="113">
        <f>IF(ISNUMBER(SEARCH("biệt thự",'01_MASTER_DATABASE'!K121)), "Tối Ưu", "Có Thể Dùng")</f>
        <v/>
      </c>
      <c r="E124" s="113">
        <f>IF(ISNUMBER(SEARCH("nghỉ dưỡng",'01_MASTER_DATABASE'!K121)), "Tối Ưu", "Có Thể Dùng")</f>
        <v/>
      </c>
      <c r="F124" s="113">
        <f>IF(ISNUMBER(SEARCH("chung cư",'01_MASTER_DATABASE'!K121)), "Tối Ưu", "Có Thể Dùng")</f>
        <v/>
      </c>
      <c r="G124" s="113">
        <f>IF(ISNUMBER(SEARCH("văn phòng",'01_MASTER_DATABASE'!K121)), "Tối Ưu", "Có Thể Dùng")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3">
        <f>IF(ISNUMBER(SEARCH("nhà phố",'01_MASTER_DATABASE'!K122)), "Tối Ưu", "Có Thể Dùng")</f>
        <v/>
      </c>
      <c r="D125" s="113">
        <f>IF(ISNUMBER(SEARCH("biệt thự",'01_MASTER_DATABASE'!K122)), "Tối Ưu", "Có Thể Dùng")</f>
        <v/>
      </c>
      <c r="E125" s="113">
        <f>IF(ISNUMBER(SEARCH("nghỉ dưỡng",'01_MASTER_DATABASE'!K122)), "Tối Ưu", "Có Thể Dùng")</f>
        <v/>
      </c>
      <c r="F125" s="113">
        <f>IF(ISNUMBER(SEARCH("chung cư",'01_MASTER_DATABASE'!K122)), "Tối Ưu", "Có Thể Dùng")</f>
        <v/>
      </c>
      <c r="G125" s="113">
        <f>IF(ISNUMBER(SEARCH("văn phòng",'01_MASTER_DATABASE'!K122)), "Tối Ưu", "Có Thể Dùng")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3">
        <f>IF(ISNUMBER(SEARCH("nhà phố",'01_MASTER_DATABASE'!K123)), "Tối Ưu", "Có Thể Dùng")</f>
        <v/>
      </c>
      <c r="D126" s="113">
        <f>IF(ISNUMBER(SEARCH("biệt thự",'01_MASTER_DATABASE'!K123)), "Tối Ưu", "Có Thể Dùng")</f>
        <v/>
      </c>
      <c r="E126" s="113">
        <f>IF(ISNUMBER(SEARCH("nghỉ dưỡng",'01_MASTER_DATABASE'!K123)), "Tối Ưu", "Có Thể Dùng")</f>
        <v/>
      </c>
      <c r="F126" s="113">
        <f>IF(ISNUMBER(SEARCH("chung cư",'01_MASTER_DATABASE'!K123)), "Tối Ưu", "Có Thể Dùng")</f>
        <v/>
      </c>
      <c r="G126" s="113">
        <f>IF(ISNUMBER(SEARCH("văn phòng",'01_MASTER_DATABASE'!K123)), "Tối Ưu", "Có Thể Dùng")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3">
        <f>IF(ISNUMBER(SEARCH("nhà phố",'01_MASTER_DATABASE'!K124)), "Tối Ưu", "Có Thể Dùng")</f>
        <v/>
      </c>
      <c r="D127" s="113">
        <f>IF(ISNUMBER(SEARCH("biệt thự",'01_MASTER_DATABASE'!K124)), "Tối Ưu", "Có Thể Dùng")</f>
        <v/>
      </c>
      <c r="E127" s="113">
        <f>IF(ISNUMBER(SEARCH("nghỉ dưỡng",'01_MASTER_DATABASE'!K124)), "Tối Ưu", "Có Thể Dùng")</f>
        <v/>
      </c>
      <c r="F127" s="113">
        <f>IF(ISNUMBER(SEARCH("chung cư",'01_MASTER_DATABASE'!K124)), "Tối Ưu", "Có Thể Dùng")</f>
        <v/>
      </c>
      <c r="G127" s="113">
        <f>IF(ISNUMBER(SEARCH("văn phòng",'01_MASTER_DATABASE'!K124)), "Tối Ưu", "Có Thể Dùng")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3">
        <f>IF(ISNUMBER(SEARCH("nhà phố",'01_MASTER_DATABASE'!K125)), "Tối Ưu", "Có Thể Dùng")</f>
        <v/>
      </c>
      <c r="D128" s="113">
        <f>IF(ISNUMBER(SEARCH("biệt thự",'01_MASTER_DATABASE'!K125)), "Tối Ưu", "Có Thể Dùng")</f>
        <v/>
      </c>
      <c r="E128" s="113">
        <f>IF(ISNUMBER(SEARCH("nghỉ dưỡng",'01_MASTER_DATABASE'!K125)), "Tối Ưu", "Có Thể Dùng")</f>
        <v/>
      </c>
      <c r="F128" s="113">
        <f>IF(ISNUMBER(SEARCH("chung cư",'01_MASTER_DATABASE'!K125)), "Tối Ưu", "Có Thể Dùng")</f>
        <v/>
      </c>
      <c r="G128" s="113">
        <f>IF(ISNUMBER(SEARCH("văn phòng",'01_MASTER_DATABASE'!K125)), "Tối Ưu", "Có Thể Dùng")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3">
        <f>IF(ISNUMBER(SEARCH("nhà phố",'01_MASTER_DATABASE'!K126)), "Tối Ưu", "Có Thể Dùng")</f>
        <v/>
      </c>
      <c r="D129" s="113">
        <f>IF(ISNUMBER(SEARCH("biệt thự",'01_MASTER_DATABASE'!K126)), "Tối Ưu", "Có Thể Dùng")</f>
        <v/>
      </c>
      <c r="E129" s="113">
        <f>IF(ISNUMBER(SEARCH("nghỉ dưỡng",'01_MASTER_DATABASE'!K126)), "Tối Ưu", "Có Thể Dùng")</f>
        <v/>
      </c>
      <c r="F129" s="113">
        <f>IF(ISNUMBER(SEARCH("chung cư",'01_MASTER_DATABASE'!K126)), "Tối Ưu", "Có Thể Dùng")</f>
        <v/>
      </c>
      <c r="G129" s="113">
        <f>IF(ISNUMBER(SEARCH("văn phòng",'01_MASTER_DATABASE'!K126)), "Tối Ưu", "Có Thể Dùng")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3">
        <f>IF(ISNUMBER(SEARCH("nhà phố",'01_MASTER_DATABASE'!K127)), "Tối Ưu", "Có Thể Dùng")</f>
        <v/>
      </c>
      <c r="D130" s="113">
        <f>IF(ISNUMBER(SEARCH("biệt thự",'01_MASTER_DATABASE'!K127)), "Tối Ưu", "Có Thể Dùng")</f>
        <v/>
      </c>
      <c r="E130" s="113">
        <f>IF(ISNUMBER(SEARCH("nghỉ dưỡng",'01_MASTER_DATABASE'!K127)), "Tối Ưu", "Có Thể Dùng")</f>
        <v/>
      </c>
      <c r="F130" s="113">
        <f>IF(ISNUMBER(SEARCH("chung cư",'01_MASTER_DATABASE'!K127)), "Tối Ưu", "Có Thể Dùng")</f>
        <v/>
      </c>
      <c r="G130" s="113">
        <f>IF(ISNUMBER(SEARCH("văn phòng",'01_MASTER_DATABASE'!K127)), "Tối Ưu", "Có Thể Dùng")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3">
        <f>IF(ISNUMBER(SEARCH("nhà phố",'01_MASTER_DATABASE'!K128)), "Tối Ưu", "Có Thể Dùng")</f>
        <v/>
      </c>
      <c r="D131" s="113">
        <f>IF(ISNUMBER(SEARCH("biệt thự",'01_MASTER_DATABASE'!K128)), "Tối Ưu", "Có Thể Dùng")</f>
        <v/>
      </c>
      <c r="E131" s="113">
        <f>IF(ISNUMBER(SEARCH("nghỉ dưỡng",'01_MASTER_DATABASE'!K128)), "Tối Ưu", "Có Thể Dùng")</f>
        <v/>
      </c>
      <c r="F131" s="113">
        <f>IF(ISNUMBER(SEARCH("chung cư",'01_MASTER_DATABASE'!K128)), "Tối Ưu", "Có Thể Dùng")</f>
        <v/>
      </c>
      <c r="G131" s="113">
        <f>IF(ISNUMBER(SEARCH("văn phòng",'01_MASTER_DATABASE'!K128)), "Tối Ưu", "Có Thể Dùng")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3">
        <f>IF(ISNUMBER(SEARCH("nhà phố",'01_MASTER_DATABASE'!K129)), "Tối Ưu", "Có Thể Dùng")</f>
        <v/>
      </c>
      <c r="D132" s="113">
        <f>IF(ISNUMBER(SEARCH("biệt thự",'01_MASTER_DATABASE'!K129)), "Tối Ưu", "Có Thể Dùng")</f>
        <v/>
      </c>
      <c r="E132" s="113">
        <f>IF(ISNUMBER(SEARCH("nghỉ dưỡng",'01_MASTER_DATABASE'!K129)), "Tối Ưu", "Có Thể Dùng")</f>
        <v/>
      </c>
      <c r="F132" s="113">
        <f>IF(ISNUMBER(SEARCH("chung cư",'01_MASTER_DATABASE'!K129)), "Tối Ưu", "Có Thể Dùng")</f>
        <v/>
      </c>
      <c r="G132" s="113">
        <f>IF(ISNUMBER(SEARCH("văn phòng",'01_MASTER_DATABASE'!K129)), "Tối Ưu", "Có Thể Dùng")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3">
        <f>IF(ISNUMBER(SEARCH("nhà phố",'01_MASTER_DATABASE'!K130)), "Tối Ưu", "Có Thể Dùng")</f>
        <v/>
      </c>
      <c r="D133" s="113">
        <f>IF(ISNUMBER(SEARCH("biệt thự",'01_MASTER_DATABASE'!K130)), "Tối Ưu", "Có Thể Dùng")</f>
        <v/>
      </c>
      <c r="E133" s="113">
        <f>IF(ISNUMBER(SEARCH("nghỉ dưỡng",'01_MASTER_DATABASE'!K130)), "Tối Ưu", "Có Thể Dùng")</f>
        <v/>
      </c>
      <c r="F133" s="113">
        <f>IF(ISNUMBER(SEARCH("chung cư",'01_MASTER_DATABASE'!K130)), "Tối Ưu", "Có Thể Dùng")</f>
        <v/>
      </c>
      <c r="G133" s="113">
        <f>IF(ISNUMBER(SEARCH("văn phòng",'01_MASTER_DATABASE'!K130)), "Tối Ưu", "Có Thể Dùng")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3">
        <f>IF(ISNUMBER(SEARCH("nhà phố",'01_MASTER_DATABASE'!K131)), "Tối Ưu", "Có Thể Dùng")</f>
        <v/>
      </c>
      <c r="D134" s="113">
        <f>IF(ISNUMBER(SEARCH("biệt thự",'01_MASTER_DATABASE'!K131)), "Tối Ưu", "Có Thể Dùng")</f>
        <v/>
      </c>
      <c r="E134" s="113">
        <f>IF(ISNUMBER(SEARCH("nghỉ dưỡng",'01_MASTER_DATABASE'!K131)), "Tối Ưu", "Có Thể Dùng")</f>
        <v/>
      </c>
      <c r="F134" s="113">
        <f>IF(ISNUMBER(SEARCH("chung cư",'01_MASTER_DATABASE'!K131)), "Tối Ưu", "Có Thể Dùng")</f>
        <v/>
      </c>
      <c r="G134" s="113">
        <f>IF(ISNUMBER(SEARCH("văn phòng",'01_MASTER_DATABASE'!K131)), "Tối Ưu", "Có Thể Dùng")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3">
        <f>IF(ISNUMBER(SEARCH("nhà phố",'01_MASTER_DATABASE'!K132)), "Tối Ưu", "Có Thể Dùng")</f>
        <v/>
      </c>
      <c r="D135" s="113">
        <f>IF(ISNUMBER(SEARCH("biệt thự",'01_MASTER_DATABASE'!K132)), "Tối Ưu", "Có Thể Dùng")</f>
        <v/>
      </c>
      <c r="E135" s="113">
        <f>IF(ISNUMBER(SEARCH("nghỉ dưỡng",'01_MASTER_DATABASE'!K132)), "Tối Ưu", "Có Thể Dùng")</f>
        <v/>
      </c>
      <c r="F135" s="113">
        <f>IF(ISNUMBER(SEARCH("chung cư",'01_MASTER_DATABASE'!K132)), "Tối Ưu", "Có Thể Dùng")</f>
        <v/>
      </c>
      <c r="G135" s="113">
        <f>IF(ISNUMBER(SEARCH("văn phòng",'01_MASTER_DATABASE'!K132)), "Tối Ưu", "Có Thể Dùng")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3">
        <f>IF(ISNUMBER(SEARCH("nhà phố",'01_MASTER_DATABASE'!K133)), "Tối Ưu", "Có Thể Dùng")</f>
        <v/>
      </c>
      <c r="D136" s="113">
        <f>IF(ISNUMBER(SEARCH("biệt thự",'01_MASTER_DATABASE'!K133)), "Tối Ưu", "Có Thể Dùng")</f>
        <v/>
      </c>
      <c r="E136" s="113">
        <f>IF(ISNUMBER(SEARCH("nghỉ dưỡng",'01_MASTER_DATABASE'!K133)), "Tối Ưu", "Có Thể Dùng")</f>
        <v/>
      </c>
      <c r="F136" s="113">
        <f>IF(ISNUMBER(SEARCH("chung cư",'01_MASTER_DATABASE'!K133)), "Tối Ưu", "Có Thể Dùng")</f>
        <v/>
      </c>
      <c r="G136" s="113">
        <f>IF(ISNUMBER(SEARCH("văn phòng",'01_MASTER_DATABASE'!K133)), "Tối Ưu", "Có Thể Dùng")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3">
        <f>IF(ISNUMBER(SEARCH("nhà phố",'01_MASTER_DATABASE'!K134)), "Tối Ưu", "Có Thể Dùng")</f>
        <v/>
      </c>
      <c r="D137" s="113">
        <f>IF(ISNUMBER(SEARCH("biệt thự",'01_MASTER_DATABASE'!K134)), "Tối Ưu", "Có Thể Dùng")</f>
        <v/>
      </c>
      <c r="E137" s="113">
        <f>IF(ISNUMBER(SEARCH("nghỉ dưỡng",'01_MASTER_DATABASE'!K134)), "Tối Ưu", "Có Thể Dùng")</f>
        <v/>
      </c>
      <c r="F137" s="113">
        <f>IF(ISNUMBER(SEARCH("chung cư",'01_MASTER_DATABASE'!K134)), "Tối Ưu", "Có Thể Dùng")</f>
        <v/>
      </c>
      <c r="G137" s="113">
        <f>IF(ISNUMBER(SEARCH("văn phòng",'01_MASTER_DATABASE'!K134)), "Tối Ưu", "Có Thể Dùng")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3">
        <f>IF(ISNUMBER(SEARCH("nhà phố",'01_MASTER_DATABASE'!K135)), "Tối Ưu", "Có Thể Dùng")</f>
        <v/>
      </c>
      <c r="D138" s="113">
        <f>IF(ISNUMBER(SEARCH("biệt thự",'01_MASTER_DATABASE'!K135)), "Tối Ưu", "Có Thể Dùng")</f>
        <v/>
      </c>
      <c r="E138" s="113">
        <f>IF(ISNUMBER(SEARCH("nghỉ dưỡng",'01_MASTER_DATABASE'!K135)), "Tối Ưu", "Có Thể Dùng")</f>
        <v/>
      </c>
      <c r="F138" s="113">
        <f>IF(ISNUMBER(SEARCH("chung cư",'01_MASTER_DATABASE'!K135)), "Tối Ưu", "Có Thể Dùng")</f>
        <v/>
      </c>
      <c r="G138" s="113">
        <f>IF(ISNUMBER(SEARCH("văn phòng",'01_MASTER_DATABASE'!K135)), "Tối Ưu", "Có Thể Dùng")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3">
        <f>IF(ISNUMBER(SEARCH("nhà phố",'01_MASTER_DATABASE'!K136)), "Tối Ưu", "Có Thể Dùng")</f>
        <v/>
      </c>
      <c r="D139" s="113">
        <f>IF(ISNUMBER(SEARCH("biệt thự",'01_MASTER_DATABASE'!K136)), "Tối Ưu", "Có Thể Dùng")</f>
        <v/>
      </c>
      <c r="E139" s="113">
        <f>IF(ISNUMBER(SEARCH("nghỉ dưỡng",'01_MASTER_DATABASE'!K136)), "Tối Ưu", "Có Thể Dùng")</f>
        <v/>
      </c>
      <c r="F139" s="113">
        <f>IF(ISNUMBER(SEARCH("chung cư",'01_MASTER_DATABASE'!K136)), "Tối Ưu", "Có Thể Dùng")</f>
        <v/>
      </c>
      <c r="G139" s="113">
        <f>IF(ISNUMBER(SEARCH("văn phòng",'01_MASTER_DATABASE'!K136)), "Tối Ưu", "Có Thể Dùng")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3">
        <f>IF(ISNUMBER(SEARCH("nhà phố",'01_MASTER_DATABASE'!K137)), "Tối Ưu", "Có Thể Dùng")</f>
        <v/>
      </c>
      <c r="D140" s="113">
        <f>IF(ISNUMBER(SEARCH("biệt thự",'01_MASTER_DATABASE'!K137)), "Tối Ưu", "Có Thể Dùng")</f>
        <v/>
      </c>
      <c r="E140" s="113">
        <f>IF(ISNUMBER(SEARCH("nghỉ dưỡng",'01_MASTER_DATABASE'!K137)), "Tối Ưu", "Có Thể Dùng")</f>
        <v/>
      </c>
      <c r="F140" s="113">
        <f>IF(ISNUMBER(SEARCH("chung cư",'01_MASTER_DATABASE'!K137)), "Tối Ưu", "Có Thể Dùng")</f>
        <v/>
      </c>
      <c r="G140" s="113">
        <f>IF(ISNUMBER(SEARCH("văn phòng",'01_MASTER_DATABASE'!K137)), "Tối Ưu", "Có Thể Dùng")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3">
        <f>IF(ISNUMBER(SEARCH("nhà phố",'01_MASTER_DATABASE'!K138)), "Tối Ưu", "Có Thể Dùng")</f>
        <v/>
      </c>
      <c r="D141" s="113">
        <f>IF(ISNUMBER(SEARCH("biệt thự",'01_MASTER_DATABASE'!K138)), "Tối Ưu", "Có Thể Dùng")</f>
        <v/>
      </c>
      <c r="E141" s="113">
        <f>IF(ISNUMBER(SEARCH("nghỉ dưỡng",'01_MASTER_DATABASE'!K138)), "Tối Ưu", "Có Thể Dùng")</f>
        <v/>
      </c>
      <c r="F141" s="113">
        <f>IF(ISNUMBER(SEARCH("chung cư",'01_MASTER_DATABASE'!K138)), "Tối Ưu", "Có Thể Dùng")</f>
        <v/>
      </c>
      <c r="G141" s="113">
        <f>IF(ISNUMBER(SEARCH("văn phòng",'01_MASTER_DATABASE'!K138)), "Tối Ưu", "Có Thể Dùng")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3">
        <f>IF(ISNUMBER(SEARCH("nhà phố",'01_MASTER_DATABASE'!K139)), "Tối Ưu", "Có Thể Dùng")</f>
        <v/>
      </c>
      <c r="D142" s="113">
        <f>IF(ISNUMBER(SEARCH("biệt thự",'01_MASTER_DATABASE'!K139)), "Tối Ưu", "Có Thể Dùng")</f>
        <v/>
      </c>
      <c r="E142" s="113">
        <f>IF(ISNUMBER(SEARCH("nghỉ dưỡng",'01_MASTER_DATABASE'!K139)), "Tối Ưu", "Có Thể Dùng")</f>
        <v/>
      </c>
      <c r="F142" s="113">
        <f>IF(ISNUMBER(SEARCH("chung cư",'01_MASTER_DATABASE'!K139)), "Tối Ưu", "Có Thể Dùng")</f>
        <v/>
      </c>
      <c r="G142" s="113">
        <f>IF(ISNUMBER(SEARCH("văn phòng",'01_MASTER_DATABASE'!K139)), "Tối Ưu", "Có Thể Dùng")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3">
        <f>IF(ISNUMBER(SEARCH("nhà phố",'01_MASTER_DATABASE'!K140)), "Tối Ưu", "Có Thể Dùng")</f>
        <v/>
      </c>
      <c r="D143" s="113">
        <f>IF(ISNUMBER(SEARCH("biệt thự",'01_MASTER_DATABASE'!K140)), "Tối Ưu", "Có Thể Dùng")</f>
        <v/>
      </c>
      <c r="E143" s="113">
        <f>IF(ISNUMBER(SEARCH("nghỉ dưỡng",'01_MASTER_DATABASE'!K140)), "Tối Ưu", "Có Thể Dùng")</f>
        <v/>
      </c>
      <c r="F143" s="113">
        <f>IF(ISNUMBER(SEARCH("chung cư",'01_MASTER_DATABASE'!K140)), "Tối Ưu", "Có Thể Dùng")</f>
        <v/>
      </c>
      <c r="G143" s="113">
        <f>IF(ISNUMBER(SEARCH("văn phòng",'01_MASTER_DATABASE'!K140)), "Tối Ưu", "Có Thể Dùng")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3">
        <f>IF(ISNUMBER(SEARCH("nhà phố",'01_MASTER_DATABASE'!K141)), "Tối Ưu", "Có Thể Dùng")</f>
        <v/>
      </c>
      <c r="D144" s="113">
        <f>IF(ISNUMBER(SEARCH("biệt thự",'01_MASTER_DATABASE'!K141)), "Tối Ưu", "Có Thể Dùng")</f>
        <v/>
      </c>
      <c r="E144" s="113">
        <f>IF(ISNUMBER(SEARCH("nghỉ dưỡng",'01_MASTER_DATABASE'!K141)), "Tối Ưu", "Có Thể Dùng")</f>
        <v/>
      </c>
      <c r="F144" s="113">
        <f>IF(ISNUMBER(SEARCH("chung cư",'01_MASTER_DATABASE'!K141)), "Tối Ưu", "Có Thể Dùng")</f>
        <v/>
      </c>
      <c r="G144" s="113">
        <f>IF(ISNUMBER(SEARCH("văn phòng",'01_MASTER_DATABASE'!K141)), "Tối Ưu", "Có Thể Dùng")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3">
        <f>IF(ISNUMBER(SEARCH("nhà phố",'01_MASTER_DATABASE'!K142)), "Tối Ưu", "Có Thể Dùng")</f>
        <v/>
      </c>
      <c r="D145" s="113">
        <f>IF(ISNUMBER(SEARCH("biệt thự",'01_MASTER_DATABASE'!K142)), "Tối Ưu", "Có Thể Dùng")</f>
        <v/>
      </c>
      <c r="E145" s="113">
        <f>IF(ISNUMBER(SEARCH("nghỉ dưỡng",'01_MASTER_DATABASE'!K142)), "Tối Ưu", "Có Thể Dùng")</f>
        <v/>
      </c>
      <c r="F145" s="113">
        <f>IF(ISNUMBER(SEARCH("chung cư",'01_MASTER_DATABASE'!K142)), "Tối Ưu", "Có Thể Dùng")</f>
        <v/>
      </c>
      <c r="G145" s="113">
        <f>IF(ISNUMBER(SEARCH("văn phòng",'01_MASTER_DATABASE'!K142)), "Tối Ưu", "Có Thể Dùng")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3">
        <f>IF(ISNUMBER(SEARCH("nhà phố",'01_MASTER_DATABASE'!K143)), "Tối Ưu", "Có Thể Dùng")</f>
        <v/>
      </c>
      <c r="D146" s="113">
        <f>IF(ISNUMBER(SEARCH("biệt thự",'01_MASTER_DATABASE'!K143)), "Tối Ưu", "Có Thể Dùng")</f>
        <v/>
      </c>
      <c r="E146" s="113">
        <f>IF(ISNUMBER(SEARCH("nghỉ dưỡng",'01_MASTER_DATABASE'!K143)), "Tối Ưu", "Có Thể Dùng")</f>
        <v/>
      </c>
      <c r="F146" s="113">
        <f>IF(ISNUMBER(SEARCH("chung cư",'01_MASTER_DATABASE'!K143)), "Tối Ưu", "Có Thể Dùng")</f>
        <v/>
      </c>
      <c r="G146" s="113">
        <f>IF(ISNUMBER(SEARCH("văn phòng",'01_MASTER_DATABASE'!K143)), "Tối Ưu", "Có Thể Dùng")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3">
        <f>IF(ISNUMBER(SEARCH("nhà phố",'01_MASTER_DATABASE'!K144)), "Tối Ưu", "Có Thể Dùng")</f>
        <v/>
      </c>
      <c r="D147" s="113">
        <f>IF(ISNUMBER(SEARCH("biệt thự",'01_MASTER_DATABASE'!K144)), "Tối Ưu", "Có Thể Dùng")</f>
        <v/>
      </c>
      <c r="E147" s="113">
        <f>IF(ISNUMBER(SEARCH("nghỉ dưỡng",'01_MASTER_DATABASE'!K144)), "Tối Ưu", "Có Thể Dùng")</f>
        <v/>
      </c>
      <c r="F147" s="113">
        <f>IF(ISNUMBER(SEARCH("chung cư",'01_MASTER_DATABASE'!K144)), "Tối Ưu", "Có Thể Dùng")</f>
        <v/>
      </c>
      <c r="G147" s="113">
        <f>IF(ISNUMBER(SEARCH("văn phòng",'01_MASTER_DATABASE'!K144)), "Tối Ưu", "Có Thể Dùng")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3">
        <f>IF(ISNUMBER(SEARCH("nhà phố",'01_MASTER_DATABASE'!K145)), "Tối Ưu", "Có Thể Dùng")</f>
        <v/>
      </c>
      <c r="D148" s="113">
        <f>IF(ISNUMBER(SEARCH("biệt thự",'01_MASTER_DATABASE'!K145)), "Tối Ưu", "Có Thể Dùng")</f>
        <v/>
      </c>
      <c r="E148" s="113">
        <f>IF(ISNUMBER(SEARCH("nghỉ dưỡng",'01_MASTER_DATABASE'!K145)), "Tối Ưu", "Có Thể Dùng")</f>
        <v/>
      </c>
      <c r="F148" s="113">
        <f>IF(ISNUMBER(SEARCH("chung cư",'01_MASTER_DATABASE'!K145)), "Tối Ưu", "Có Thể Dùng")</f>
        <v/>
      </c>
      <c r="G148" s="113">
        <f>IF(ISNUMBER(SEARCH("văn phòng",'01_MASTER_DATABASE'!K145)), "Tối Ưu", "Có Thể Dùng")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3">
        <f>IF(ISNUMBER(SEARCH("nhà phố",'01_MASTER_DATABASE'!K146)), "Tối Ưu", "Có Thể Dùng")</f>
        <v/>
      </c>
      <c r="D149" s="113">
        <f>IF(ISNUMBER(SEARCH("biệt thự",'01_MASTER_DATABASE'!K146)), "Tối Ưu", "Có Thể Dùng")</f>
        <v/>
      </c>
      <c r="E149" s="113">
        <f>IF(ISNUMBER(SEARCH("nghỉ dưỡng",'01_MASTER_DATABASE'!K146)), "Tối Ưu", "Có Thể Dùng")</f>
        <v/>
      </c>
      <c r="F149" s="113">
        <f>IF(ISNUMBER(SEARCH("chung cư",'01_MASTER_DATABASE'!K146)), "Tối Ưu", "Có Thể Dùng")</f>
        <v/>
      </c>
      <c r="G149" s="113">
        <f>IF(ISNUMBER(SEARCH("văn phòng",'01_MASTER_DATABASE'!K146)), "Tối Ưu", "Có Thể Dùng")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3">
        <f>IF(ISNUMBER(SEARCH("nhà phố",'01_MASTER_DATABASE'!K147)), "Tối Ưu", "Có Thể Dùng")</f>
        <v/>
      </c>
      <c r="D150" s="113">
        <f>IF(ISNUMBER(SEARCH("biệt thự",'01_MASTER_DATABASE'!K147)), "Tối Ưu", "Có Thể Dùng")</f>
        <v/>
      </c>
      <c r="E150" s="113">
        <f>IF(ISNUMBER(SEARCH("nghỉ dưỡng",'01_MASTER_DATABASE'!K147)), "Tối Ưu", "Có Thể Dùng")</f>
        <v/>
      </c>
      <c r="F150" s="113">
        <f>IF(ISNUMBER(SEARCH("chung cư",'01_MASTER_DATABASE'!K147)), "Tối Ưu", "Có Thể Dùng")</f>
        <v/>
      </c>
      <c r="G150" s="113">
        <f>IF(ISNUMBER(SEARCH("văn phòng",'01_MASTER_DATABASE'!K147)), "Tối Ưu", "Có Thể Dùng")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3">
        <f>IF(ISNUMBER(SEARCH("nhà phố",'01_MASTER_DATABASE'!K148)), "Tối Ưu", "Có Thể Dùng")</f>
        <v/>
      </c>
      <c r="D151" s="113">
        <f>IF(ISNUMBER(SEARCH("biệt thự",'01_MASTER_DATABASE'!K148)), "Tối Ưu", "Có Thể Dùng")</f>
        <v/>
      </c>
      <c r="E151" s="113">
        <f>IF(ISNUMBER(SEARCH("nghỉ dưỡng",'01_MASTER_DATABASE'!K148)), "Tối Ưu", "Có Thể Dùng")</f>
        <v/>
      </c>
      <c r="F151" s="113">
        <f>IF(ISNUMBER(SEARCH("chung cư",'01_MASTER_DATABASE'!K148)), "Tối Ưu", "Có Thể Dùng")</f>
        <v/>
      </c>
      <c r="G151" s="113">
        <f>IF(ISNUMBER(SEARCH("văn phòng",'01_MASTER_DATABASE'!K148)), "Tối Ưu", "Có Thể Dùng")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3">
        <f>IF(ISNUMBER(SEARCH("nhà phố",'01_MASTER_DATABASE'!K149)), "Tối Ưu", "Có Thể Dùng")</f>
        <v/>
      </c>
      <c r="D152" s="113">
        <f>IF(ISNUMBER(SEARCH("biệt thự",'01_MASTER_DATABASE'!K149)), "Tối Ưu", "Có Thể Dùng")</f>
        <v/>
      </c>
      <c r="E152" s="113">
        <f>IF(ISNUMBER(SEARCH("nghỉ dưỡng",'01_MASTER_DATABASE'!K149)), "Tối Ưu", "Có Thể Dùng")</f>
        <v/>
      </c>
      <c r="F152" s="113">
        <f>IF(ISNUMBER(SEARCH("chung cư",'01_MASTER_DATABASE'!K149)), "Tối Ưu", "Có Thể Dùng")</f>
        <v/>
      </c>
      <c r="G152" s="113">
        <f>IF(ISNUMBER(SEARCH("văn phòng",'01_MASTER_DATABASE'!K149)), "Tối Ưu", "Có Thể Dùng")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3">
        <f>IF(ISNUMBER(SEARCH("nhà phố",'01_MASTER_DATABASE'!K150)), "Tối Ưu", "Có Thể Dùng")</f>
        <v/>
      </c>
      <c r="D153" s="113">
        <f>IF(ISNUMBER(SEARCH("biệt thự",'01_MASTER_DATABASE'!K150)), "Tối Ưu", "Có Thể Dùng")</f>
        <v/>
      </c>
      <c r="E153" s="113">
        <f>IF(ISNUMBER(SEARCH("nghỉ dưỡng",'01_MASTER_DATABASE'!K150)), "Tối Ưu", "Có Thể Dùng")</f>
        <v/>
      </c>
      <c r="F153" s="113">
        <f>IF(ISNUMBER(SEARCH("chung cư",'01_MASTER_DATABASE'!K150)), "Tối Ưu", "Có Thể Dùng")</f>
        <v/>
      </c>
      <c r="G153" s="113">
        <f>IF(ISNUMBER(SEARCH("văn phòng",'01_MASTER_DATABASE'!K150)), "Tối Ưu", "Có Thể Dùng")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3">
        <f>IF(ISNUMBER(SEARCH("nhà phố",'01_MASTER_DATABASE'!K151)), "Tối Ưu", "Có Thể Dùng")</f>
        <v/>
      </c>
      <c r="D154" s="113">
        <f>IF(ISNUMBER(SEARCH("biệt thự",'01_MASTER_DATABASE'!K151)), "Tối Ưu", "Có Thể Dùng")</f>
        <v/>
      </c>
      <c r="E154" s="113">
        <f>IF(ISNUMBER(SEARCH("nghỉ dưỡng",'01_MASTER_DATABASE'!K151)), "Tối Ưu", "Có Thể Dùng")</f>
        <v/>
      </c>
      <c r="F154" s="113">
        <f>IF(ISNUMBER(SEARCH("chung cư",'01_MASTER_DATABASE'!K151)), "Tối Ưu", "Có Thể Dùng")</f>
        <v/>
      </c>
      <c r="G154" s="113">
        <f>IF(ISNUMBER(SEARCH("văn phòng",'01_MASTER_DATABASE'!K151)), "Tối Ưu", "Có Thể Dùng")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3">
        <f>IF(ISNUMBER(SEARCH("nhà phố",'01_MASTER_DATABASE'!K152)), "Tối Ưu", "Có Thể Dùng")</f>
        <v/>
      </c>
      <c r="D155" s="113">
        <f>IF(ISNUMBER(SEARCH("biệt thự",'01_MASTER_DATABASE'!K152)), "Tối Ưu", "Có Thể Dùng")</f>
        <v/>
      </c>
      <c r="E155" s="113">
        <f>IF(ISNUMBER(SEARCH("nghỉ dưỡng",'01_MASTER_DATABASE'!K152)), "Tối Ưu", "Có Thể Dùng")</f>
        <v/>
      </c>
      <c r="F155" s="113">
        <f>IF(ISNUMBER(SEARCH("chung cư",'01_MASTER_DATABASE'!K152)), "Tối Ưu", "Có Thể Dùng")</f>
        <v/>
      </c>
      <c r="G155" s="113">
        <f>IF(ISNUMBER(SEARCH("văn phòng",'01_MASTER_DATABASE'!K152)), "Tối Ưu", "Có Thể Dùng")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3">
        <f>IF(ISNUMBER(SEARCH("nhà phố",'01_MASTER_DATABASE'!K153)), "Tối Ưu", "Có Thể Dùng")</f>
        <v/>
      </c>
      <c r="D156" s="113">
        <f>IF(ISNUMBER(SEARCH("biệt thự",'01_MASTER_DATABASE'!K153)), "Tối Ưu", "Có Thể Dùng")</f>
        <v/>
      </c>
      <c r="E156" s="113">
        <f>IF(ISNUMBER(SEARCH("nghỉ dưỡng",'01_MASTER_DATABASE'!K153)), "Tối Ưu", "Có Thể Dùng")</f>
        <v/>
      </c>
      <c r="F156" s="113">
        <f>IF(ISNUMBER(SEARCH("chung cư",'01_MASTER_DATABASE'!K153)), "Tối Ưu", "Có Thể Dùng")</f>
        <v/>
      </c>
      <c r="G156" s="113">
        <f>IF(ISNUMBER(SEARCH("văn phòng",'01_MASTER_DATABASE'!K153)), "Tối Ưu", "Có Thể Dùng")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3">
        <f>IF(ISNUMBER(SEARCH("nhà phố",'01_MASTER_DATABASE'!K154)), "Tối Ưu", "Có Thể Dùng")</f>
        <v/>
      </c>
      <c r="D157" s="113">
        <f>IF(ISNUMBER(SEARCH("biệt thự",'01_MASTER_DATABASE'!K154)), "Tối Ưu", "Có Thể Dùng")</f>
        <v/>
      </c>
      <c r="E157" s="113">
        <f>IF(ISNUMBER(SEARCH("nghỉ dưỡng",'01_MASTER_DATABASE'!K154)), "Tối Ưu", "Có Thể Dùng")</f>
        <v/>
      </c>
      <c r="F157" s="113">
        <f>IF(ISNUMBER(SEARCH("chung cư",'01_MASTER_DATABASE'!K154)), "Tối Ưu", "Có Thể Dùng")</f>
        <v/>
      </c>
      <c r="G157" s="113">
        <f>IF(ISNUMBER(SEARCH("văn phòng",'01_MASTER_DATABASE'!K154)), "Tối Ưu", "Có Thể Dùng")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3">
        <f>IF(ISNUMBER(SEARCH("nhà phố",'01_MASTER_DATABASE'!K155)), "Tối Ưu", "Có Thể Dùng")</f>
        <v/>
      </c>
      <c r="D158" s="113">
        <f>IF(ISNUMBER(SEARCH("biệt thự",'01_MASTER_DATABASE'!K155)), "Tối Ưu", "Có Thể Dùng")</f>
        <v/>
      </c>
      <c r="E158" s="113">
        <f>IF(ISNUMBER(SEARCH("nghỉ dưỡng",'01_MASTER_DATABASE'!K155)), "Tối Ưu", "Có Thể Dùng")</f>
        <v/>
      </c>
      <c r="F158" s="113">
        <f>IF(ISNUMBER(SEARCH("chung cư",'01_MASTER_DATABASE'!K155)), "Tối Ưu", "Có Thể Dùng")</f>
        <v/>
      </c>
      <c r="G158" s="113">
        <f>IF(ISNUMBER(SEARCH("văn phòng",'01_MASTER_DATABASE'!K155)), "Tối Ưu", "Có Thể Dùng")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3">
        <f>IF(ISNUMBER(SEARCH("nhà phố",'01_MASTER_DATABASE'!K156)), "Tối Ưu", "Có Thể Dùng")</f>
        <v/>
      </c>
      <c r="D159" s="113">
        <f>IF(ISNUMBER(SEARCH("biệt thự",'01_MASTER_DATABASE'!K156)), "Tối Ưu", "Có Thể Dùng")</f>
        <v/>
      </c>
      <c r="E159" s="113">
        <f>IF(ISNUMBER(SEARCH("nghỉ dưỡng",'01_MASTER_DATABASE'!K156)), "Tối Ưu", "Có Thể Dùng")</f>
        <v/>
      </c>
      <c r="F159" s="113">
        <f>IF(ISNUMBER(SEARCH("chung cư",'01_MASTER_DATABASE'!K156)), "Tối Ưu", "Có Thể Dùng")</f>
        <v/>
      </c>
      <c r="G159" s="113">
        <f>IF(ISNUMBER(SEARCH("văn phòng",'01_MASTER_DATABASE'!K156)), "Tối Ưu", "Có Thể Dùng")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3">
        <f>IF(ISNUMBER(SEARCH("nhà phố",'01_MASTER_DATABASE'!K157)), "Tối Ưu", "Có Thể Dùng")</f>
        <v/>
      </c>
      <c r="D160" s="113">
        <f>IF(ISNUMBER(SEARCH("biệt thự",'01_MASTER_DATABASE'!K157)), "Tối Ưu", "Có Thể Dùng")</f>
        <v/>
      </c>
      <c r="E160" s="113">
        <f>IF(ISNUMBER(SEARCH("nghỉ dưỡng",'01_MASTER_DATABASE'!K157)), "Tối Ưu", "Có Thể Dùng")</f>
        <v/>
      </c>
      <c r="F160" s="113">
        <f>IF(ISNUMBER(SEARCH("chung cư",'01_MASTER_DATABASE'!K157)), "Tối Ưu", "Có Thể Dùng")</f>
        <v/>
      </c>
      <c r="G160" s="113">
        <f>IF(ISNUMBER(SEARCH("văn phòng",'01_MASTER_DATABASE'!K157)), "Tối Ưu", "Có Thể Dùng")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3">
        <f>IF(ISNUMBER(SEARCH("nhà phố",'01_MASTER_DATABASE'!K158)), "Tối Ưu", "Có Thể Dùng")</f>
        <v/>
      </c>
      <c r="D161" s="113">
        <f>IF(ISNUMBER(SEARCH("biệt thự",'01_MASTER_DATABASE'!K158)), "Tối Ưu", "Có Thể Dùng")</f>
        <v/>
      </c>
      <c r="E161" s="113">
        <f>IF(ISNUMBER(SEARCH("nghỉ dưỡng",'01_MASTER_DATABASE'!K158)), "Tối Ưu", "Có Thể Dùng")</f>
        <v/>
      </c>
      <c r="F161" s="113">
        <f>IF(ISNUMBER(SEARCH("chung cư",'01_MASTER_DATABASE'!K158)), "Tối Ưu", "Có Thể Dùng")</f>
        <v/>
      </c>
      <c r="G161" s="113">
        <f>IF(ISNUMBER(SEARCH("văn phòng",'01_MASTER_DATABASE'!K158)), "Tối Ưu", "Có Thể Dùng")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3">
        <f>IF(ISNUMBER(SEARCH("nhà phố",'01_MASTER_DATABASE'!K159)), "Tối Ưu", "Có Thể Dùng")</f>
        <v/>
      </c>
      <c r="D162" s="113">
        <f>IF(ISNUMBER(SEARCH("biệt thự",'01_MASTER_DATABASE'!K159)), "Tối Ưu", "Có Thể Dùng")</f>
        <v/>
      </c>
      <c r="E162" s="113">
        <f>IF(ISNUMBER(SEARCH("nghỉ dưỡng",'01_MASTER_DATABASE'!K159)), "Tối Ưu", "Có Thể Dùng")</f>
        <v/>
      </c>
      <c r="F162" s="113">
        <f>IF(ISNUMBER(SEARCH("chung cư",'01_MASTER_DATABASE'!K159)), "Tối Ưu", "Có Thể Dùng")</f>
        <v/>
      </c>
      <c r="G162" s="113">
        <f>IF(ISNUMBER(SEARCH("văn phòng",'01_MASTER_DATABASE'!K159)), "Tối Ưu", "Có Thể Dùng")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3">
        <f>IF(ISNUMBER(SEARCH("nhà phố",'01_MASTER_DATABASE'!K160)), "Tối Ưu", "Có Thể Dùng")</f>
        <v/>
      </c>
      <c r="D163" s="113">
        <f>IF(ISNUMBER(SEARCH("biệt thự",'01_MASTER_DATABASE'!K160)), "Tối Ưu", "Có Thể Dùng")</f>
        <v/>
      </c>
      <c r="E163" s="113">
        <f>IF(ISNUMBER(SEARCH("nghỉ dưỡng",'01_MASTER_DATABASE'!K160)), "Tối Ưu", "Có Thể Dùng")</f>
        <v/>
      </c>
      <c r="F163" s="113">
        <f>IF(ISNUMBER(SEARCH("chung cư",'01_MASTER_DATABASE'!K160)), "Tối Ưu", "Có Thể Dùng")</f>
        <v/>
      </c>
      <c r="G163" s="113">
        <f>IF(ISNUMBER(SEARCH("văn phòng",'01_MASTER_DATABASE'!K160)), "Tối Ưu", "Có Thể Dùng")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3">
        <f>IF(ISNUMBER(SEARCH("nhà phố",'01_MASTER_DATABASE'!K161)), "Tối Ưu", "Có Thể Dùng")</f>
        <v/>
      </c>
      <c r="D164" s="113">
        <f>IF(ISNUMBER(SEARCH("biệt thự",'01_MASTER_DATABASE'!K161)), "Tối Ưu", "Có Thể Dùng")</f>
        <v/>
      </c>
      <c r="E164" s="113">
        <f>IF(ISNUMBER(SEARCH("nghỉ dưỡng",'01_MASTER_DATABASE'!K161)), "Tối Ưu", "Có Thể Dùng")</f>
        <v/>
      </c>
      <c r="F164" s="113">
        <f>IF(ISNUMBER(SEARCH("chung cư",'01_MASTER_DATABASE'!K161)), "Tối Ưu", "Có Thể Dùng")</f>
        <v/>
      </c>
      <c r="G164" s="113">
        <f>IF(ISNUMBER(SEARCH("văn phòng",'01_MASTER_DATABASE'!K161)), "Tối Ưu", "Có Thể Dùng")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3">
        <f>IF(ISNUMBER(SEARCH("nhà phố",'01_MASTER_DATABASE'!K162)), "Tối Ưu", "Có Thể Dùng")</f>
        <v/>
      </c>
      <c r="D165" s="113">
        <f>IF(ISNUMBER(SEARCH("biệt thự",'01_MASTER_DATABASE'!K162)), "Tối Ưu", "Có Thể Dùng")</f>
        <v/>
      </c>
      <c r="E165" s="113">
        <f>IF(ISNUMBER(SEARCH("nghỉ dưỡng",'01_MASTER_DATABASE'!K162)), "Tối Ưu", "Có Thể Dùng")</f>
        <v/>
      </c>
      <c r="F165" s="113">
        <f>IF(ISNUMBER(SEARCH("chung cư",'01_MASTER_DATABASE'!K162)), "Tối Ưu", "Có Thể Dùng")</f>
        <v/>
      </c>
      <c r="G165" s="113">
        <f>IF(ISNUMBER(SEARCH("văn phòng",'01_MASTER_DATABASE'!K162)), "Tối Ưu", "Có Thể Dùng")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3">
        <f>IF(ISNUMBER(SEARCH("nhà phố",'01_MASTER_DATABASE'!K163)), "Tối Ưu", "Có Thể Dùng")</f>
        <v/>
      </c>
      <c r="D166" s="113">
        <f>IF(ISNUMBER(SEARCH("biệt thự",'01_MASTER_DATABASE'!K163)), "Tối Ưu", "Có Thể Dùng")</f>
        <v/>
      </c>
      <c r="E166" s="113">
        <f>IF(ISNUMBER(SEARCH("nghỉ dưỡng",'01_MASTER_DATABASE'!K163)), "Tối Ưu", "Có Thể Dùng")</f>
        <v/>
      </c>
      <c r="F166" s="113">
        <f>IF(ISNUMBER(SEARCH("chung cư",'01_MASTER_DATABASE'!K163)), "Tối Ưu", "Có Thể Dùng")</f>
        <v/>
      </c>
      <c r="G166" s="113">
        <f>IF(ISNUMBER(SEARCH("văn phòng",'01_MASTER_DATABASE'!K163)), "Tối Ưu", "Có Thể Dùng")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3">
        <f>IF(ISNUMBER(SEARCH("nhà phố",'01_MASTER_DATABASE'!K164)), "Tối Ưu", "Có Thể Dùng")</f>
        <v/>
      </c>
      <c r="D167" s="113">
        <f>IF(ISNUMBER(SEARCH("biệt thự",'01_MASTER_DATABASE'!K164)), "Tối Ưu", "Có Thể Dùng")</f>
        <v/>
      </c>
      <c r="E167" s="113">
        <f>IF(ISNUMBER(SEARCH("nghỉ dưỡng",'01_MASTER_DATABASE'!K164)), "Tối Ưu", "Có Thể Dùng")</f>
        <v/>
      </c>
      <c r="F167" s="113">
        <f>IF(ISNUMBER(SEARCH("chung cư",'01_MASTER_DATABASE'!K164)), "Tối Ưu", "Có Thể Dùng")</f>
        <v/>
      </c>
      <c r="G167" s="113">
        <f>IF(ISNUMBER(SEARCH("văn phòng",'01_MASTER_DATABASE'!K164)), "Tối Ưu", "Có Thể Dùng")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3">
        <f>IF(ISNUMBER(SEARCH("nhà phố",'01_MASTER_DATABASE'!K165)), "Tối Ưu", "Có Thể Dùng")</f>
        <v/>
      </c>
      <c r="D168" s="113">
        <f>IF(ISNUMBER(SEARCH("biệt thự",'01_MASTER_DATABASE'!K165)), "Tối Ưu", "Có Thể Dùng")</f>
        <v/>
      </c>
      <c r="E168" s="113">
        <f>IF(ISNUMBER(SEARCH("nghỉ dưỡng",'01_MASTER_DATABASE'!K165)), "Tối Ưu", "Có Thể Dùng")</f>
        <v/>
      </c>
      <c r="F168" s="113">
        <f>IF(ISNUMBER(SEARCH("chung cư",'01_MASTER_DATABASE'!K165)), "Tối Ưu", "Có Thể Dùng")</f>
        <v/>
      </c>
      <c r="G168" s="113">
        <f>IF(ISNUMBER(SEARCH("văn phòng",'01_MASTER_DATABASE'!K165)), "Tối Ưu", "Có Thể Dùng")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3">
        <f>IF(ISNUMBER(SEARCH("nhà phố",'01_MASTER_DATABASE'!K166)), "Tối Ưu", "Có Thể Dùng")</f>
        <v/>
      </c>
      <c r="D169" s="113">
        <f>IF(ISNUMBER(SEARCH("biệt thự",'01_MASTER_DATABASE'!K166)), "Tối Ưu", "Có Thể Dùng")</f>
        <v/>
      </c>
      <c r="E169" s="113">
        <f>IF(ISNUMBER(SEARCH("nghỉ dưỡng",'01_MASTER_DATABASE'!K166)), "Tối Ưu", "Có Thể Dùng")</f>
        <v/>
      </c>
      <c r="F169" s="113">
        <f>IF(ISNUMBER(SEARCH("chung cư",'01_MASTER_DATABASE'!K166)), "Tối Ưu", "Có Thể Dùng")</f>
        <v/>
      </c>
      <c r="G169" s="113">
        <f>IF(ISNUMBER(SEARCH("văn phòng",'01_MASTER_DATABASE'!K166)), "Tối Ưu", "Có Thể Dùng")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3">
        <f>IF(ISNUMBER(SEARCH("nhà phố",'01_MASTER_DATABASE'!K167)), "Tối Ưu", "Có Thể Dùng")</f>
        <v/>
      </c>
      <c r="D170" s="113">
        <f>IF(ISNUMBER(SEARCH("biệt thự",'01_MASTER_DATABASE'!K167)), "Tối Ưu", "Có Thể Dùng")</f>
        <v/>
      </c>
      <c r="E170" s="113">
        <f>IF(ISNUMBER(SEARCH("nghỉ dưỡng",'01_MASTER_DATABASE'!K167)), "Tối Ưu", "Có Thể Dùng")</f>
        <v/>
      </c>
      <c r="F170" s="113">
        <f>IF(ISNUMBER(SEARCH("chung cư",'01_MASTER_DATABASE'!K167)), "Tối Ưu", "Có Thể Dùng")</f>
        <v/>
      </c>
      <c r="G170" s="113">
        <f>IF(ISNUMBER(SEARCH("văn phòng",'01_MASTER_DATABASE'!K167)), "Tối Ưu", "Có Thể Dùng")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3">
        <f>IF(ISNUMBER(SEARCH("nhà phố",'01_MASTER_DATABASE'!K168)), "Tối Ưu", "Có Thể Dùng")</f>
        <v/>
      </c>
      <c r="D171" s="113">
        <f>IF(ISNUMBER(SEARCH("biệt thự",'01_MASTER_DATABASE'!K168)), "Tối Ưu", "Có Thể Dùng")</f>
        <v/>
      </c>
      <c r="E171" s="113">
        <f>IF(ISNUMBER(SEARCH("nghỉ dưỡng",'01_MASTER_DATABASE'!K168)), "Tối Ưu", "Có Thể Dùng")</f>
        <v/>
      </c>
      <c r="F171" s="113">
        <f>IF(ISNUMBER(SEARCH("chung cư",'01_MASTER_DATABASE'!K168)), "Tối Ưu", "Có Thể Dùng")</f>
        <v/>
      </c>
      <c r="G171" s="113">
        <f>IF(ISNUMBER(SEARCH("văn phòng",'01_MASTER_DATABASE'!K168)), "Tối Ưu", "Có Thể Dùng")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3">
        <f>IF(ISNUMBER(SEARCH("nhà phố",'01_MASTER_DATABASE'!K169)), "Tối Ưu", "Có Thể Dùng")</f>
        <v/>
      </c>
      <c r="D172" s="113">
        <f>IF(ISNUMBER(SEARCH("biệt thự",'01_MASTER_DATABASE'!K169)), "Tối Ưu", "Có Thể Dùng")</f>
        <v/>
      </c>
      <c r="E172" s="113">
        <f>IF(ISNUMBER(SEARCH("nghỉ dưỡng",'01_MASTER_DATABASE'!K169)), "Tối Ưu", "Có Thể Dùng")</f>
        <v/>
      </c>
      <c r="F172" s="113">
        <f>IF(ISNUMBER(SEARCH("chung cư",'01_MASTER_DATABASE'!K169)), "Tối Ưu", "Có Thể Dùng")</f>
        <v/>
      </c>
      <c r="G172" s="113">
        <f>IF(ISNUMBER(SEARCH("văn phòng",'01_MASTER_DATABASE'!K169)), "Tối Ưu", "Có Thể Dùng")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3">
        <f>IF(ISNUMBER(SEARCH("nhà phố",'01_MASTER_DATABASE'!K170)), "Tối Ưu", "Có Thể Dùng")</f>
        <v/>
      </c>
      <c r="D173" s="113">
        <f>IF(ISNUMBER(SEARCH("biệt thự",'01_MASTER_DATABASE'!K170)), "Tối Ưu", "Có Thể Dùng")</f>
        <v/>
      </c>
      <c r="E173" s="113">
        <f>IF(ISNUMBER(SEARCH("nghỉ dưỡng",'01_MASTER_DATABASE'!K170)), "Tối Ưu", "Có Thể Dùng")</f>
        <v/>
      </c>
      <c r="F173" s="113">
        <f>IF(ISNUMBER(SEARCH("chung cư",'01_MASTER_DATABASE'!K170)), "Tối Ưu", "Có Thể Dùng")</f>
        <v/>
      </c>
      <c r="G173" s="113">
        <f>IF(ISNUMBER(SEARCH("văn phòng",'01_MASTER_DATABASE'!K170)), "Tối Ưu", "Có Thể Dùng")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3">
        <f>IF(ISNUMBER(SEARCH("nhà phố",'01_MASTER_DATABASE'!K171)), "Tối Ưu", "Có Thể Dùng")</f>
        <v/>
      </c>
      <c r="D174" s="113">
        <f>IF(ISNUMBER(SEARCH("biệt thự",'01_MASTER_DATABASE'!K171)), "Tối Ưu", "Có Thể Dùng")</f>
        <v/>
      </c>
      <c r="E174" s="113">
        <f>IF(ISNUMBER(SEARCH("nghỉ dưỡng",'01_MASTER_DATABASE'!K171)), "Tối Ưu", "Có Thể Dùng")</f>
        <v/>
      </c>
      <c r="F174" s="113">
        <f>IF(ISNUMBER(SEARCH("chung cư",'01_MASTER_DATABASE'!K171)), "Tối Ưu", "Có Thể Dùng")</f>
        <v/>
      </c>
      <c r="G174" s="113">
        <f>IF(ISNUMBER(SEARCH("văn phòng",'01_MASTER_DATABASE'!K171)), "Tối Ưu", "Có Thể Dùng")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3">
        <f>IF(ISNUMBER(SEARCH("nhà phố",'01_MASTER_DATABASE'!K172)), "Tối Ưu", "Có Thể Dùng")</f>
        <v/>
      </c>
      <c r="D175" s="113">
        <f>IF(ISNUMBER(SEARCH("biệt thự",'01_MASTER_DATABASE'!K172)), "Tối Ưu", "Có Thể Dùng")</f>
        <v/>
      </c>
      <c r="E175" s="113">
        <f>IF(ISNUMBER(SEARCH("nghỉ dưỡng",'01_MASTER_DATABASE'!K172)), "Tối Ưu", "Có Thể Dùng")</f>
        <v/>
      </c>
      <c r="F175" s="113">
        <f>IF(ISNUMBER(SEARCH("chung cư",'01_MASTER_DATABASE'!K172)), "Tối Ưu", "Có Thể Dùng")</f>
        <v/>
      </c>
      <c r="G175" s="113">
        <f>IF(ISNUMBER(SEARCH("văn phòng",'01_MASTER_DATABASE'!K172)), "Tối Ưu", "Có Thể Dùng")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3">
        <f>IF(ISNUMBER(SEARCH("nhà phố",'01_MASTER_DATABASE'!K173)), "Tối Ưu", "Có Thể Dùng")</f>
        <v/>
      </c>
      <c r="D176" s="113">
        <f>IF(ISNUMBER(SEARCH("biệt thự",'01_MASTER_DATABASE'!K173)), "Tối Ưu", "Có Thể Dùng")</f>
        <v/>
      </c>
      <c r="E176" s="113">
        <f>IF(ISNUMBER(SEARCH("nghỉ dưỡng",'01_MASTER_DATABASE'!K173)), "Tối Ưu", "Có Thể Dùng")</f>
        <v/>
      </c>
      <c r="F176" s="113">
        <f>IF(ISNUMBER(SEARCH("chung cư",'01_MASTER_DATABASE'!K173)), "Tối Ưu", "Có Thể Dùng")</f>
        <v/>
      </c>
      <c r="G176" s="113">
        <f>IF(ISNUMBER(SEARCH("văn phòng",'01_MASTER_DATABASE'!K173)), "Tối Ưu", "Có Thể Dùng")</f>
        <v/>
      </c>
    </row>
  </sheetData>
  <mergeCells count="1">
    <mergeCell ref="A1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28" customWidth="1" min="4" max="4"/>
    <col width="30" customWidth="1" min="5" max="5"/>
  </cols>
  <sheetData>
    <row r="1" ht="20" customHeight="1">
      <c r="A1" s="109" t="inlineStr">
        <is>
          <t>SO SÁNH PHÂN KHÚC VÀ ĐƠN GIÁ THÀNH PHẨM ƯỚC TÍNH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Phân Khúc Định Vị</t>
        </is>
      </c>
      <c r="D4" s="110" t="inlineStr">
        <is>
          <t>Giá Vật Tư Ước Lượng (đ/kg)</t>
        </is>
      </c>
      <c r="E4" s="110" t="inlineStr">
        <is>
          <t>Giá Cửa Thành Phẩm Dự Kiến (đ/m²)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'01_MASTER_DATABASE'!B2</f>
        <v/>
      </c>
      <c r="D5" s="113">
        <f>IF(OR(ISNUMBER(SEARCH("Luxury",'01_MASTER_DATABASE'!B2)),ISNUMBER(SEARCH("Cầu",'01_MASTER_DATABASE'!B2))),"Cao (&gt;= 120k/kg)",IF(ISNUMBER(SEARCH("Tầm trung",'01_MASTER_DATABASE'!B2)),"Trung bình (85k - 100k/kg)","Kinh tế (&lt;= 85k/kg)"))</f>
        <v/>
      </c>
      <c r="E5" s="113">
        <f>IF(OR(ISNUMBER(SEARCH("Luxury",'01_MASTER_DATABASE'!B2)),ISNUMBER(SEARCH("Cầu",'01_MASTER_DATABASE'!B2))),"&gt;= 5,000,000",IF(ISNUMBER(SEARCH("Tầm trung",'01_MASTER_DATABASE'!B2)),"2,500,000 - 4,000,000","1,500,000 - 2,200,000"))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'01_MASTER_DATABASE'!B3</f>
        <v/>
      </c>
      <c r="D6" s="113">
        <f>IF(OR(ISNUMBER(SEARCH("Luxury",'01_MASTER_DATABASE'!B3)),ISNUMBER(SEARCH("Cầu",'01_MASTER_DATABASE'!B3))),"Cao (&gt;= 120k/kg)",IF(ISNUMBER(SEARCH("Tầm trung",'01_MASTER_DATABASE'!B3)),"Trung bình (85k - 100k/kg)","Kinh tế (&lt;= 85k/kg)"))</f>
        <v/>
      </c>
      <c r="E6" s="113">
        <f>IF(OR(ISNUMBER(SEARCH("Luxury",'01_MASTER_DATABASE'!B3)),ISNUMBER(SEARCH("Cầu",'01_MASTER_DATABASE'!B3))),"&gt;= 5,000,000",IF(ISNUMBER(SEARCH("Tầm trung",'01_MASTER_DATABASE'!B3)),"2,500,000 - 4,000,000","1,500,000 - 2,200,000"))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'01_MASTER_DATABASE'!B4</f>
        <v/>
      </c>
      <c r="D7" s="113">
        <f>IF(OR(ISNUMBER(SEARCH("Luxury",'01_MASTER_DATABASE'!B4)),ISNUMBER(SEARCH("Cầu",'01_MASTER_DATABASE'!B4))),"Cao (&gt;= 120k/kg)",IF(ISNUMBER(SEARCH("Tầm trung",'01_MASTER_DATABASE'!B4)),"Trung bình (85k - 100k/kg)","Kinh tế (&lt;= 85k/kg)"))</f>
        <v/>
      </c>
      <c r="E7" s="113">
        <f>IF(OR(ISNUMBER(SEARCH("Luxury",'01_MASTER_DATABASE'!B4)),ISNUMBER(SEARCH("Cầu",'01_MASTER_DATABASE'!B4))),"&gt;= 5,000,000",IF(ISNUMBER(SEARCH("Tầm trung",'01_MASTER_DATABASE'!B4)),"2,500,000 - 4,000,000","1,500,000 - 2,200,000"))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'01_MASTER_DATABASE'!B5</f>
        <v/>
      </c>
      <c r="D8" s="113">
        <f>IF(OR(ISNUMBER(SEARCH("Luxury",'01_MASTER_DATABASE'!B5)),ISNUMBER(SEARCH("Cầu",'01_MASTER_DATABASE'!B5))),"Cao (&gt;= 120k/kg)",IF(ISNUMBER(SEARCH("Tầm trung",'01_MASTER_DATABASE'!B5)),"Trung bình (85k - 100k/kg)","Kinh tế (&lt;= 85k/kg)"))</f>
        <v/>
      </c>
      <c r="E8" s="113">
        <f>IF(OR(ISNUMBER(SEARCH("Luxury",'01_MASTER_DATABASE'!B5)),ISNUMBER(SEARCH("Cầu",'01_MASTER_DATABASE'!B5))),"&gt;= 5,000,000",IF(ISNUMBER(SEARCH("Tầm trung",'01_MASTER_DATABASE'!B5)),"2,500,000 - 4,000,000","1,500,000 - 2,200,000"))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'01_MASTER_DATABASE'!B6</f>
        <v/>
      </c>
      <c r="D9" s="113">
        <f>IF(OR(ISNUMBER(SEARCH("Luxury",'01_MASTER_DATABASE'!B6)),ISNUMBER(SEARCH("Cầu",'01_MASTER_DATABASE'!B6))),"Cao (&gt;= 120k/kg)",IF(ISNUMBER(SEARCH("Tầm trung",'01_MASTER_DATABASE'!B6)),"Trung bình (85k - 100k/kg)","Kinh tế (&lt;= 85k/kg)"))</f>
        <v/>
      </c>
      <c r="E9" s="113">
        <f>IF(OR(ISNUMBER(SEARCH("Luxury",'01_MASTER_DATABASE'!B6)),ISNUMBER(SEARCH("Cầu",'01_MASTER_DATABASE'!B6))),"&gt;= 5,000,000",IF(ISNUMBER(SEARCH("Tầm trung",'01_MASTER_DATABASE'!B6)),"2,500,000 - 4,000,000","1,500,000 - 2,200,000"))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'01_MASTER_DATABASE'!B7</f>
        <v/>
      </c>
      <c r="D10" s="113">
        <f>IF(OR(ISNUMBER(SEARCH("Luxury",'01_MASTER_DATABASE'!B7)),ISNUMBER(SEARCH("Cầu",'01_MASTER_DATABASE'!B7))),"Cao (&gt;= 120k/kg)",IF(ISNUMBER(SEARCH("Tầm trung",'01_MASTER_DATABASE'!B7)),"Trung bình (85k - 100k/kg)","Kinh tế (&lt;= 85k/kg)"))</f>
        <v/>
      </c>
      <c r="E10" s="113">
        <f>IF(OR(ISNUMBER(SEARCH("Luxury",'01_MASTER_DATABASE'!B7)),ISNUMBER(SEARCH("Cầu",'01_MASTER_DATABASE'!B7))),"&gt;= 5,000,000",IF(ISNUMBER(SEARCH("Tầm trung",'01_MASTER_DATABASE'!B7)),"2,500,000 - 4,000,000","1,500,000 - 2,200,000"))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'01_MASTER_DATABASE'!B8</f>
        <v/>
      </c>
      <c r="D11" s="113">
        <f>IF(OR(ISNUMBER(SEARCH("Luxury",'01_MASTER_DATABASE'!B8)),ISNUMBER(SEARCH("Cầu",'01_MASTER_DATABASE'!B8))),"Cao (&gt;= 120k/kg)",IF(ISNUMBER(SEARCH("Tầm trung",'01_MASTER_DATABASE'!B8)),"Trung bình (85k - 100k/kg)","Kinh tế (&lt;= 85k/kg)"))</f>
        <v/>
      </c>
      <c r="E11" s="113">
        <f>IF(OR(ISNUMBER(SEARCH("Luxury",'01_MASTER_DATABASE'!B8)),ISNUMBER(SEARCH("Cầu",'01_MASTER_DATABASE'!B8))),"&gt;= 5,000,000",IF(ISNUMBER(SEARCH("Tầm trung",'01_MASTER_DATABASE'!B8)),"2,500,000 - 4,000,000","1,500,000 - 2,200,000"))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'01_MASTER_DATABASE'!B9</f>
        <v/>
      </c>
      <c r="D12" s="113">
        <f>IF(OR(ISNUMBER(SEARCH("Luxury",'01_MASTER_DATABASE'!B9)),ISNUMBER(SEARCH("Cầu",'01_MASTER_DATABASE'!B9))),"Cao (&gt;= 120k/kg)",IF(ISNUMBER(SEARCH("Tầm trung",'01_MASTER_DATABASE'!B9)),"Trung bình (85k - 100k/kg)","Kinh tế (&lt;= 85k/kg)"))</f>
        <v/>
      </c>
      <c r="E12" s="113">
        <f>IF(OR(ISNUMBER(SEARCH("Luxury",'01_MASTER_DATABASE'!B9)),ISNUMBER(SEARCH("Cầu",'01_MASTER_DATABASE'!B9))),"&gt;= 5,000,000",IF(ISNUMBER(SEARCH("Tầm trung",'01_MASTER_DATABASE'!B9)),"2,500,000 - 4,000,000","1,500,000 - 2,200,000"))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'01_MASTER_DATABASE'!B10</f>
        <v/>
      </c>
      <c r="D13" s="113">
        <f>IF(OR(ISNUMBER(SEARCH("Luxury",'01_MASTER_DATABASE'!B10)),ISNUMBER(SEARCH("Cầu",'01_MASTER_DATABASE'!B10))),"Cao (&gt;= 120k/kg)",IF(ISNUMBER(SEARCH("Tầm trung",'01_MASTER_DATABASE'!B10)),"Trung bình (85k - 100k/kg)","Kinh tế (&lt;= 85k/kg)"))</f>
        <v/>
      </c>
      <c r="E13" s="113">
        <f>IF(OR(ISNUMBER(SEARCH("Luxury",'01_MASTER_DATABASE'!B10)),ISNUMBER(SEARCH("Cầu",'01_MASTER_DATABASE'!B10))),"&gt;= 5,000,000",IF(ISNUMBER(SEARCH("Tầm trung",'01_MASTER_DATABASE'!B10)),"2,500,000 - 4,000,000","1,500,000 - 2,200,000"))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'01_MASTER_DATABASE'!B11</f>
        <v/>
      </c>
      <c r="D14" s="113">
        <f>IF(OR(ISNUMBER(SEARCH("Luxury",'01_MASTER_DATABASE'!B11)),ISNUMBER(SEARCH("Cầu",'01_MASTER_DATABASE'!B11))),"Cao (&gt;= 120k/kg)",IF(ISNUMBER(SEARCH("Tầm trung",'01_MASTER_DATABASE'!B11)),"Trung bình (85k - 100k/kg)","Kinh tế (&lt;= 85k/kg)"))</f>
        <v/>
      </c>
      <c r="E14" s="113">
        <f>IF(OR(ISNUMBER(SEARCH("Luxury",'01_MASTER_DATABASE'!B11)),ISNUMBER(SEARCH("Cầu",'01_MASTER_DATABASE'!B11))),"&gt;= 5,000,000",IF(ISNUMBER(SEARCH("Tầm trung",'01_MASTER_DATABASE'!B11)),"2,500,000 - 4,000,000","1,500,000 - 2,200,000"))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'01_MASTER_DATABASE'!B12</f>
        <v/>
      </c>
      <c r="D15" s="113">
        <f>IF(OR(ISNUMBER(SEARCH("Luxury",'01_MASTER_DATABASE'!B12)),ISNUMBER(SEARCH("Cầu",'01_MASTER_DATABASE'!B12))),"Cao (&gt;= 120k/kg)",IF(ISNUMBER(SEARCH("Tầm trung",'01_MASTER_DATABASE'!B12)),"Trung bình (85k - 100k/kg)","Kinh tế (&lt;= 85k/kg)"))</f>
        <v/>
      </c>
      <c r="E15" s="113">
        <f>IF(OR(ISNUMBER(SEARCH("Luxury",'01_MASTER_DATABASE'!B12)),ISNUMBER(SEARCH("Cầu",'01_MASTER_DATABASE'!B12))),"&gt;= 5,000,000",IF(ISNUMBER(SEARCH("Tầm trung",'01_MASTER_DATABASE'!B12)),"2,500,000 - 4,000,000","1,500,000 - 2,200,000"))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'01_MASTER_DATABASE'!B13</f>
        <v/>
      </c>
      <c r="D16" s="113">
        <f>IF(OR(ISNUMBER(SEARCH("Luxury",'01_MASTER_DATABASE'!B13)),ISNUMBER(SEARCH("Cầu",'01_MASTER_DATABASE'!B13))),"Cao (&gt;= 120k/kg)",IF(ISNUMBER(SEARCH("Tầm trung",'01_MASTER_DATABASE'!B13)),"Trung bình (85k - 100k/kg)","Kinh tế (&lt;= 85k/kg)"))</f>
        <v/>
      </c>
      <c r="E16" s="113">
        <f>IF(OR(ISNUMBER(SEARCH("Luxury",'01_MASTER_DATABASE'!B13)),ISNUMBER(SEARCH("Cầu",'01_MASTER_DATABASE'!B13))),"&gt;= 5,000,000",IF(ISNUMBER(SEARCH("Tầm trung",'01_MASTER_DATABASE'!B13)),"2,500,000 - 4,000,000","1,500,000 - 2,200,000"))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'01_MASTER_DATABASE'!B14</f>
        <v/>
      </c>
      <c r="D17" s="113">
        <f>IF(OR(ISNUMBER(SEARCH("Luxury",'01_MASTER_DATABASE'!B14)),ISNUMBER(SEARCH("Cầu",'01_MASTER_DATABASE'!B14))),"Cao (&gt;= 120k/kg)",IF(ISNUMBER(SEARCH("Tầm trung",'01_MASTER_DATABASE'!B14)),"Trung bình (85k - 100k/kg)","Kinh tế (&lt;= 85k/kg)"))</f>
        <v/>
      </c>
      <c r="E17" s="113">
        <f>IF(OR(ISNUMBER(SEARCH("Luxury",'01_MASTER_DATABASE'!B14)),ISNUMBER(SEARCH("Cầu",'01_MASTER_DATABASE'!B14))),"&gt;= 5,000,000",IF(ISNUMBER(SEARCH("Tầm trung",'01_MASTER_DATABASE'!B14)),"2,500,000 - 4,000,000","1,500,000 - 2,200,000"))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'01_MASTER_DATABASE'!B15</f>
        <v/>
      </c>
      <c r="D18" s="113">
        <f>IF(OR(ISNUMBER(SEARCH("Luxury",'01_MASTER_DATABASE'!B15)),ISNUMBER(SEARCH("Cầu",'01_MASTER_DATABASE'!B15))),"Cao (&gt;= 120k/kg)",IF(ISNUMBER(SEARCH("Tầm trung",'01_MASTER_DATABASE'!B15)),"Trung bình (85k - 100k/kg)","Kinh tế (&lt;= 85k/kg)"))</f>
        <v/>
      </c>
      <c r="E18" s="113">
        <f>IF(OR(ISNUMBER(SEARCH("Luxury",'01_MASTER_DATABASE'!B15)),ISNUMBER(SEARCH("Cầu",'01_MASTER_DATABASE'!B15))),"&gt;= 5,000,000",IF(ISNUMBER(SEARCH("Tầm trung",'01_MASTER_DATABASE'!B15)),"2,500,000 - 4,000,000","1,500,000 - 2,200,000"))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'01_MASTER_DATABASE'!B16</f>
        <v/>
      </c>
      <c r="D19" s="113">
        <f>IF(OR(ISNUMBER(SEARCH("Luxury",'01_MASTER_DATABASE'!B16)),ISNUMBER(SEARCH("Cầu",'01_MASTER_DATABASE'!B16))),"Cao (&gt;= 120k/kg)",IF(ISNUMBER(SEARCH("Tầm trung",'01_MASTER_DATABASE'!B16)),"Trung bình (85k - 100k/kg)","Kinh tế (&lt;= 85k/kg)"))</f>
        <v/>
      </c>
      <c r="E19" s="113">
        <f>IF(OR(ISNUMBER(SEARCH("Luxury",'01_MASTER_DATABASE'!B16)),ISNUMBER(SEARCH("Cầu",'01_MASTER_DATABASE'!B16))),"&gt;= 5,000,000",IF(ISNUMBER(SEARCH("Tầm trung",'01_MASTER_DATABASE'!B16)),"2,500,000 - 4,000,000","1,500,000 - 2,200,000"))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'01_MASTER_DATABASE'!B17</f>
        <v/>
      </c>
      <c r="D20" s="113">
        <f>IF(OR(ISNUMBER(SEARCH("Luxury",'01_MASTER_DATABASE'!B17)),ISNUMBER(SEARCH("Cầu",'01_MASTER_DATABASE'!B17))),"Cao (&gt;= 120k/kg)",IF(ISNUMBER(SEARCH("Tầm trung",'01_MASTER_DATABASE'!B17)),"Trung bình (85k - 100k/kg)","Kinh tế (&lt;= 85k/kg)"))</f>
        <v/>
      </c>
      <c r="E20" s="113">
        <f>IF(OR(ISNUMBER(SEARCH("Luxury",'01_MASTER_DATABASE'!B17)),ISNUMBER(SEARCH("Cầu",'01_MASTER_DATABASE'!B17))),"&gt;= 5,000,000",IF(ISNUMBER(SEARCH("Tầm trung",'01_MASTER_DATABASE'!B17)),"2,500,000 - 4,000,000","1,500,000 - 2,200,000"))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'01_MASTER_DATABASE'!B18</f>
        <v/>
      </c>
      <c r="D21" s="113">
        <f>IF(OR(ISNUMBER(SEARCH("Luxury",'01_MASTER_DATABASE'!B18)),ISNUMBER(SEARCH("Cầu",'01_MASTER_DATABASE'!B18))),"Cao (&gt;= 120k/kg)",IF(ISNUMBER(SEARCH("Tầm trung",'01_MASTER_DATABASE'!B18)),"Trung bình (85k - 100k/kg)","Kinh tế (&lt;= 85k/kg)"))</f>
        <v/>
      </c>
      <c r="E21" s="113">
        <f>IF(OR(ISNUMBER(SEARCH("Luxury",'01_MASTER_DATABASE'!B18)),ISNUMBER(SEARCH("Cầu",'01_MASTER_DATABASE'!B18))),"&gt;= 5,000,000",IF(ISNUMBER(SEARCH("Tầm trung",'01_MASTER_DATABASE'!B18)),"2,500,000 - 4,000,000","1,500,000 - 2,200,000"))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'01_MASTER_DATABASE'!B19</f>
        <v/>
      </c>
      <c r="D22" s="113">
        <f>IF(OR(ISNUMBER(SEARCH("Luxury",'01_MASTER_DATABASE'!B19)),ISNUMBER(SEARCH("Cầu",'01_MASTER_DATABASE'!B19))),"Cao (&gt;= 120k/kg)",IF(ISNUMBER(SEARCH("Tầm trung",'01_MASTER_DATABASE'!B19)),"Trung bình (85k - 100k/kg)","Kinh tế (&lt;= 85k/kg)"))</f>
        <v/>
      </c>
      <c r="E22" s="113">
        <f>IF(OR(ISNUMBER(SEARCH("Luxury",'01_MASTER_DATABASE'!B19)),ISNUMBER(SEARCH("Cầu",'01_MASTER_DATABASE'!B19))),"&gt;= 5,000,000",IF(ISNUMBER(SEARCH("Tầm trung",'01_MASTER_DATABASE'!B19)),"2,500,000 - 4,000,000","1,500,000 - 2,200,000"))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'01_MASTER_DATABASE'!B20</f>
        <v/>
      </c>
      <c r="D23" s="113">
        <f>IF(OR(ISNUMBER(SEARCH("Luxury",'01_MASTER_DATABASE'!B20)),ISNUMBER(SEARCH("Cầu",'01_MASTER_DATABASE'!B20))),"Cao (&gt;= 120k/kg)",IF(ISNUMBER(SEARCH("Tầm trung",'01_MASTER_DATABASE'!B20)),"Trung bình (85k - 100k/kg)","Kinh tế (&lt;= 85k/kg)"))</f>
        <v/>
      </c>
      <c r="E23" s="113">
        <f>IF(OR(ISNUMBER(SEARCH("Luxury",'01_MASTER_DATABASE'!B20)),ISNUMBER(SEARCH("Cầu",'01_MASTER_DATABASE'!B20))),"&gt;= 5,000,000",IF(ISNUMBER(SEARCH("Tầm trung",'01_MASTER_DATABASE'!B20)),"2,500,000 - 4,000,000","1,500,000 - 2,200,000"))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'01_MASTER_DATABASE'!B21</f>
        <v/>
      </c>
      <c r="D24" s="113">
        <f>IF(OR(ISNUMBER(SEARCH("Luxury",'01_MASTER_DATABASE'!B21)),ISNUMBER(SEARCH("Cầu",'01_MASTER_DATABASE'!B21))),"Cao (&gt;= 120k/kg)",IF(ISNUMBER(SEARCH("Tầm trung",'01_MASTER_DATABASE'!B21)),"Trung bình (85k - 100k/kg)","Kinh tế (&lt;= 85k/kg)"))</f>
        <v/>
      </c>
      <c r="E24" s="113">
        <f>IF(OR(ISNUMBER(SEARCH("Luxury",'01_MASTER_DATABASE'!B21)),ISNUMBER(SEARCH("Cầu",'01_MASTER_DATABASE'!B21))),"&gt;= 5,000,000",IF(ISNUMBER(SEARCH("Tầm trung",'01_MASTER_DATABASE'!B21)),"2,500,000 - 4,000,000","1,500,000 - 2,200,000"))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'01_MASTER_DATABASE'!B22</f>
        <v/>
      </c>
      <c r="D25" s="113">
        <f>IF(OR(ISNUMBER(SEARCH("Luxury",'01_MASTER_DATABASE'!B22)),ISNUMBER(SEARCH("Cầu",'01_MASTER_DATABASE'!B22))),"Cao (&gt;= 120k/kg)",IF(ISNUMBER(SEARCH("Tầm trung",'01_MASTER_DATABASE'!B22)),"Trung bình (85k - 100k/kg)","Kinh tế (&lt;= 85k/kg)"))</f>
        <v/>
      </c>
      <c r="E25" s="113">
        <f>IF(OR(ISNUMBER(SEARCH("Luxury",'01_MASTER_DATABASE'!B22)),ISNUMBER(SEARCH("Cầu",'01_MASTER_DATABASE'!B22))),"&gt;= 5,000,000",IF(ISNUMBER(SEARCH("Tầm trung",'01_MASTER_DATABASE'!B22)),"2,500,000 - 4,000,000","1,500,000 - 2,200,000"))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'01_MASTER_DATABASE'!B23</f>
        <v/>
      </c>
      <c r="D26" s="113">
        <f>IF(OR(ISNUMBER(SEARCH("Luxury",'01_MASTER_DATABASE'!B23)),ISNUMBER(SEARCH("Cầu",'01_MASTER_DATABASE'!B23))),"Cao (&gt;= 120k/kg)",IF(ISNUMBER(SEARCH("Tầm trung",'01_MASTER_DATABASE'!B23)),"Trung bình (85k - 100k/kg)","Kinh tế (&lt;= 85k/kg)"))</f>
        <v/>
      </c>
      <c r="E26" s="113">
        <f>IF(OR(ISNUMBER(SEARCH("Luxury",'01_MASTER_DATABASE'!B23)),ISNUMBER(SEARCH("Cầu",'01_MASTER_DATABASE'!B23))),"&gt;= 5,000,000",IF(ISNUMBER(SEARCH("Tầm trung",'01_MASTER_DATABASE'!B23)),"2,500,000 - 4,000,000","1,500,000 - 2,200,000"))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'01_MASTER_DATABASE'!B24</f>
        <v/>
      </c>
      <c r="D27" s="113">
        <f>IF(OR(ISNUMBER(SEARCH("Luxury",'01_MASTER_DATABASE'!B24)),ISNUMBER(SEARCH("Cầu",'01_MASTER_DATABASE'!B24))),"Cao (&gt;= 120k/kg)",IF(ISNUMBER(SEARCH("Tầm trung",'01_MASTER_DATABASE'!B24)),"Trung bình (85k - 100k/kg)","Kinh tế (&lt;= 85k/kg)"))</f>
        <v/>
      </c>
      <c r="E27" s="113">
        <f>IF(OR(ISNUMBER(SEARCH("Luxury",'01_MASTER_DATABASE'!B24)),ISNUMBER(SEARCH("Cầu",'01_MASTER_DATABASE'!B24))),"&gt;= 5,000,000",IF(ISNUMBER(SEARCH("Tầm trung",'01_MASTER_DATABASE'!B24)),"2,500,000 - 4,000,000","1,500,000 - 2,200,000"))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'01_MASTER_DATABASE'!B25</f>
        <v/>
      </c>
      <c r="D28" s="113">
        <f>IF(OR(ISNUMBER(SEARCH("Luxury",'01_MASTER_DATABASE'!B25)),ISNUMBER(SEARCH("Cầu",'01_MASTER_DATABASE'!B25))),"Cao (&gt;= 120k/kg)",IF(ISNUMBER(SEARCH("Tầm trung",'01_MASTER_DATABASE'!B25)),"Trung bình (85k - 100k/kg)","Kinh tế (&lt;= 85k/kg)"))</f>
        <v/>
      </c>
      <c r="E28" s="113">
        <f>IF(OR(ISNUMBER(SEARCH("Luxury",'01_MASTER_DATABASE'!B25)),ISNUMBER(SEARCH("Cầu",'01_MASTER_DATABASE'!B25))),"&gt;= 5,000,000",IF(ISNUMBER(SEARCH("Tầm trung",'01_MASTER_DATABASE'!B25)),"2,500,000 - 4,000,000","1,500,000 - 2,200,000"))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'01_MASTER_DATABASE'!B26</f>
        <v/>
      </c>
      <c r="D29" s="113">
        <f>IF(OR(ISNUMBER(SEARCH("Luxury",'01_MASTER_DATABASE'!B26)),ISNUMBER(SEARCH("Cầu",'01_MASTER_DATABASE'!B26))),"Cao (&gt;= 120k/kg)",IF(ISNUMBER(SEARCH("Tầm trung",'01_MASTER_DATABASE'!B26)),"Trung bình (85k - 100k/kg)","Kinh tế (&lt;= 85k/kg)"))</f>
        <v/>
      </c>
      <c r="E29" s="113">
        <f>IF(OR(ISNUMBER(SEARCH("Luxury",'01_MASTER_DATABASE'!B26)),ISNUMBER(SEARCH("Cầu",'01_MASTER_DATABASE'!B26))),"&gt;= 5,000,000",IF(ISNUMBER(SEARCH("Tầm trung",'01_MASTER_DATABASE'!B26)),"2,500,000 - 4,000,000","1,500,000 - 2,200,000"))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'01_MASTER_DATABASE'!B27</f>
        <v/>
      </c>
      <c r="D30" s="113">
        <f>IF(OR(ISNUMBER(SEARCH("Luxury",'01_MASTER_DATABASE'!B27)),ISNUMBER(SEARCH("Cầu",'01_MASTER_DATABASE'!B27))),"Cao (&gt;= 120k/kg)",IF(ISNUMBER(SEARCH("Tầm trung",'01_MASTER_DATABASE'!B27)),"Trung bình (85k - 100k/kg)","Kinh tế (&lt;= 85k/kg)"))</f>
        <v/>
      </c>
      <c r="E30" s="113">
        <f>IF(OR(ISNUMBER(SEARCH("Luxury",'01_MASTER_DATABASE'!B27)),ISNUMBER(SEARCH("Cầu",'01_MASTER_DATABASE'!B27))),"&gt;= 5,000,000",IF(ISNUMBER(SEARCH("Tầm trung",'01_MASTER_DATABASE'!B27)),"2,500,000 - 4,000,000","1,500,000 - 2,200,000"))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'01_MASTER_DATABASE'!B28</f>
        <v/>
      </c>
      <c r="D31" s="113">
        <f>IF(OR(ISNUMBER(SEARCH("Luxury",'01_MASTER_DATABASE'!B28)),ISNUMBER(SEARCH("Cầu",'01_MASTER_DATABASE'!B28))),"Cao (&gt;= 120k/kg)",IF(ISNUMBER(SEARCH("Tầm trung",'01_MASTER_DATABASE'!B28)),"Trung bình (85k - 100k/kg)","Kinh tế (&lt;= 85k/kg)"))</f>
        <v/>
      </c>
      <c r="E31" s="113">
        <f>IF(OR(ISNUMBER(SEARCH("Luxury",'01_MASTER_DATABASE'!B28)),ISNUMBER(SEARCH("Cầu",'01_MASTER_DATABASE'!B28))),"&gt;= 5,000,000",IF(ISNUMBER(SEARCH("Tầm trung",'01_MASTER_DATABASE'!B28)),"2,500,000 - 4,000,000","1,500,000 - 2,200,000"))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'01_MASTER_DATABASE'!B29</f>
        <v/>
      </c>
      <c r="D32" s="113">
        <f>IF(OR(ISNUMBER(SEARCH("Luxury",'01_MASTER_DATABASE'!B29)),ISNUMBER(SEARCH("Cầu",'01_MASTER_DATABASE'!B29))),"Cao (&gt;= 120k/kg)",IF(ISNUMBER(SEARCH("Tầm trung",'01_MASTER_DATABASE'!B29)),"Trung bình (85k - 100k/kg)","Kinh tế (&lt;= 85k/kg)"))</f>
        <v/>
      </c>
      <c r="E32" s="113">
        <f>IF(OR(ISNUMBER(SEARCH("Luxury",'01_MASTER_DATABASE'!B29)),ISNUMBER(SEARCH("Cầu",'01_MASTER_DATABASE'!B29))),"&gt;= 5,000,000",IF(ISNUMBER(SEARCH("Tầm trung",'01_MASTER_DATABASE'!B29)),"2,500,000 - 4,000,000","1,500,000 - 2,200,000"))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'01_MASTER_DATABASE'!B30</f>
        <v/>
      </c>
      <c r="D33" s="113">
        <f>IF(OR(ISNUMBER(SEARCH("Luxury",'01_MASTER_DATABASE'!B30)),ISNUMBER(SEARCH("Cầu",'01_MASTER_DATABASE'!B30))),"Cao (&gt;= 120k/kg)",IF(ISNUMBER(SEARCH("Tầm trung",'01_MASTER_DATABASE'!B30)),"Trung bình (85k - 100k/kg)","Kinh tế (&lt;= 85k/kg)"))</f>
        <v/>
      </c>
      <c r="E33" s="113">
        <f>IF(OR(ISNUMBER(SEARCH("Luxury",'01_MASTER_DATABASE'!B30)),ISNUMBER(SEARCH("Cầu",'01_MASTER_DATABASE'!B30))),"&gt;= 5,000,000",IF(ISNUMBER(SEARCH("Tầm trung",'01_MASTER_DATABASE'!B30)),"2,500,000 - 4,000,000","1,500,000 - 2,200,000"))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'01_MASTER_DATABASE'!B31</f>
        <v/>
      </c>
      <c r="D34" s="113">
        <f>IF(OR(ISNUMBER(SEARCH("Luxury",'01_MASTER_DATABASE'!B31)),ISNUMBER(SEARCH("Cầu",'01_MASTER_DATABASE'!B31))),"Cao (&gt;= 120k/kg)",IF(ISNUMBER(SEARCH("Tầm trung",'01_MASTER_DATABASE'!B31)),"Trung bình (85k - 100k/kg)","Kinh tế (&lt;= 85k/kg)"))</f>
        <v/>
      </c>
      <c r="E34" s="113">
        <f>IF(OR(ISNUMBER(SEARCH("Luxury",'01_MASTER_DATABASE'!B31)),ISNUMBER(SEARCH("Cầu",'01_MASTER_DATABASE'!B31))),"&gt;= 5,000,000",IF(ISNUMBER(SEARCH("Tầm trung",'01_MASTER_DATABASE'!B31)),"2,500,000 - 4,000,000","1,500,000 - 2,200,000"))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'01_MASTER_DATABASE'!B32</f>
        <v/>
      </c>
      <c r="D35" s="113">
        <f>IF(OR(ISNUMBER(SEARCH("Luxury",'01_MASTER_DATABASE'!B32)),ISNUMBER(SEARCH("Cầu",'01_MASTER_DATABASE'!B32))),"Cao (&gt;= 120k/kg)",IF(ISNUMBER(SEARCH("Tầm trung",'01_MASTER_DATABASE'!B32)),"Trung bình (85k - 100k/kg)","Kinh tế (&lt;= 85k/kg)"))</f>
        <v/>
      </c>
      <c r="E35" s="113">
        <f>IF(OR(ISNUMBER(SEARCH("Luxury",'01_MASTER_DATABASE'!B32)),ISNUMBER(SEARCH("Cầu",'01_MASTER_DATABASE'!B32))),"&gt;= 5,000,000",IF(ISNUMBER(SEARCH("Tầm trung",'01_MASTER_DATABASE'!B32)),"2,500,000 - 4,000,000","1,500,000 - 2,200,000"))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'01_MASTER_DATABASE'!B33</f>
        <v/>
      </c>
      <c r="D36" s="113">
        <f>IF(OR(ISNUMBER(SEARCH("Luxury",'01_MASTER_DATABASE'!B33)),ISNUMBER(SEARCH("Cầu",'01_MASTER_DATABASE'!B33))),"Cao (&gt;= 120k/kg)",IF(ISNUMBER(SEARCH("Tầm trung",'01_MASTER_DATABASE'!B33)),"Trung bình (85k - 100k/kg)","Kinh tế (&lt;= 85k/kg)"))</f>
        <v/>
      </c>
      <c r="E36" s="113">
        <f>IF(OR(ISNUMBER(SEARCH("Luxury",'01_MASTER_DATABASE'!B33)),ISNUMBER(SEARCH("Cầu",'01_MASTER_DATABASE'!B33))),"&gt;= 5,000,000",IF(ISNUMBER(SEARCH("Tầm trung",'01_MASTER_DATABASE'!B33)),"2,500,000 - 4,000,000","1,500,000 - 2,200,000"))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'01_MASTER_DATABASE'!B34</f>
        <v/>
      </c>
      <c r="D37" s="113">
        <f>IF(OR(ISNUMBER(SEARCH("Luxury",'01_MASTER_DATABASE'!B34)),ISNUMBER(SEARCH("Cầu",'01_MASTER_DATABASE'!B34))),"Cao (&gt;= 120k/kg)",IF(ISNUMBER(SEARCH("Tầm trung",'01_MASTER_DATABASE'!B34)),"Trung bình (85k - 100k/kg)","Kinh tế (&lt;= 85k/kg)"))</f>
        <v/>
      </c>
      <c r="E37" s="113">
        <f>IF(OR(ISNUMBER(SEARCH("Luxury",'01_MASTER_DATABASE'!B34)),ISNUMBER(SEARCH("Cầu",'01_MASTER_DATABASE'!B34))),"&gt;= 5,000,000",IF(ISNUMBER(SEARCH("Tầm trung",'01_MASTER_DATABASE'!B34)),"2,500,000 - 4,000,000","1,500,000 - 2,200,000"))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'01_MASTER_DATABASE'!B35</f>
        <v/>
      </c>
      <c r="D38" s="113">
        <f>IF(OR(ISNUMBER(SEARCH("Luxury",'01_MASTER_DATABASE'!B35)),ISNUMBER(SEARCH("Cầu",'01_MASTER_DATABASE'!B35))),"Cao (&gt;= 120k/kg)",IF(ISNUMBER(SEARCH("Tầm trung",'01_MASTER_DATABASE'!B35)),"Trung bình (85k - 100k/kg)","Kinh tế (&lt;= 85k/kg)"))</f>
        <v/>
      </c>
      <c r="E38" s="113">
        <f>IF(OR(ISNUMBER(SEARCH("Luxury",'01_MASTER_DATABASE'!B35)),ISNUMBER(SEARCH("Cầu",'01_MASTER_DATABASE'!B35))),"&gt;= 5,000,000",IF(ISNUMBER(SEARCH("Tầm trung",'01_MASTER_DATABASE'!B35)),"2,500,000 - 4,000,000","1,500,000 - 2,200,000"))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'01_MASTER_DATABASE'!B36</f>
        <v/>
      </c>
      <c r="D39" s="113">
        <f>IF(OR(ISNUMBER(SEARCH("Luxury",'01_MASTER_DATABASE'!B36)),ISNUMBER(SEARCH("Cầu",'01_MASTER_DATABASE'!B36))),"Cao (&gt;= 120k/kg)",IF(ISNUMBER(SEARCH("Tầm trung",'01_MASTER_DATABASE'!B36)),"Trung bình (85k - 100k/kg)","Kinh tế (&lt;= 85k/kg)"))</f>
        <v/>
      </c>
      <c r="E39" s="113">
        <f>IF(OR(ISNUMBER(SEARCH("Luxury",'01_MASTER_DATABASE'!B36)),ISNUMBER(SEARCH("Cầu",'01_MASTER_DATABASE'!B36))),"&gt;= 5,000,000",IF(ISNUMBER(SEARCH("Tầm trung",'01_MASTER_DATABASE'!B36)),"2,500,000 - 4,000,000","1,500,000 - 2,200,000"))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'01_MASTER_DATABASE'!B37</f>
        <v/>
      </c>
      <c r="D40" s="113">
        <f>IF(OR(ISNUMBER(SEARCH("Luxury",'01_MASTER_DATABASE'!B37)),ISNUMBER(SEARCH("Cầu",'01_MASTER_DATABASE'!B37))),"Cao (&gt;= 120k/kg)",IF(ISNUMBER(SEARCH("Tầm trung",'01_MASTER_DATABASE'!B37)),"Trung bình (85k - 100k/kg)","Kinh tế (&lt;= 85k/kg)"))</f>
        <v/>
      </c>
      <c r="E40" s="113">
        <f>IF(OR(ISNUMBER(SEARCH("Luxury",'01_MASTER_DATABASE'!B37)),ISNUMBER(SEARCH("Cầu",'01_MASTER_DATABASE'!B37))),"&gt;= 5,000,000",IF(ISNUMBER(SEARCH("Tầm trung",'01_MASTER_DATABASE'!B37)),"2,500,000 - 4,000,000","1,500,000 - 2,200,000"))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'01_MASTER_DATABASE'!B38</f>
        <v/>
      </c>
      <c r="D41" s="113">
        <f>IF(OR(ISNUMBER(SEARCH("Luxury",'01_MASTER_DATABASE'!B38)),ISNUMBER(SEARCH("Cầu",'01_MASTER_DATABASE'!B38))),"Cao (&gt;= 120k/kg)",IF(ISNUMBER(SEARCH("Tầm trung",'01_MASTER_DATABASE'!B38)),"Trung bình (85k - 100k/kg)","Kinh tế (&lt;= 85k/kg)"))</f>
        <v/>
      </c>
      <c r="E41" s="113">
        <f>IF(OR(ISNUMBER(SEARCH("Luxury",'01_MASTER_DATABASE'!B38)),ISNUMBER(SEARCH("Cầu",'01_MASTER_DATABASE'!B38))),"&gt;= 5,000,000",IF(ISNUMBER(SEARCH("Tầm trung",'01_MASTER_DATABASE'!B38)),"2,500,000 - 4,000,000","1,500,000 - 2,200,000"))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'01_MASTER_DATABASE'!B39</f>
        <v/>
      </c>
      <c r="D42" s="113">
        <f>IF(OR(ISNUMBER(SEARCH("Luxury",'01_MASTER_DATABASE'!B39)),ISNUMBER(SEARCH("Cầu",'01_MASTER_DATABASE'!B39))),"Cao (&gt;= 120k/kg)",IF(ISNUMBER(SEARCH("Tầm trung",'01_MASTER_DATABASE'!B39)),"Trung bình (85k - 100k/kg)","Kinh tế (&lt;= 85k/kg)"))</f>
        <v/>
      </c>
      <c r="E42" s="113">
        <f>IF(OR(ISNUMBER(SEARCH("Luxury",'01_MASTER_DATABASE'!B39)),ISNUMBER(SEARCH("Cầu",'01_MASTER_DATABASE'!B39))),"&gt;= 5,000,000",IF(ISNUMBER(SEARCH("Tầm trung",'01_MASTER_DATABASE'!B39)),"2,500,000 - 4,000,000","1,500,000 - 2,200,000"))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'01_MASTER_DATABASE'!B40</f>
        <v/>
      </c>
      <c r="D43" s="113">
        <f>IF(OR(ISNUMBER(SEARCH("Luxury",'01_MASTER_DATABASE'!B40)),ISNUMBER(SEARCH("Cầu",'01_MASTER_DATABASE'!B40))),"Cao (&gt;= 120k/kg)",IF(ISNUMBER(SEARCH("Tầm trung",'01_MASTER_DATABASE'!B40)),"Trung bình (85k - 100k/kg)","Kinh tế (&lt;= 85k/kg)"))</f>
        <v/>
      </c>
      <c r="E43" s="113">
        <f>IF(OR(ISNUMBER(SEARCH("Luxury",'01_MASTER_DATABASE'!B40)),ISNUMBER(SEARCH("Cầu",'01_MASTER_DATABASE'!B40))),"&gt;= 5,000,000",IF(ISNUMBER(SEARCH("Tầm trung",'01_MASTER_DATABASE'!B40)),"2,500,000 - 4,000,000","1,500,000 - 2,200,000"))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'01_MASTER_DATABASE'!B41</f>
        <v/>
      </c>
      <c r="D44" s="113">
        <f>IF(OR(ISNUMBER(SEARCH("Luxury",'01_MASTER_DATABASE'!B41)),ISNUMBER(SEARCH("Cầu",'01_MASTER_DATABASE'!B41))),"Cao (&gt;= 120k/kg)",IF(ISNUMBER(SEARCH("Tầm trung",'01_MASTER_DATABASE'!B41)),"Trung bình (85k - 100k/kg)","Kinh tế (&lt;= 85k/kg)"))</f>
        <v/>
      </c>
      <c r="E44" s="113">
        <f>IF(OR(ISNUMBER(SEARCH("Luxury",'01_MASTER_DATABASE'!B41)),ISNUMBER(SEARCH("Cầu",'01_MASTER_DATABASE'!B41))),"&gt;= 5,000,000",IF(ISNUMBER(SEARCH("Tầm trung",'01_MASTER_DATABASE'!B41)),"2,500,000 - 4,000,000","1,500,000 - 2,200,000"))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'01_MASTER_DATABASE'!B42</f>
        <v/>
      </c>
      <c r="D45" s="113">
        <f>IF(OR(ISNUMBER(SEARCH("Luxury",'01_MASTER_DATABASE'!B42)),ISNUMBER(SEARCH("Cầu",'01_MASTER_DATABASE'!B42))),"Cao (&gt;= 120k/kg)",IF(ISNUMBER(SEARCH("Tầm trung",'01_MASTER_DATABASE'!B42)),"Trung bình (85k - 100k/kg)","Kinh tế (&lt;= 85k/kg)"))</f>
        <v/>
      </c>
      <c r="E45" s="113">
        <f>IF(OR(ISNUMBER(SEARCH("Luxury",'01_MASTER_DATABASE'!B42)),ISNUMBER(SEARCH("Cầu",'01_MASTER_DATABASE'!B42))),"&gt;= 5,000,000",IF(ISNUMBER(SEARCH("Tầm trung",'01_MASTER_DATABASE'!B42)),"2,500,000 - 4,000,000","1,500,000 - 2,200,000"))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'01_MASTER_DATABASE'!B43</f>
        <v/>
      </c>
      <c r="D46" s="113">
        <f>IF(OR(ISNUMBER(SEARCH("Luxury",'01_MASTER_DATABASE'!B43)),ISNUMBER(SEARCH("Cầu",'01_MASTER_DATABASE'!B43))),"Cao (&gt;= 120k/kg)",IF(ISNUMBER(SEARCH("Tầm trung",'01_MASTER_DATABASE'!B43)),"Trung bình (85k - 100k/kg)","Kinh tế (&lt;= 85k/kg)"))</f>
        <v/>
      </c>
      <c r="E46" s="113">
        <f>IF(OR(ISNUMBER(SEARCH("Luxury",'01_MASTER_DATABASE'!B43)),ISNUMBER(SEARCH("Cầu",'01_MASTER_DATABASE'!B43))),"&gt;= 5,000,000",IF(ISNUMBER(SEARCH("Tầm trung",'01_MASTER_DATABASE'!B43)),"2,500,000 - 4,000,000","1,500,000 - 2,200,000"))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'01_MASTER_DATABASE'!B44</f>
        <v/>
      </c>
      <c r="D47" s="113">
        <f>IF(OR(ISNUMBER(SEARCH("Luxury",'01_MASTER_DATABASE'!B44)),ISNUMBER(SEARCH("Cầu",'01_MASTER_DATABASE'!B44))),"Cao (&gt;= 120k/kg)",IF(ISNUMBER(SEARCH("Tầm trung",'01_MASTER_DATABASE'!B44)),"Trung bình (85k - 100k/kg)","Kinh tế (&lt;= 85k/kg)"))</f>
        <v/>
      </c>
      <c r="E47" s="113">
        <f>IF(OR(ISNUMBER(SEARCH("Luxury",'01_MASTER_DATABASE'!B44)),ISNUMBER(SEARCH("Cầu",'01_MASTER_DATABASE'!B44))),"&gt;= 5,000,000",IF(ISNUMBER(SEARCH("Tầm trung",'01_MASTER_DATABASE'!B44)),"2,500,000 - 4,000,000","1,500,000 - 2,200,000"))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'01_MASTER_DATABASE'!B45</f>
        <v/>
      </c>
      <c r="D48" s="113">
        <f>IF(OR(ISNUMBER(SEARCH("Luxury",'01_MASTER_DATABASE'!B45)),ISNUMBER(SEARCH("Cầu",'01_MASTER_DATABASE'!B45))),"Cao (&gt;= 120k/kg)",IF(ISNUMBER(SEARCH("Tầm trung",'01_MASTER_DATABASE'!B45)),"Trung bình (85k - 100k/kg)","Kinh tế (&lt;= 85k/kg)"))</f>
        <v/>
      </c>
      <c r="E48" s="113">
        <f>IF(OR(ISNUMBER(SEARCH("Luxury",'01_MASTER_DATABASE'!B45)),ISNUMBER(SEARCH("Cầu",'01_MASTER_DATABASE'!B45))),"&gt;= 5,000,000",IF(ISNUMBER(SEARCH("Tầm trung",'01_MASTER_DATABASE'!B45)),"2,500,000 - 4,000,000","1,500,000 - 2,200,000"))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'01_MASTER_DATABASE'!B46</f>
        <v/>
      </c>
      <c r="D49" s="113">
        <f>IF(OR(ISNUMBER(SEARCH("Luxury",'01_MASTER_DATABASE'!B46)),ISNUMBER(SEARCH("Cầu",'01_MASTER_DATABASE'!B46))),"Cao (&gt;= 120k/kg)",IF(ISNUMBER(SEARCH("Tầm trung",'01_MASTER_DATABASE'!B46)),"Trung bình (85k - 100k/kg)","Kinh tế (&lt;= 85k/kg)"))</f>
        <v/>
      </c>
      <c r="E49" s="113">
        <f>IF(OR(ISNUMBER(SEARCH("Luxury",'01_MASTER_DATABASE'!B46)),ISNUMBER(SEARCH("Cầu",'01_MASTER_DATABASE'!B46))),"&gt;= 5,000,000",IF(ISNUMBER(SEARCH("Tầm trung",'01_MASTER_DATABASE'!B46)),"2,500,000 - 4,000,000","1,500,000 - 2,200,000"))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'01_MASTER_DATABASE'!B47</f>
        <v/>
      </c>
      <c r="D50" s="113">
        <f>IF(OR(ISNUMBER(SEARCH("Luxury",'01_MASTER_DATABASE'!B47)),ISNUMBER(SEARCH("Cầu",'01_MASTER_DATABASE'!B47))),"Cao (&gt;= 120k/kg)",IF(ISNUMBER(SEARCH("Tầm trung",'01_MASTER_DATABASE'!B47)),"Trung bình (85k - 100k/kg)","Kinh tế (&lt;= 85k/kg)"))</f>
        <v/>
      </c>
      <c r="E50" s="113">
        <f>IF(OR(ISNUMBER(SEARCH("Luxury",'01_MASTER_DATABASE'!B47)),ISNUMBER(SEARCH("Cầu",'01_MASTER_DATABASE'!B47))),"&gt;= 5,000,000",IF(ISNUMBER(SEARCH("Tầm trung",'01_MASTER_DATABASE'!B47)),"2,500,000 - 4,000,000","1,500,000 - 2,200,000"))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'01_MASTER_DATABASE'!B48</f>
        <v/>
      </c>
      <c r="D51" s="113">
        <f>IF(OR(ISNUMBER(SEARCH("Luxury",'01_MASTER_DATABASE'!B48)),ISNUMBER(SEARCH("Cầu",'01_MASTER_DATABASE'!B48))),"Cao (&gt;= 120k/kg)",IF(ISNUMBER(SEARCH("Tầm trung",'01_MASTER_DATABASE'!B48)),"Trung bình (85k - 100k/kg)","Kinh tế (&lt;= 85k/kg)"))</f>
        <v/>
      </c>
      <c r="E51" s="113">
        <f>IF(OR(ISNUMBER(SEARCH("Luxury",'01_MASTER_DATABASE'!B48)),ISNUMBER(SEARCH("Cầu",'01_MASTER_DATABASE'!B48))),"&gt;= 5,000,000",IF(ISNUMBER(SEARCH("Tầm trung",'01_MASTER_DATABASE'!B48)),"2,500,000 - 4,000,000","1,500,000 - 2,200,000"))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'01_MASTER_DATABASE'!B49</f>
        <v/>
      </c>
      <c r="D52" s="113">
        <f>IF(OR(ISNUMBER(SEARCH("Luxury",'01_MASTER_DATABASE'!B49)),ISNUMBER(SEARCH("Cầu",'01_MASTER_DATABASE'!B49))),"Cao (&gt;= 120k/kg)",IF(ISNUMBER(SEARCH("Tầm trung",'01_MASTER_DATABASE'!B49)),"Trung bình (85k - 100k/kg)","Kinh tế (&lt;= 85k/kg)"))</f>
        <v/>
      </c>
      <c r="E52" s="113">
        <f>IF(OR(ISNUMBER(SEARCH("Luxury",'01_MASTER_DATABASE'!B49)),ISNUMBER(SEARCH("Cầu",'01_MASTER_DATABASE'!B49))),"&gt;= 5,000,000",IF(ISNUMBER(SEARCH("Tầm trung",'01_MASTER_DATABASE'!B49)),"2,500,000 - 4,000,000","1,500,000 - 2,200,000"))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'01_MASTER_DATABASE'!B50</f>
        <v/>
      </c>
      <c r="D53" s="113">
        <f>IF(OR(ISNUMBER(SEARCH("Luxury",'01_MASTER_DATABASE'!B50)),ISNUMBER(SEARCH("Cầu",'01_MASTER_DATABASE'!B50))),"Cao (&gt;= 120k/kg)",IF(ISNUMBER(SEARCH("Tầm trung",'01_MASTER_DATABASE'!B50)),"Trung bình (85k - 100k/kg)","Kinh tế (&lt;= 85k/kg)"))</f>
        <v/>
      </c>
      <c r="E53" s="113">
        <f>IF(OR(ISNUMBER(SEARCH("Luxury",'01_MASTER_DATABASE'!B50)),ISNUMBER(SEARCH("Cầu",'01_MASTER_DATABASE'!B50))),"&gt;= 5,000,000",IF(ISNUMBER(SEARCH("Tầm trung",'01_MASTER_DATABASE'!B50)),"2,500,000 - 4,000,000","1,500,000 - 2,200,000"))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'01_MASTER_DATABASE'!B51</f>
        <v/>
      </c>
      <c r="D54" s="113">
        <f>IF(OR(ISNUMBER(SEARCH("Luxury",'01_MASTER_DATABASE'!B51)),ISNUMBER(SEARCH("Cầu",'01_MASTER_DATABASE'!B51))),"Cao (&gt;= 120k/kg)",IF(ISNUMBER(SEARCH("Tầm trung",'01_MASTER_DATABASE'!B51)),"Trung bình (85k - 100k/kg)","Kinh tế (&lt;= 85k/kg)"))</f>
        <v/>
      </c>
      <c r="E54" s="113">
        <f>IF(OR(ISNUMBER(SEARCH("Luxury",'01_MASTER_DATABASE'!B51)),ISNUMBER(SEARCH("Cầu",'01_MASTER_DATABASE'!B51))),"&gt;= 5,000,000",IF(ISNUMBER(SEARCH("Tầm trung",'01_MASTER_DATABASE'!B51)),"2,500,000 - 4,000,000","1,500,000 - 2,200,000"))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'01_MASTER_DATABASE'!B52</f>
        <v/>
      </c>
      <c r="D55" s="113">
        <f>IF(OR(ISNUMBER(SEARCH("Luxury",'01_MASTER_DATABASE'!B52)),ISNUMBER(SEARCH("Cầu",'01_MASTER_DATABASE'!B52))),"Cao (&gt;= 120k/kg)",IF(ISNUMBER(SEARCH("Tầm trung",'01_MASTER_DATABASE'!B52)),"Trung bình (85k - 100k/kg)","Kinh tế (&lt;= 85k/kg)"))</f>
        <v/>
      </c>
      <c r="E55" s="113">
        <f>IF(OR(ISNUMBER(SEARCH("Luxury",'01_MASTER_DATABASE'!B52)),ISNUMBER(SEARCH("Cầu",'01_MASTER_DATABASE'!B52))),"&gt;= 5,000,000",IF(ISNUMBER(SEARCH("Tầm trung",'01_MASTER_DATABASE'!B52)),"2,500,000 - 4,000,000","1,500,000 - 2,200,000"))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'01_MASTER_DATABASE'!B53</f>
        <v/>
      </c>
      <c r="D56" s="113">
        <f>IF(OR(ISNUMBER(SEARCH("Luxury",'01_MASTER_DATABASE'!B53)),ISNUMBER(SEARCH("Cầu",'01_MASTER_DATABASE'!B53))),"Cao (&gt;= 120k/kg)",IF(ISNUMBER(SEARCH("Tầm trung",'01_MASTER_DATABASE'!B53)),"Trung bình (85k - 100k/kg)","Kinh tế (&lt;= 85k/kg)"))</f>
        <v/>
      </c>
      <c r="E56" s="113">
        <f>IF(OR(ISNUMBER(SEARCH("Luxury",'01_MASTER_DATABASE'!B53)),ISNUMBER(SEARCH("Cầu",'01_MASTER_DATABASE'!B53))),"&gt;= 5,000,000",IF(ISNUMBER(SEARCH("Tầm trung",'01_MASTER_DATABASE'!B53)),"2,500,000 - 4,000,000","1,500,000 - 2,200,000"))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'01_MASTER_DATABASE'!B54</f>
        <v/>
      </c>
      <c r="D57" s="113">
        <f>IF(OR(ISNUMBER(SEARCH("Luxury",'01_MASTER_DATABASE'!B54)),ISNUMBER(SEARCH("Cầu",'01_MASTER_DATABASE'!B54))),"Cao (&gt;= 120k/kg)",IF(ISNUMBER(SEARCH("Tầm trung",'01_MASTER_DATABASE'!B54)),"Trung bình (85k - 100k/kg)","Kinh tế (&lt;= 85k/kg)"))</f>
        <v/>
      </c>
      <c r="E57" s="113">
        <f>IF(OR(ISNUMBER(SEARCH("Luxury",'01_MASTER_DATABASE'!B54)),ISNUMBER(SEARCH("Cầu",'01_MASTER_DATABASE'!B54))),"&gt;= 5,000,000",IF(ISNUMBER(SEARCH("Tầm trung",'01_MASTER_DATABASE'!B54)),"2,500,000 - 4,000,000","1,500,000 - 2,200,000"))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'01_MASTER_DATABASE'!B55</f>
        <v/>
      </c>
      <c r="D58" s="113">
        <f>IF(OR(ISNUMBER(SEARCH("Luxury",'01_MASTER_DATABASE'!B55)),ISNUMBER(SEARCH("Cầu",'01_MASTER_DATABASE'!B55))),"Cao (&gt;= 120k/kg)",IF(ISNUMBER(SEARCH("Tầm trung",'01_MASTER_DATABASE'!B55)),"Trung bình (85k - 100k/kg)","Kinh tế (&lt;= 85k/kg)"))</f>
        <v/>
      </c>
      <c r="E58" s="113">
        <f>IF(OR(ISNUMBER(SEARCH("Luxury",'01_MASTER_DATABASE'!B55)),ISNUMBER(SEARCH("Cầu",'01_MASTER_DATABASE'!B55))),"&gt;= 5,000,000",IF(ISNUMBER(SEARCH("Tầm trung",'01_MASTER_DATABASE'!B55)),"2,500,000 - 4,000,000","1,500,000 - 2,200,000"))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'01_MASTER_DATABASE'!B56</f>
        <v/>
      </c>
      <c r="D59" s="113">
        <f>IF(OR(ISNUMBER(SEARCH("Luxury",'01_MASTER_DATABASE'!B56)),ISNUMBER(SEARCH("Cầu",'01_MASTER_DATABASE'!B56))),"Cao (&gt;= 120k/kg)",IF(ISNUMBER(SEARCH("Tầm trung",'01_MASTER_DATABASE'!B56)),"Trung bình (85k - 100k/kg)","Kinh tế (&lt;= 85k/kg)"))</f>
        <v/>
      </c>
      <c r="E59" s="113">
        <f>IF(OR(ISNUMBER(SEARCH("Luxury",'01_MASTER_DATABASE'!B56)),ISNUMBER(SEARCH("Cầu",'01_MASTER_DATABASE'!B56))),"&gt;= 5,000,000",IF(ISNUMBER(SEARCH("Tầm trung",'01_MASTER_DATABASE'!B56)),"2,500,000 - 4,000,000","1,500,000 - 2,200,000"))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'01_MASTER_DATABASE'!B57</f>
        <v/>
      </c>
      <c r="D60" s="113">
        <f>IF(OR(ISNUMBER(SEARCH("Luxury",'01_MASTER_DATABASE'!B57)),ISNUMBER(SEARCH("Cầu",'01_MASTER_DATABASE'!B57))),"Cao (&gt;= 120k/kg)",IF(ISNUMBER(SEARCH("Tầm trung",'01_MASTER_DATABASE'!B57)),"Trung bình (85k - 100k/kg)","Kinh tế (&lt;= 85k/kg)"))</f>
        <v/>
      </c>
      <c r="E60" s="113">
        <f>IF(OR(ISNUMBER(SEARCH("Luxury",'01_MASTER_DATABASE'!B57)),ISNUMBER(SEARCH("Cầu",'01_MASTER_DATABASE'!B57))),"&gt;= 5,000,000",IF(ISNUMBER(SEARCH("Tầm trung",'01_MASTER_DATABASE'!B57)),"2,500,000 - 4,000,000","1,500,000 - 2,200,000"))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'01_MASTER_DATABASE'!B58</f>
        <v/>
      </c>
      <c r="D61" s="113">
        <f>IF(OR(ISNUMBER(SEARCH("Luxury",'01_MASTER_DATABASE'!B58)),ISNUMBER(SEARCH("Cầu",'01_MASTER_DATABASE'!B58))),"Cao (&gt;= 120k/kg)",IF(ISNUMBER(SEARCH("Tầm trung",'01_MASTER_DATABASE'!B58)),"Trung bình (85k - 100k/kg)","Kinh tế (&lt;= 85k/kg)"))</f>
        <v/>
      </c>
      <c r="E61" s="113">
        <f>IF(OR(ISNUMBER(SEARCH("Luxury",'01_MASTER_DATABASE'!B58)),ISNUMBER(SEARCH("Cầu",'01_MASTER_DATABASE'!B58))),"&gt;= 5,000,000",IF(ISNUMBER(SEARCH("Tầm trung",'01_MASTER_DATABASE'!B58)),"2,500,000 - 4,000,000","1,500,000 - 2,200,000"))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'01_MASTER_DATABASE'!B59</f>
        <v/>
      </c>
      <c r="D62" s="113">
        <f>IF(OR(ISNUMBER(SEARCH("Luxury",'01_MASTER_DATABASE'!B59)),ISNUMBER(SEARCH("Cầu",'01_MASTER_DATABASE'!B59))),"Cao (&gt;= 120k/kg)",IF(ISNUMBER(SEARCH("Tầm trung",'01_MASTER_DATABASE'!B59)),"Trung bình (85k - 100k/kg)","Kinh tế (&lt;= 85k/kg)"))</f>
        <v/>
      </c>
      <c r="E62" s="113">
        <f>IF(OR(ISNUMBER(SEARCH("Luxury",'01_MASTER_DATABASE'!B59)),ISNUMBER(SEARCH("Cầu",'01_MASTER_DATABASE'!B59))),"&gt;= 5,000,000",IF(ISNUMBER(SEARCH("Tầm trung",'01_MASTER_DATABASE'!B59)),"2,500,000 - 4,000,000","1,500,000 - 2,200,000"))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'01_MASTER_DATABASE'!B60</f>
        <v/>
      </c>
      <c r="D63" s="113">
        <f>IF(OR(ISNUMBER(SEARCH("Luxury",'01_MASTER_DATABASE'!B60)),ISNUMBER(SEARCH("Cầu",'01_MASTER_DATABASE'!B60))),"Cao (&gt;= 120k/kg)",IF(ISNUMBER(SEARCH("Tầm trung",'01_MASTER_DATABASE'!B60)),"Trung bình (85k - 100k/kg)","Kinh tế (&lt;= 85k/kg)"))</f>
        <v/>
      </c>
      <c r="E63" s="113">
        <f>IF(OR(ISNUMBER(SEARCH("Luxury",'01_MASTER_DATABASE'!B60)),ISNUMBER(SEARCH("Cầu",'01_MASTER_DATABASE'!B60))),"&gt;= 5,000,000",IF(ISNUMBER(SEARCH("Tầm trung",'01_MASTER_DATABASE'!B60)),"2,500,000 - 4,000,000","1,500,000 - 2,200,000"))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'01_MASTER_DATABASE'!B61</f>
        <v/>
      </c>
      <c r="D64" s="113">
        <f>IF(OR(ISNUMBER(SEARCH("Luxury",'01_MASTER_DATABASE'!B61)),ISNUMBER(SEARCH("Cầu",'01_MASTER_DATABASE'!B61))),"Cao (&gt;= 120k/kg)",IF(ISNUMBER(SEARCH("Tầm trung",'01_MASTER_DATABASE'!B61)),"Trung bình (85k - 100k/kg)","Kinh tế (&lt;= 85k/kg)"))</f>
        <v/>
      </c>
      <c r="E64" s="113">
        <f>IF(OR(ISNUMBER(SEARCH("Luxury",'01_MASTER_DATABASE'!B61)),ISNUMBER(SEARCH("Cầu",'01_MASTER_DATABASE'!B61))),"&gt;= 5,000,000",IF(ISNUMBER(SEARCH("Tầm trung",'01_MASTER_DATABASE'!B61)),"2,500,000 - 4,000,000","1,500,000 - 2,200,000"))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'01_MASTER_DATABASE'!B62</f>
        <v/>
      </c>
      <c r="D65" s="113">
        <f>IF(OR(ISNUMBER(SEARCH("Luxury",'01_MASTER_DATABASE'!B62)),ISNUMBER(SEARCH("Cầu",'01_MASTER_DATABASE'!B62))),"Cao (&gt;= 120k/kg)",IF(ISNUMBER(SEARCH("Tầm trung",'01_MASTER_DATABASE'!B62)),"Trung bình (85k - 100k/kg)","Kinh tế (&lt;= 85k/kg)"))</f>
        <v/>
      </c>
      <c r="E65" s="113">
        <f>IF(OR(ISNUMBER(SEARCH("Luxury",'01_MASTER_DATABASE'!B62)),ISNUMBER(SEARCH("Cầu",'01_MASTER_DATABASE'!B62))),"&gt;= 5,000,000",IF(ISNUMBER(SEARCH("Tầm trung",'01_MASTER_DATABASE'!B62)),"2,500,000 - 4,000,000","1,500,000 - 2,200,000"))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'01_MASTER_DATABASE'!B63</f>
        <v/>
      </c>
      <c r="D66" s="113">
        <f>IF(OR(ISNUMBER(SEARCH("Luxury",'01_MASTER_DATABASE'!B63)),ISNUMBER(SEARCH("Cầu",'01_MASTER_DATABASE'!B63))),"Cao (&gt;= 120k/kg)",IF(ISNUMBER(SEARCH("Tầm trung",'01_MASTER_DATABASE'!B63)),"Trung bình (85k - 100k/kg)","Kinh tế (&lt;= 85k/kg)"))</f>
        <v/>
      </c>
      <c r="E66" s="113">
        <f>IF(OR(ISNUMBER(SEARCH("Luxury",'01_MASTER_DATABASE'!B63)),ISNUMBER(SEARCH("Cầu",'01_MASTER_DATABASE'!B63))),"&gt;= 5,000,000",IF(ISNUMBER(SEARCH("Tầm trung",'01_MASTER_DATABASE'!B63)),"2,500,000 - 4,000,000","1,500,000 - 2,200,000"))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'01_MASTER_DATABASE'!B64</f>
        <v/>
      </c>
      <c r="D67" s="113">
        <f>IF(OR(ISNUMBER(SEARCH("Luxury",'01_MASTER_DATABASE'!B64)),ISNUMBER(SEARCH("Cầu",'01_MASTER_DATABASE'!B64))),"Cao (&gt;= 120k/kg)",IF(ISNUMBER(SEARCH("Tầm trung",'01_MASTER_DATABASE'!B64)),"Trung bình (85k - 100k/kg)","Kinh tế (&lt;= 85k/kg)"))</f>
        <v/>
      </c>
      <c r="E67" s="113">
        <f>IF(OR(ISNUMBER(SEARCH("Luxury",'01_MASTER_DATABASE'!B64)),ISNUMBER(SEARCH("Cầu",'01_MASTER_DATABASE'!B64))),"&gt;= 5,000,000",IF(ISNUMBER(SEARCH("Tầm trung",'01_MASTER_DATABASE'!B64)),"2,500,000 - 4,000,000","1,500,000 - 2,200,000"))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'01_MASTER_DATABASE'!B65</f>
        <v/>
      </c>
      <c r="D68" s="113">
        <f>IF(OR(ISNUMBER(SEARCH("Luxury",'01_MASTER_DATABASE'!B65)),ISNUMBER(SEARCH("Cầu",'01_MASTER_DATABASE'!B65))),"Cao (&gt;= 120k/kg)",IF(ISNUMBER(SEARCH("Tầm trung",'01_MASTER_DATABASE'!B65)),"Trung bình (85k - 100k/kg)","Kinh tế (&lt;= 85k/kg)"))</f>
        <v/>
      </c>
      <c r="E68" s="113">
        <f>IF(OR(ISNUMBER(SEARCH("Luxury",'01_MASTER_DATABASE'!B65)),ISNUMBER(SEARCH("Cầu",'01_MASTER_DATABASE'!B65))),"&gt;= 5,000,000",IF(ISNUMBER(SEARCH("Tầm trung",'01_MASTER_DATABASE'!B65)),"2,500,000 - 4,000,000","1,500,000 - 2,200,000"))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'01_MASTER_DATABASE'!B66</f>
        <v/>
      </c>
      <c r="D69" s="113">
        <f>IF(OR(ISNUMBER(SEARCH("Luxury",'01_MASTER_DATABASE'!B66)),ISNUMBER(SEARCH("Cầu",'01_MASTER_DATABASE'!B66))),"Cao (&gt;= 120k/kg)",IF(ISNUMBER(SEARCH("Tầm trung",'01_MASTER_DATABASE'!B66)),"Trung bình (85k - 100k/kg)","Kinh tế (&lt;= 85k/kg)"))</f>
        <v/>
      </c>
      <c r="E69" s="113">
        <f>IF(OR(ISNUMBER(SEARCH("Luxury",'01_MASTER_DATABASE'!B66)),ISNUMBER(SEARCH("Cầu",'01_MASTER_DATABASE'!B66))),"&gt;= 5,000,000",IF(ISNUMBER(SEARCH("Tầm trung",'01_MASTER_DATABASE'!B66)),"2,500,000 - 4,000,000","1,500,000 - 2,200,000"))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'01_MASTER_DATABASE'!B67</f>
        <v/>
      </c>
      <c r="D70" s="113">
        <f>IF(OR(ISNUMBER(SEARCH("Luxury",'01_MASTER_DATABASE'!B67)),ISNUMBER(SEARCH("Cầu",'01_MASTER_DATABASE'!B67))),"Cao (&gt;= 120k/kg)",IF(ISNUMBER(SEARCH("Tầm trung",'01_MASTER_DATABASE'!B67)),"Trung bình (85k - 100k/kg)","Kinh tế (&lt;= 85k/kg)"))</f>
        <v/>
      </c>
      <c r="E70" s="113">
        <f>IF(OR(ISNUMBER(SEARCH("Luxury",'01_MASTER_DATABASE'!B67)),ISNUMBER(SEARCH("Cầu",'01_MASTER_DATABASE'!B67))),"&gt;= 5,000,000",IF(ISNUMBER(SEARCH("Tầm trung",'01_MASTER_DATABASE'!B67)),"2,500,000 - 4,000,000","1,500,000 - 2,200,000"))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'01_MASTER_DATABASE'!B68</f>
        <v/>
      </c>
      <c r="D71" s="113">
        <f>IF(OR(ISNUMBER(SEARCH("Luxury",'01_MASTER_DATABASE'!B68)),ISNUMBER(SEARCH("Cầu",'01_MASTER_DATABASE'!B68))),"Cao (&gt;= 120k/kg)",IF(ISNUMBER(SEARCH("Tầm trung",'01_MASTER_DATABASE'!B68)),"Trung bình (85k - 100k/kg)","Kinh tế (&lt;= 85k/kg)"))</f>
        <v/>
      </c>
      <c r="E71" s="113">
        <f>IF(OR(ISNUMBER(SEARCH("Luxury",'01_MASTER_DATABASE'!B68)),ISNUMBER(SEARCH("Cầu",'01_MASTER_DATABASE'!B68))),"&gt;= 5,000,000",IF(ISNUMBER(SEARCH("Tầm trung",'01_MASTER_DATABASE'!B68)),"2,500,000 - 4,000,000","1,500,000 - 2,200,000"))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'01_MASTER_DATABASE'!B69</f>
        <v/>
      </c>
      <c r="D72" s="113">
        <f>IF(OR(ISNUMBER(SEARCH("Luxury",'01_MASTER_DATABASE'!B69)),ISNUMBER(SEARCH("Cầu",'01_MASTER_DATABASE'!B69))),"Cao (&gt;= 120k/kg)",IF(ISNUMBER(SEARCH("Tầm trung",'01_MASTER_DATABASE'!B69)),"Trung bình (85k - 100k/kg)","Kinh tế (&lt;= 85k/kg)"))</f>
        <v/>
      </c>
      <c r="E72" s="113">
        <f>IF(OR(ISNUMBER(SEARCH("Luxury",'01_MASTER_DATABASE'!B69)),ISNUMBER(SEARCH("Cầu",'01_MASTER_DATABASE'!B69))),"&gt;= 5,000,000",IF(ISNUMBER(SEARCH("Tầm trung",'01_MASTER_DATABASE'!B69)),"2,500,000 - 4,000,000","1,500,000 - 2,200,000"))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'01_MASTER_DATABASE'!B70</f>
        <v/>
      </c>
      <c r="D73" s="113">
        <f>IF(OR(ISNUMBER(SEARCH("Luxury",'01_MASTER_DATABASE'!B70)),ISNUMBER(SEARCH("Cầu",'01_MASTER_DATABASE'!B70))),"Cao (&gt;= 120k/kg)",IF(ISNUMBER(SEARCH("Tầm trung",'01_MASTER_DATABASE'!B70)),"Trung bình (85k - 100k/kg)","Kinh tế (&lt;= 85k/kg)"))</f>
        <v/>
      </c>
      <c r="E73" s="113">
        <f>IF(OR(ISNUMBER(SEARCH("Luxury",'01_MASTER_DATABASE'!B70)),ISNUMBER(SEARCH("Cầu",'01_MASTER_DATABASE'!B70))),"&gt;= 5,000,000",IF(ISNUMBER(SEARCH("Tầm trung",'01_MASTER_DATABASE'!B70)),"2,500,000 - 4,000,000","1,500,000 - 2,200,000"))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'01_MASTER_DATABASE'!B71</f>
        <v/>
      </c>
      <c r="D74" s="113">
        <f>IF(OR(ISNUMBER(SEARCH("Luxury",'01_MASTER_DATABASE'!B71)),ISNUMBER(SEARCH("Cầu",'01_MASTER_DATABASE'!B71))),"Cao (&gt;= 120k/kg)",IF(ISNUMBER(SEARCH("Tầm trung",'01_MASTER_DATABASE'!B71)),"Trung bình (85k - 100k/kg)","Kinh tế (&lt;= 85k/kg)"))</f>
        <v/>
      </c>
      <c r="E74" s="113">
        <f>IF(OR(ISNUMBER(SEARCH("Luxury",'01_MASTER_DATABASE'!B71)),ISNUMBER(SEARCH("Cầu",'01_MASTER_DATABASE'!B71))),"&gt;= 5,000,000",IF(ISNUMBER(SEARCH("Tầm trung",'01_MASTER_DATABASE'!B71)),"2,500,000 - 4,000,000","1,500,000 - 2,200,000"))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'01_MASTER_DATABASE'!B72</f>
        <v/>
      </c>
      <c r="D75" s="113">
        <f>IF(OR(ISNUMBER(SEARCH("Luxury",'01_MASTER_DATABASE'!B72)),ISNUMBER(SEARCH("Cầu",'01_MASTER_DATABASE'!B72))),"Cao (&gt;= 120k/kg)",IF(ISNUMBER(SEARCH("Tầm trung",'01_MASTER_DATABASE'!B72)),"Trung bình (85k - 100k/kg)","Kinh tế (&lt;= 85k/kg)"))</f>
        <v/>
      </c>
      <c r="E75" s="113">
        <f>IF(OR(ISNUMBER(SEARCH("Luxury",'01_MASTER_DATABASE'!B72)),ISNUMBER(SEARCH("Cầu",'01_MASTER_DATABASE'!B72))),"&gt;= 5,000,000",IF(ISNUMBER(SEARCH("Tầm trung",'01_MASTER_DATABASE'!B72)),"2,500,000 - 4,000,000","1,500,000 - 2,200,000"))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'01_MASTER_DATABASE'!B73</f>
        <v/>
      </c>
      <c r="D76" s="113">
        <f>IF(OR(ISNUMBER(SEARCH("Luxury",'01_MASTER_DATABASE'!B73)),ISNUMBER(SEARCH("Cầu",'01_MASTER_DATABASE'!B73))),"Cao (&gt;= 120k/kg)",IF(ISNUMBER(SEARCH("Tầm trung",'01_MASTER_DATABASE'!B73)),"Trung bình (85k - 100k/kg)","Kinh tế (&lt;= 85k/kg)"))</f>
        <v/>
      </c>
      <c r="E76" s="113">
        <f>IF(OR(ISNUMBER(SEARCH("Luxury",'01_MASTER_DATABASE'!B73)),ISNUMBER(SEARCH("Cầu",'01_MASTER_DATABASE'!B73))),"&gt;= 5,000,000",IF(ISNUMBER(SEARCH("Tầm trung",'01_MASTER_DATABASE'!B73)),"2,500,000 - 4,000,000","1,500,000 - 2,200,000"))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'01_MASTER_DATABASE'!B74</f>
        <v/>
      </c>
      <c r="D77" s="113">
        <f>IF(OR(ISNUMBER(SEARCH("Luxury",'01_MASTER_DATABASE'!B74)),ISNUMBER(SEARCH("Cầu",'01_MASTER_DATABASE'!B74))),"Cao (&gt;= 120k/kg)",IF(ISNUMBER(SEARCH("Tầm trung",'01_MASTER_DATABASE'!B74)),"Trung bình (85k - 100k/kg)","Kinh tế (&lt;= 85k/kg)"))</f>
        <v/>
      </c>
      <c r="E77" s="113">
        <f>IF(OR(ISNUMBER(SEARCH("Luxury",'01_MASTER_DATABASE'!B74)),ISNUMBER(SEARCH("Cầu",'01_MASTER_DATABASE'!B74))),"&gt;= 5,000,000",IF(ISNUMBER(SEARCH("Tầm trung",'01_MASTER_DATABASE'!B74)),"2,500,000 - 4,000,000","1,500,000 - 2,200,000"))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'01_MASTER_DATABASE'!B75</f>
        <v/>
      </c>
      <c r="D78" s="113">
        <f>IF(OR(ISNUMBER(SEARCH("Luxury",'01_MASTER_DATABASE'!B75)),ISNUMBER(SEARCH("Cầu",'01_MASTER_DATABASE'!B75))),"Cao (&gt;= 120k/kg)",IF(ISNUMBER(SEARCH("Tầm trung",'01_MASTER_DATABASE'!B75)),"Trung bình (85k - 100k/kg)","Kinh tế (&lt;= 85k/kg)"))</f>
        <v/>
      </c>
      <c r="E78" s="113">
        <f>IF(OR(ISNUMBER(SEARCH("Luxury",'01_MASTER_DATABASE'!B75)),ISNUMBER(SEARCH("Cầu",'01_MASTER_DATABASE'!B75))),"&gt;= 5,000,000",IF(ISNUMBER(SEARCH("Tầm trung",'01_MASTER_DATABASE'!B75)),"2,500,000 - 4,000,000","1,500,000 - 2,200,000"))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'01_MASTER_DATABASE'!B76</f>
        <v/>
      </c>
      <c r="D79" s="113">
        <f>IF(OR(ISNUMBER(SEARCH("Luxury",'01_MASTER_DATABASE'!B76)),ISNUMBER(SEARCH("Cầu",'01_MASTER_DATABASE'!B76))),"Cao (&gt;= 120k/kg)",IF(ISNUMBER(SEARCH("Tầm trung",'01_MASTER_DATABASE'!B76)),"Trung bình (85k - 100k/kg)","Kinh tế (&lt;= 85k/kg)"))</f>
        <v/>
      </c>
      <c r="E79" s="113">
        <f>IF(OR(ISNUMBER(SEARCH("Luxury",'01_MASTER_DATABASE'!B76)),ISNUMBER(SEARCH("Cầu",'01_MASTER_DATABASE'!B76))),"&gt;= 5,000,000",IF(ISNUMBER(SEARCH("Tầm trung",'01_MASTER_DATABASE'!B76)),"2,500,000 - 4,000,000","1,500,000 - 2,200,000"))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'01_MASTER_DATABASE'!B77</f>
        <v/>
      </c>
      <c r="D80" s="113">
        <f>IF(OR(ISNUMBER(SEARCH("Luxury",'01_MASTER_DATABASE'!B77)),ISNUMBER(SEARCH("Cầu",'01_MASTER_DATABASE'!B77))),"Cao (&gt;= 120k/kg)",IF(ISNUMBER(SEARCH("Tầm trung",'01_MASTER_DATABASE'!B77)),"Trung bình (85k - 100k/kg)","Kinh tế (&lt;= 85k/kg)"))</f>
        <v/>
      </c>
      <c r="E80" s="113">
        <f>IF(OR(ISNUMBER(SEARCH("Luxury",'01_MASTER_DATABASE'!B77)),ISNUMBER(SEARCH("Cầu",'01_MASTER_DATABASE'!B77))),"&gt;= 5,000,000",IF(ISNUMBER(SEARCH("Tầm trung",'01_MASTER_DATABASE'!B77)),"2,500,000 - 4,000,000","1,500,000 - 2,200,000"))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'01_MASTER_DATABASE'!B78</f>
        <v/>
      </c>
      <c r="D81" s="113">
        <f>IF(OR(ISNUMBER(SEARCH("Luxury",'01_MASTER_DATABASE'!B78)),ISNUMBER(SEARCH("Cầu",'01_MASTER_DATABASE'!B78))),"Cao (&gt;= 120k/kg)",IF(ISNUMBER(SEARCH("Tầm trung",'01_MASTER_DATABASE'!B78)),"Trung bình (85k - 100k/kg)","Kinh tế (&lt;= 85k/kg)"))</f>
        <v/>
      </c>
      <c r="E81" s="113">
        <f>IF(OR(ISNUMBER(SEARCH("Luxury",'01_MASTER_DATABASE'!B78)),ISNUMBER(SEARCH("Cầu",'01_MASTER_DATABASE'!B78))),"&gt;= 5,000,000",IF(ISNUMBER(SEARCH("Tầm trung",'01_MASTER_DATABASE'!B78)),"2,500,000 - 4,000,000","1,500,000 - 2,200,000"))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'01_MASTER_DATABASE'!B79</f>
        <v/>
      </c>
      <c r="D82" s="113">
        <f>IF(OR(ISNUMBER(SEARCH("Luxury",'01_MASTER_DATABASE'!B79)),ISNUMBER(SEARCH("Cầu",'01_MASTER_DATABASE'!B79))),"Cao (&gt;= 120k/kg)",IF(ISNUMBER(SEARCH("Tầm trung",'01_MASTER_DATABASE'!B79)),"Trung bình (85k - 100k/kg)","Kinh tế (&lt;= 85k/kg)"))</f>
        <v/>
      </c>
      <c r="E82" s="113">
        <f>IF(OR(ISNUMBER(SEARCH("Luxury",'01_MASTER_DATABASE'!B79)),ISNUMBER(SEARCH("Cầu",'01_MASTER_DATABASE'!B79))),"&gt;= 5,000,000",IF(ISNUMBER(SEARCH("Tầm trung",'01_MASTER_DATABASE'!B79)),"2,500,000 - 4,000,000","1,500,000 - 2,200,000"))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'01_MASTER_DATABASE'!B80</f>
        <v/>
      </c>
      <c r="D83" s="113">
        <f>IF(OR(ISNUMBER(SEARCH("Luxury",'01_MASTER_DATABASE'!B80)),ISNUMBER(SEARCH("Cầu",'01_MASTER_DATABASE'!B80))),"Cao (&gt;= 120k/kg)",IF(ISNUMBER(SEARCH("Tầm trung",'01_MASTER_DATABASE'!B80)),"Trung bình (85k - 100k/kg)","Kinh tế (&lt;= 85k/kg)"))</f>
        <v/>
      </c>
      <c r="E83" s="113">
        <f>IF(OR(ISNUMBER(SEARCH("Luxury",'01_MASTER_DATABASE'!B80)),ISNUMBER(SEARCH("Cầu",'01_MASTER_DATABASE'!B80))),"&gt;= 5,000,000",IF(ISNUMBER(SEARCH("Tầm trung",'01_MASTER_DATABASE'!B80)),"2,500,000 - 4,000,000","1,500,000 - 2,200,000"))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'01_MASTER_DATABASE'!B81</f>
        <v/>
      </c>
      <c r="D84" s="113">
        <f>IF(OR(ISNUMBER(SEARCH("Luxury",'01_MASTER_DATABASE'!B81)),ISNUMBER(SEARCH("Cầu",'01_MASTER_DATABASE'!B81))),"Cao (&gt;= 120k/kg)",IF(ISNUMBER(SEARCH("Tầm trung",'01_MASTER_DATABASE'!B81)),"Trung bình (85k - 100k/kg)","Kinh tế (&lt;= 85k/kg)"))</f>
        <v/>
      </c>
      <c r="E84" s="113">
        <f>IF(OR(ISNUMBER(SEARCH("Luxury",'01_MASTER_DATABASE'!B81)),ISNUMBER(SEARCH("Cầu",'01_MASTER_DATABASE'!B81))),"&gt;= 5,000,000",IF(ISNUMBER(SEARCH("Tầm trung",'01_MASTER_DATABASE'!B81)),"2,500,000 - 4,000,000","1,500,000 - 2,200,000"))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'01_MASTER_DATABASE'!B82</f>
        <v/>
      </c>
      <c r="D85" s="113">
        <f>IF(OR(ISNUMBER(SEARCH("Luxury",'01_MASTER_DATABASE'!B82)),ISNUMBER(SEARCH("Cầu",'01_MASTER_DATABASE'!B82))),"Cao (&gt;= 120k/kg)",IF(ISNUMBER(SEARCH("Tầm trung",'01_MASTER_DATABASE'!B82)),"Trung bình (85k - 100k/kg)","Kinh tế (&lt;= 85k/kg)"))</f>
        <v/>
      </c>
      <c r="E85" s="113">
        <f>IF(OR(ISNUMBER(SEARCH("Luxury",'01_MASTER_DATABASE'!B82)),ISNUMBER(SEARCH("Cầu",'01_MASTER_DATABASE'!B82))),"&gt;= 5,000,000",IF(ISNUMBER(SEARCH("Tầm trung",'01_MASTER_DATABASE'!B82)),"2,500,000 - 4,000,000","1,500,000 - 2,200,000"))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'01_MASTER_DATABASE'!B83</f>
        <v/>
      </c>
      <c r="D86" s="113">
        <f>IF(OR(ISNUMBER(SEARCH("Luxury",'01_MASTER_DATABASE'!B83)),ISNUMBER(SEARCH("Cầu",'01_MASTER_DATABASE'!B83))),"Cao (&gt;= 120k/kg)",IF(ISNUMBER(SEARCH("Tầm trung",'01_MASTER_DATABASE'!B83)),"Trung bình (85k - 100k/kg)","Kinh tế (&lt;= 85k/kg)"))</f>
        <v/>
      </c>
      <c r="E86" s="113">
        <f>IF(OR(ISNUMBER(SEARCH("Luxury",'01_MASTER_DATABASE'!B83)),ISNUMBER(SEARCH("Cầu",'01_MASTER_DATABASE'!B83))),"&gt;= 5,000,000",IF(ISNUMBER(SEARCH("Tầm trung",'01_MASTER_DATABASE'!B83)),"2,500,000 - 4,000,000","1,500,000 - 2,200,000"))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'01_MASTER_DATABASE'!B84</f>
        <v/>
      </c>
      <c r="D87" s="113">
        <f>IF(OR(ISNUMBER(SEARCH("Luxury",'01_MASTER_DATABASE'!B84)),ISNUMBER(SEARCH("Cầu",'01_MASTER_DATABASE'!B84))),"Cao (&gt;= 120k/kg)",IF(ISNUMBER(SEARCH("Tầm trung",'01_MASTER_DATABASE'!B84)),"Trung bình (85k - 100k/kg)","Kinh tế (&lt;= 85k/kg)"))</f>
        <v/>
      </c>
      <c r="E87" s="113">
        <f>IF(OR(ISNUMBER(SEARCH("Luxury",'01_MASTER_DATABASE'!B84)),ISNUMBER(SEARCH("Cầu",'01_MASTER_DATABASE'!B84))),"&gt;= 5,000,000",IF(ISNUMBER(SEARCH("Tầm trung",'01_MASTER_DATABASE'!B84)),"2,500,000 - 4,000,000","1,500,000 - 2,200,000"))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'01_MASTER_DATABASE'!B85</f>
        <v/>
      </c>
      <c r="D88" s="113">
        <f>IF(OR(ISNUMBER(SEARCH("Luxury",'01_MASTER_DATABASE'!B85)),ISNUMBER(SEARCH("Cầu",'01_MASTER_DATABASE'!B85))),"Cao (&gt;= 120k/kg)",IF(ISNUMBER(SEARCH("Tầm trung",'01_MASTER_DATABASE'!B85)),"Trung bình (85k - 100k/kg)","Kinh tế (&lt;= 85k/kg)"))</f>
        <v/>
      </c>
      <c r="E88" s="113">
        <f>IF(OR(ISNUMBER(SEARCH("Luxury",'01_MASTER_DATABASE'!B85)),ISNUMBER(SEARCH("Cầu",'01_MASTER_DATABASE'!B85))),"&gt;= 5,000,000",IF(ISNUMBER(SEARCH("Tầm trung",'01_MASTER_DATABASE'!B85)),"2,500,000 - 4,000,000","1,500,000 - 2,200,000"))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'01_MASTER_DATABASE'!B86</f>
        <v/>
      </c>
      <c r="D89" s="113">
        <f>IF(OR(ISNUMBER(SEARCH("Luxury",'01_MASTER_DATABASE'!B86)),ISNUMBER(SEARCH("Cầu",'01_MASTER_DATABASE'!B86))),"Cao (&gt;= 120k/kg)",IF(ISNUMBER(SEARCH("Tầm trung",'01_MASTER_DATABASE'!B86)),"Trung bình (85k - 100k/kg)","Kinh tế (&lt;= 85k/kg)"))</f>
        <v/>
      </c>
      <c r="E89" s="113">
        <f>IF(OR(ISNUMBER(SEARCH("Luxury",'01_MASTER_DATABASE'!B86)),ISNUMBER(SEARCH("Cầu",'01_MASTER_DATABASE'!B86))),"&gt;= 5,000,000",IF(ISNUMBER(SEARCH("Tầm trung",'01_MASTER_DATABASE'!B86)),"2,500,000 - 4,000,000","1,500,000 - 2,200,000"))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'01_MASTER_DATABASE'!B87</f>
        <v/>
      </c>
      <c r="D90" s="113">
        <f>IF(OR(ISNUMBER(SEARCH("Luxury",'01_MASTER_DATABASE'!B87)),ISNUMBER(SEARCH("Cầu",'01_MASTER_DATABASE'!B87))),"Cao (&gt;= 120k/kg)",IF(ISNUMBER(SEARCH("Tầm trung",'01_MASTER_DATABASE'!B87)),"Trung bình (85k - 100k/kg)","Kinh tế (&lt;= 85k/kg)"))</f>
        <v/>
      </c>
      <c r="E90" s="113">
        <f>IF(OR(ISNUMBER(SEARCH("Luxury",'01_MASTER_DATABASE'!B87)),ISNUMBER(SEARCH("Cầu",'01_MASTER_DATABASE'!B87))),"&gt;= 5,000,000",IF(ISNUMBER(SEARCH("Tầm trung",'01_MASTER_DATABASE'!B87)),"2,500,000 - 4,000,000","1,500,000 - 2,200,000"))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'01_MASTER_DATABASE'!B88</f>
        <v/>
      </c>
      <c r="D91" s="113">
        <f>IF(OR(ISNUMBER(SEARCH("Luxury",'01_MASTER_DATABASE'!B88)),ISNUMBER(SEARCH("Cầu",'01_MASTER_DATABASE'!B88))),"Cao (&gt;= 120k/kg)",IF(ISNUMBER(SEARCH("Tầm trung",'01_MASTER_DATABASE'!B88)),"Trung bình (85k - 100k/kg)","Kinh tế (&lt;= 85k/kg)"))</f>
        <v/>
      </c>
      <c r="E91" s="113">
        <f>IF(OR(ISNUMBER(SEARCH("Luxury",'01_MASTER_DATABASE'!B88)),ISNUMBER(SEARCH("Cầu",'01_MASTER_DATABASE'!B88))),"&gt;= 5,000,000",IF(ISNUMBER(SEARCH("Tầm trung",'01_MASTER_DATABASE'!B88)),"2,500,000 - 4,000,000","1,500,000 - 2,200,000"))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'01_MASTER_DATABASE'!B89</f>
        <v/>
      </c>
      <c r="D92" s="113">
        <f>IF(OR(ISNUMBER(SEARCH("Luxury",'01_MASTER_DATABASE'!B89)),ISNUMBER(SEARCH("Cầu",'01_MASTER_DATABASE'!B89))),"Cao (&gt;= 120k/kg)",IF(ISNUMBER(SEARCH("Tầm trung",'01_MASTER_DATABASE'!B89)),"Trung bình (85k - 100k/kg)","Kinh tế (&lt;= 85k/kg)"))</f>
        <v/>
      </c>
      <c r="E92" s="113">
        <f>IF(OR(ISNUMBER(SEARCH("Luxury",'01_MASTER_DATABASE'!B89)),ISNUMBER(SEARCH("Cầu",'01_MASTER_DATABASE'!B89))),"&gt;= 5,000,000",IF(ISNUMBER(SEARCH("Tầm trung",'01_MASTER_DATABASE'!B89)),"2,500,000 - 4,000,000","1,500,000 - 2,200,000"))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'01_MASTER_DATABASE'!B90</f>
        <v/>
      </c>
      <c r="D93" s="113">
        <f>IF(OR(ISNUMBER(SEARCH("Luxury",'01_MASTER_DATABASE'!B90)),ISNUMBER(SEARCH("Cầu",'01_MASTER_DATABASE'!B90))),"Cao (&gt;= 120k/kg)",IF(ISNUMBER(SEARCH("Tầm trung",'01_MASTER_DATABASE'!B90)),"Trung bình (85k - 100k/kg)","Kinh tế (&lt;= 85k/kg)"))</f>
        <v/>
      </c>
      <c r="E93" s="113">
        <f>IF(OR(ISNUMBER(SEARCH("Luxury",'01_MASTER_DATABASE'!B90)),ISNUMBER(SEARCH("Cầu",'01_MASTER_DATABASE'!B90))),"&gt;= 5,000,000",IF(ISNUMBER(SEARCH("Tầm trung",'01_MASTER_DATABASE'!B90)),"2,500,000 - 4,000,000","1,500,000 - 2,200,000"))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'01_MASTER_DATABASE'!B91</f>
        <v/>
      </c>
      <c r="D94" s="113">
        <f>IF(OR(ISNUMBER(SEARCH("Luxury",'01_MASTER_DATABASE'!B91)),ISNUMBER(SEARCH("Cầu",'01_MASTER_DATABASE'!B91))),"Cao (&gt;= 120k/kg)",IF(ISNUMBER(SEARCH("Tầm trung",'01_MASTER_DATABASE'!B91)),"Trung bình (85k - 100k/kg)","Kinh tế (&lt;= 85k/kg)"))</f>
        <v/>
      </c>
      <c r="E94" s="113">
        <f>IF(OR(ISNUMBER(SEARCH("Luxury",'01_MASTER_DATABASE'!B91)),ISNUMBER(SEARCH("Cầu",'01_MASTER_DATABASE'!B91))),"&gt;= 5,000,000",IF(ISNUMBER(SEARCH("Tầm trung",'01_MASTER_DATABASE'!B91)),"2,500,000 - 4,000,000","1,500,000 - 2,200,000"))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'01_MASTER_DATABASE'!B92</f>
        <v/>
      </c>
      <c r="D95" s="113">
        <f>IF(OR(ISNUMBER(SEARCH("Luxury",'01_MASTER_DATABASE'!B92)),ISNUMBER(SEARCH("Cầu",'01_MASTER_DATABASE'!B92))),"Cao (&gt;= 120k/kg)",IF(ISNUMBER(SEARCH("Tầm trung",'01_MASTER_DATABASE'!B92)),"Trung bình (85k - 100k/kg)","Kinh tế (&lt;= 85k/kg)"))</f>
        <v/>
      </c>
      <c r="E95" s="113">
        <f>IF(OR(ISNUMBER(SEARCH("Luxury",'01_MASTER_DATABASE'!B92)),ISNUMBER(SEARCH("Cầu",'01_MASTER_DATABASE'!B92))),"&gt;= 5,000,000",IF(ISNUMBER(SEARCH("Tầm trung",'01_MASTER_DATABASE'!B92)),"2,500,000 - 4,000,000","1,500,000 - 2,200,000"))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'01_MASTER_DATABASE'!B93</f>
        <v/>
      </c>
      <c r="D96" s="113">
        <f>IF(OR(ISNUMBER(SEARCH("Luxury",'01_MASTER_DATABASE'!B93)),ISNUMBER(SEARCH("Cầu",'01_MASTER_DATABASE'!B93))),"Cao (&gt;= 120k/kg)",IF(ISNUMBER(SEARCH("Tầm trung",'01_MASTER_DATABASE'!B93)),"Trung bình (85k - 100k/kg)","Kinh tế (&lt;= 85k/kg)"))</f>
        <v/>
      </c>
      <c r="E96" s="113">
        <f>IF(OR(ISNUMBER(SEARCH("Luxury",'01_MASTER_DATABASE'!B93)),ISNUMBER(SEARCH("Cầu",'01_MASTER_DATABASE'!B93))),"&gt;= 5,000,000",IF(ISNUMBER(SEARCH("Tầm trung",'01_MASTER_DATABASE'!B93)),"2,500,000 - 4,000,000","1,500,000 - 2,200,000"))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'01_MASTER_DATABASE'!B94</f>
        <v/>
      </c>
      <c r="D97" s="113">
        <f>IF(OR(ISNUMBER(SEARCH("Luxury",'01_MASTER_DATABASE'!B94)),ISNUMBER(SEARCH("Cầu",'01_MASTER_DATABASE'!B94))),"Cao (&gt;= 120k/kg)",IF(ISNUMBER(SEARCH("Tầm trung",'01_MASTER_DATABASE'!B94)),"Trung bình (85k - 100k/kg)","Kinh tế (&lt;= 85k/kg)"))</f>
        <v/>
      </c>
      <c r="E97" s="113">
        <f>IF(OR(ISNUMBER(SEARCH("Luxury",'01_MASTER_DATABASE'!B94)),ISNUMBER(SEARCH("Cầu",'01_MASTER_DATABASE'!B94))),"&gt;= 5,000,000",IF(ISNUMBER(SEARCH("Tầm trung",'01_MASTER_DATABASE'!B94)),"2,500,000 - 4,000,000","1,500,000 - 2,200,000"))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'01_MASTER_DATABASE'!B95</f>
        <v/>
      </c>
      <c r="D98" s="113">
        <f>IF(OR(ISNUMBER(SEARCH("Luxury",'01_MASTER_DATABASE'!B95)),ISNUMBER(SEARCH("Cầu",'01_MASTER_DATABASE'!B95))),"Cao (&gt;= 120k/kg)",IF(ISNUMBER(SEARCH("Tầm trung",'01_MASTER_DATABASE'!B95)),"Trung bình (85k - 100k/kg)","Kinh tế (&lt;= 85k/kg)"))</f>
        <v/>
      </c>
      <c r="E98" s="113">
        <f>IF(OR(ISNUMBER(SEARCH("Luxury",'01_MASTER_DATABASE'!B95)),ISNUMBER(SEARCH("Cầu",'01_MASTER_DATABASE'!B95))),"&gt;= 5,000,000",IF(ISNUMBER(SEARCH("Tầm trung",'01_MASTER_DATABASE'!B95)),"2,500,000 - 4,000,000","1,500,000 - 2,200,000"))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'01_MASTER_DATABASE'!B96</f>
        <v/>
      </c>
      <c r="D99" s="113">
        <f>IF(OR(ISNUMBER(SEARCH("Luxury",'01_MASTER_DATABASE'!B96)),ISNUMBER(SEARCH("Cầu",'01_MASTER_DATABASE'!B96))),"Cao (&gt;= 120k/kg)",IF(ISNUMBER(SEARCH("Tầm trung",'01_MASTER_DATABASE'!B96)),"Trung bình (85k - 100k/kg)","Kinh tế (&lt;= 85k/kg)"))</f>
        <v/>
      </c>
      <c r="E99" s="113">
        <f>IF(OR(ISNUMBER(SEARCH("Luxury",'01_MASTER_DATABASE'!B96)),ISNUMBER(SEARCH("Cầu",'01_MASTER_DATABASE'!B96))),"&gt;= 5,000,000",IF(ISNUMBER(SEARCH("Tầm trung",'01_MASTER_DATABASE'!B96)),"2,500,000 - 4,000,000","1,500,000 - 2,200,000"))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'01_MASTER_DATABASE'!B97</f>
        <v/>
      </c>
      <c r="D100" s="113">
        <f>IF(OR(ISNUMBER(SEARCH("Luxury",'01_MASTER_DATABASE'!B97)),ISNUMBER(SEARCH("Cầu",'01_MASTER_DATABASE'!B97))),"Cao (&gt;= 120k/kg)",IF(ISNUMBER(SEARCH("Tầm trung",'01_MASTER_DATABASE'!B97)),"Trung bình (85k - 100k/kg)","Kinh tế (&lt;= 85k/kg)"))</f>
        <v/>
      </c>
      <c r="E100" s="113">
        <f>IF(OR(ISNUMBER(SEARCH("Luxury",'01_MASTER_DATABASE'!B97)),ISNUMBER(SEARCH("Cầu",'01_MASTER_DATABASE'!B97))),"&gt;= 5,000,000",IF(ISNUMBER(SEARCH("Tầm trung",'01_MASTER_DATABASE'!B97)),"2,500,000 - 4,000,000","1,500,000 - 2,200,000"))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'01_MASTER_DATABASE'!B98</f>
        <v/>
      </c>
      <c r="D101" s="113">
        <f>IF(OR(ISNUMBER(SEARCH("Luxury",'01_MASTER_DATABASE'!B98)),ISNUMBER(SEARCH("Cầu",'01_MASTER_DATABASE'!B98))),"Cao (&gt;= 120k/kg)",IF(ISNUMBER(SEARCH("Tầm trung",'01_MASTER_DATABASE'!B98)),"Trung bình (85k - 100k/kg)","Kinh tế (&lt;= 85k/kg)"))</f>
        <v/>
      </c>
      <c r="E101" s="113">
        <f>IF(OR(ISNUMBER(SEARCH("Luxury",'01_MASTER_DATABASE'!B98)),ISNUMBER(SEARCH("Cầu",'01_MASTER_DATABASE'!B98))),"&gt;= 5,000,000",IF(ISNUMBER(SEARCH("Tầm trung",'01_MASTER_DATABASE'!B98)),"2,500,000 - 4,000,000","1,500,000 - 2,200,000"))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'01_MASTER_DATABASE'!B99</f>
        <v/>
      </c>
      <c r="D102" s="113">
        <f>IF(OR(ISNUMBER(SEARCH("Luxury",'01_MASTER_DATABASE'!B99)),ISNUMBER(SEARCH("Cầu",'01_MASTER_DATABASE'!B99))),"Cao (&gt;= 120k/kg)",IF(ISNUMBER(SEARCH("Tầm trung",'01_MASTER_DATABASE'!B99)),"Trung bình (85k - 100k/kg)","Kinh tế (&lt;= 85k/kg)"))</f>
        <v/>
      </c>
      <c r="E102" s="113">
        <f>IF(OR(ISNUMBER(SEARCH("Luxury",'01_MASTER_DATABASE'!B99)),ISNUMBER(SEARCH("Cầu",'01_MASTER_DATABASE'!B99))),"&gt;= 5,000,000",IF(ISNUMBER(SEARCH("Tầm trung",'01_MASTER_DATABASE'!B99)),"2,500,000 - 4,000,000","1,500,000 - 2,200,000"))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'01_MASTER_DATABASE'!B100</f>
        <v/>
      </c>
      <c r="D103" s="113">
        <f>IF(OR(ISNUMBER(SEARCH("Luxury",'01_MASTER_DATABASE'!B100)),ISNUMBER(SEARCH("Cầu",'01_MASTER_DATABASE'!B100))),"Cao (&gt;= 120k/kg)",IF(ISNUMBER(SEARCH("Tầm trung",'01_MASTER_DATABASE'!B100)),"Trung bình (85k - 100k/kg)","Kinh tế (&lt;= 85k/kg)"))</f>
        <v/>
      </c>
      <c r="E103" s="113">
        <f>IF(OR(ISNUMBER(SEARCH("Luxury",'01_MASTER_DATABASE'!B100)),ISNUMBER(SEARCH("Cầu",'01_MASTER_DATABASE'!B100))),"&gt;= 5,000,000",IF(ISNUMBER(SEARCH("Tầm trung",'01_MASTER_DATABASE'!B100)),"2,500,000 - 4,000,000","1,500,000 - 2,200,000"))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'01_MASTER_DATABASE'!B101</f>
        <v/>
      </c>
      <c r="D104" s="113">
        <f>IF(OR(ISNUMBER(SEARCH("Luxury",'01_MASTER_DATABASE'!B101)),ISNUMBER(SEARCH("Cầu",'01_MASTER_DATABASE'!B101))),"Cao (&gt;= 120k/kg)",IF(ISNUMBER(SEARCH("Tầm trung",'01_MASTER_DATABASE'!B101)),"Trung bình (85k - 100k/kg)","Kinh tế (&lt;= 85k/kg)"))</f>
        <v/>
      </c>
      <c r="E104" s="113">
        <f>IF(OR(ISNUMBER(SEARCH("Luxury",'01_MASTER_DATABASE'!B101)),ISNUMBER(SEARCH("Cầu",'01_MASTER_DATABASE'!B101))),"&gt;= 5,000,000",IF(ISNUMBER(SEARCH("Tầm trung",'01_MASTER_DATABASE'!B101)),"2,500,000 - 4,000,000","1,500,000 - 2,200,000"))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'01_MASTER_DATABASE'!B102</f>
        <v/>
      </c>
      <c r="D105" s="113">
        <f>IF(OR(ISNUMBER(SEARCH("Luxury",'01_MASTER_DATABASE'!B102)),ISNUMBER(SEARCH("Cầu",'01_MASTER_DATABASE'!B102))),"Cao (&gt;= 120k/kg)",IF(ISNUMBER(SEARCH("Tầm trung",'01_MASTER_DATABASE'!B102)),"Trung bình (85k - 100k/kg)","Kinh tế (&lt;= 85k/kg)"))</f>
        <v/>
      </c>
      <c r="E105" s="113">
        <f>IF(OR(ISNUMBER(SEARCH("Luxury",'01_MASTER_DATABASE'!B102)),ISNUMBER(SEARCH("Cầu",'01_MASTER_DATABASE'!B102))),"&gt;= 5,000,000",IF(ISNUMBER(SEARCH("Tầm trung",'01_MASTER_DATABASE'!B102)),"2,500,000 - 4,000,000","1,500,000 - 2,200,000"))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'01_MASTER_DATABASE'!B103</f>
        <v/>
      </c>
      <c r="D106" s="113">
        <f>IF(OR(ISNUMBER(SEARCH("Luxury",'01_MASTER_DATABASE'!B103)),ISNUMBER(SEARCH("Cầu",'01_MASTER_DATABASE'!B103))),"Cao (&gt;= 120k/kg)",IF(ISNUMBER(SEARCH("Tầm trung",'01_MASTER_DATABASE'!B103)),"Trung bình (85k - 100k/kg)","Kinh tế (&lt;= 85k/kg)"))</f>
        <v/>
      </c>
      <c r="E106" s="113">
        <f>IF(OR(ISNUMBER(SEARCH("Luxury",'01_MASTER_DATABASE'!B103)),ISNUMBER(SEARCH("Cầu",'01_MASTER_DATABASE'!B103))),"&gt;= 5,000,000",IF(ISNUMBER(SEARCH("Tầm trung",'01_MASTER_DATABASE'!B103)),"2,500,000 - 4,000,000","1,500,000 - 2,200,000"))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'01_MASTER_DATABASE'!B104</f>
        <v/>
      </c>
      <c r="D107" s="113">
        <f>IF(OR(ISNUMBER(SEARCH("Luxury",'01_MASTER_DATABASE'!B104)),ISNUMBER(SEARCH("Cầu",'01_MASTER_DATABASE'!B104))),"Cao (&gt;= 120k/kg)",IF(ISNUMBER(SEARCH("Tầm trung",'01_MASTER_DATABASE'!B104)),"Trung bình (85k - 100k/kg)","Kinh tế (&lt;= 85k/kg)"))</f>
        <v/>
      </c>
      <c r="E107" s="113">
        <f>IF(OR(ISNUMBER(SEARCH("Luxury",'01_MASTER_DATABASE'!B104)),ISNUMBER(SEARCH("Cầu",'01_MASTER_DATABASE'!B104))),"&gt;= 5,000,000",IF(ISNUMBER(SEARCH("Tầm trung",'01_MASTER_DATABASE'!B104)),"2,500,000 - 4,000,000","1,500,000 - 2,200,000"))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'01_MASTER_DATABASE'!B105</f>
        <v/>
      </c>
      <c r="D108" s="113">
        <f>IF(OR(ISNUMBER(SEARCH("Luxury",'01_MASTER_DATABASE'!B105)),ISNUMBER(SEARCH("Cầu",'01_MASTER_DATABASE'!B105))),"Cao (&gt;= 120k/kg)",IF(ISNUMBER(SEARCH("Tầm trung",'01_MASTER_DATABASE'!B105)),"Trung bình (85k - 100k/kg)","Kinh tế (&lt;= 85k/kg)"))</f>
        <v/>
      </c>
      <c r="E108" s="113">
        <f>IF(OR(ISNUMBER(SEARCH("Luxury",'01_MASTER_DATABASE'!B105)),ISNUMBER(SEARCH("Cầu",'01_MASTER_DATABASE'!B105))),"&gt;= 5,000,000",IF(ISNUMBER(SEARCH("Tầm trung",'01_MASTER_DATABASE'!B105)),"2,500,000 - 4,000,000","1,500,000 - 2,200,000"))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'01_MASTER_DATABASE'!B106</f>
        <v/>
      </c>
      <c r="D109" s="113">
        <f>IF(OR(ISNUMBER(SEARCH("Luxury",'01_MASTER_DATABASE'!B106)),ISNUMBER(SEARCH("Cầu",'01_MASTER_DATABASE'!B106))),"Cao (&gt;= 120k/kg)",IF(ISNUMBER(SEARCH("Tầm trung",'01_MASTER_DATABASE'!B106)),"Trung bình (85k - 100k/kg)","Kinh tế (&lt;= 85k/kg)"))</f>
        <v/>
      </c>
      <c r="E109" s="113">
        <f>IF(OR(ISNUMBER(SEARCH("Luxury",'01_MASTER_DATABASE'!B106)),ISNUMBER(SEARCH("Cầu",'01_MASTER_DATABASE'!B106))),"&gt;= 5,000,000",IF(ISNUMBER(SEARCH("Tầm trung",'01_MASTER_DATABASE'!B106)),"2,500,000 - 4,000,000","1,500,000 - 2,200,000"))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'01_MASTER_DATABASE'!B107</f>
        <v/>
      </c>
      <c r="D110" s="113">
        <f>IF(OR(ISNUMBER(SEARCH("Luxury",'01_MASTER_DATABASE'!B107)),ISNUMBER(SEARCH("Cầu",'01_MASTER_DATABASE'!B107))),"Cao (&gt;= 120k/kg)",IF(ISNUMBER(SEARCH("Tầm trung",'01_MASTER_DATABASE'!B107)),"Trung bình (85k - 100k/kg)","Kinh tế (&lt;= 85k/kg)"))</f>
        <v/>
      </c>
      <c r="E110" s="113">
        <f>IF(OR(ISNUMBER(SEARCH("Luxury",'01_MASTER_DATABASE'!B107)),ISNUMBER(SEARCH("Cầu",'01_MASTER_DATABASE'!B107))),"&gt;= 5,000,000",IF(ISNUMBER(SEARCH("Tầm trung",'01_MASTER_DATABASE'!B107)),"2,500,000 - 4,000,000","1,500,000 - 2,200,000"))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'01_MASTER_DATABASE'!B108</f>
        <v/>
      </c>
      <c r="D111" s="113">
        <f>IF(OR(ISNUMBER(SEARCH("Luxury",'01_MASTER_DATABASE'!B108)),ISNUMBER(SEARCH("Cầu",'01_MASTER_DATABASE'!B108))),"Cao (&gt;= 120k/kg)",IF(ISNUMBER(SEARCH("Tầm trung",'01_MASTER_DATABASE'!B108)),"Trung bình (85k - 100k/kg)","Kinh tế (&lt;= 85k/kg)"))</f>
        <v/>
      </c>
      <c r="E111" s="113">
        <f>IF(OR(ISNUMBER(SEARCH("Luxury",'01_MASTER_DATABASE'!B108)),ISNUMBER(SEARCH("Cầu",'01_MASTER_DATABASE'!B108))),"&gt;= 5,000,000",IF(ISNUMBER(SEARCH("Tầm trung",'01_MASTER_DATABASE'!B108)),"2,500,000 - 4,000,000","1,500,000 - 2,200,000"))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'01_MASTER_DATABASE'!B109</f>
        <v/>
      </c>
      <c r="D112" s="113">
        <f>IF(OR(ISNUMBER(SEARCH("Luxury",'01_MASTER_DATABASE'!B109)),ISNUMBER(SEARCH("Cầu",'01_MASTER_DATABASE'!B109))),"Cao (&gt;= 120k/kg)",IF(ISNUMBER(SEARCH("Tầm trung",'01_MASTER_DATABASE'!B109)),"Trung bình (85k - 100k/kg)","Kinh tế (&lt;= 85k/kg)"))</f>
        <v/>
      </c>
      <c r="E112" s="113">
        <f>IF(OR(ISNUMBER(SEARCH("Luxury",'01_MASTER_DATABASE'!B109)),ISNUMBER(SEARCH("Cầu",'01_MASTER_DATABASE'!B109))),"&gt;= 5,000,000",IF(ISNUMBER(SEARCH("Tầm trung",'01_MASTER_DATABASE'!B109)),"2,500,000 - 4,000,000","1,500,000 - 2,200,000"))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'01_MASTER_DATABASE'!B110</f>
        <v/>
      </c>
      <c r="D113" s="113">
        <f>IF(OR(ISNUMBER(SEARCH("Luxury",'01_MASTER_DATABASE'!B110)),ISNUMBER(SEARCH("Cầu",'01_MASTER_DATABASE'!B110))),"Cao (&gt;= 120k/kg)",IF(ISNUMBER(SEARCH("Tầm trung",'01_MASTER_DATABASE'!B110)),"Trung bình (85k - 100k/kg)","Kinh tế (&lt;= 85k/kg)"))</f>
        <v/>
      </c>
      <c r="E113" s="113">
        <f>IF(OR(ISNUMBER(SEARCH("Luxury",'01_MASTER_DATABASE'!B110)),ISNUMBER(SEARCH("Cầu",'01_MASTER_DATABASE'!B110))),"&gt;= 5,000,000",IF(ISNUMBER(SEARCH("Tầm trung",'01_MASTER_DATABASE'!B110)),"2,500,000 - 4,000,000","1,500,000 - 2,200,000"))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'01_MASTER_DATABASE'!B111</f>
        <v/>
      </c>
      <c r="D114" s="113">
        <f>IF(OR(ISNUMBER(SEARCH("Luxury",'01_MASTER_DATABASE'!B111)),ISNUMBER(SEARCH("Cầu",'01_MASTER_DATABASE'!B111))),"Cao (&gt;= 120k/kg)",IF(ISNUMBER(SEARCH("Tầm trung",'01_MASTER_DATABASE'!B111)),"Trung bình (85k - 100k/kg)","Kinh tế (&lt;= 85k/kg)"))</f>
        <v/>
      </c>
      <c r="E114" s="113">
        <f>IF(OR(ISNUMBER(SEARCH("Luxury",'01_MASTER_DATABASE'!B111)),ISNUMBER(SEARCH("Cầu",'01_MASTER_DATABASE'!B111))),"&gt;= 5,000,000",IF(ISNUMBER(SEARCH("Tầm trung",'01_MASTER_DATABASE'!B111)),"2,500,000 - 4,000,000","1,500,000 - 2,200,000"))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'01_MASTER_DATABASE'!B112</f>
        <v/>
      </c>
      <c r="D115" s="113">
        <f>IF(OR(ISNUMBER(SEARCH("Luxury",'01_MASTER_DATABASE'!B112)),ISNUMBER(SEARCH("Cầu",'01_MASTER_DATABASE'!B112))),"Cao (&gt;= 120k/kg)",IF(ISNUMBER(SEARCH("Tầm trung",'01_MASTER_DATABASE'!B112)),"Trung bình (85k - 100k/kg)","Kinh tế (&lt;= 85k/kg)"))</f>
        <v/>
      </c>
      <c r="E115" s="113">
        <f>IF(OR(ISNUMBER(SEARCH("Luxury",'01_MASTER_DATABASE'!B112)),ISNUMBER(SEARCH("Cầu",'01_MASTER_DATABASE'!B112))),"&gt;= 5,000,000",IF(ISNUMBER(SEARCH("Tầm trung",'01_MASTER_DATABASE'!B112)),"2,500,000 - 4,000,000","1,500,000 - 2,200,000"))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'01_MASTER_DATABASE'!B113</f>
        <v/>
      </c>
      <c r="D116" s="113">
        <f>IF(OR(ISNUMBER(SEARCH("Luxury",'01_MASTER_DATABASE'!B113)),ISNUMBER(SEARCH("Cầu",'01_MASTER_DATABASE'!B113))),"Cao (&gt;= 120k/kg)",IF(ISNUMBER(SEARCH("Tầm trung",'01_MASTER_DATABASE'!B113)),"Trung bình (85k - 100k/kg)","Kinh tế (&lt;= 85k/kg)"))</f>
        <v/>
      </c>
      <c r="E116" s="113">
        <f>IF(OR(ISNUMBER(SEARCH("Luxury",'01_MASTER_DATABASE'!B113)),ISNUMBER(SEARCH("Cầu",'01_MASTER_DATABASE'!B113))),"&gt;= 5,000,000",IF(ISNUMBER(SEARCH("Tầm trung",'01_MASTER_DATABASE'!B113)),"2,500,000 - 4,000,000","1,500,000 - 2,200,000"))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'01_MASTER_DATABASE'!B114</f>
        <v/>
      </c>
      <c r="D117" s="113">
        <f>IF(OR(ISNUMBER(SEARCH("Luxury",'01_MASTER_DATABASE'!B114)),ISNUMBER(SEARCH("Cầu",'01_MASTER_DATABASE'!B114))),"Cao (&gt;= 120k/kg)",IF(ISNUMBER(SEARCH("Tầm trung",'01_MASTER_DATABASE'!B114)),"Trung bình (85k - 100k/kg)","Kinh tế (&lt;= 85k/kg)"))</f>
        <v/>
      </c>
      <c r="E117" s="113">
        <f>IF(OR(ISNUMBER(SEARCH("Luxury",'01_MASTER_DATABASE'!B114)),ISNUMBER(SEARCH("Cầu",'01_MASTER_DATABASE'!B114))),"&gt;= 5,000,000",IF(ISNUMBER(SEARCH("Tầm trung",'01_MASTER_DATABASE'!B114)),"2,500,000 - 4,000,000","1,500,000 - 2,200,000"))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'01_MASTER_DATABASE'!B115</f>
        <v/>
      </c>
      <c r="D118" s="113">
        <f>IF(OR(ISNUMBER(SEARCH("Luxury",'01_MASTER_DATABASE'!B115)),ISNUMBER(SEARCH("Cầu",'01_MASTER_DATABASE'!B115))),"Cao (&gt;= 120k/kg)",IF(ISNUMBER(SEARCH("Tầm trung",'01_MASTER_DATABASE'!B115)),"Trung bình (85k - 100k/kg)","Kinh tế (&lt;= 85k/kg)"))</f>
        <v/>
      </c>
      <c r="E118" s="113">
        <f>IF(OR(ISNUMBER(SEARCH("Luxury",'01_MASTER_DATABASE'!B115)),ISNUMBER(SEARCH("Cầu",'01_MASTER_DATABASE'!B115))),"&gt;= 5,000,000",IF(ISNUMBER(SEARCH("Tầm trung",'01_MASTER_DATABASE'!B115)),"2,500,000 - 4,000,000","1,500,000 - 2,200,000"))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'01_MASTER_DATABASE'!B116</f>
        <v/>
      </c>
      <c r="D119" s="113">
        <f>IF(OR(ISNUMBER(SEARCH("Luxury",'01_MASTER_DATABASE'!B116)),ISNUMBER(SEARCH("Cầu",'01_MASTER_DATABASE'!B116))),"Cao (&gt;= 120k/kg)",IF(ISNUMBER(SEARCH("Tầm trung",'01_MASTER_DATABASE'!B116)),"Trung bình (85k - 100k/kg)","Kinh tế (&lt;= 85k/kg)"))</f>
        <v/>
      </c>
      <c r="E119" s="113">
        <f>IF(OR(ISNUMBER(SEARCH("Luxury",'01_MASTER_DATABASE'!B116)),ISNUMBER(SEARCH("Cầu",'01_MASTER_DATABASE'!B116))),"&gt;= 5,000,000",IF(ISNUMBER(SEARCH("Tầm trung",'01_MASTER_DATABASE'!B116)),"2,500,000 - 4,000,000","1,500,000 - 2,200,000"))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'01_MASTER_DATABASE'!B117</f>
        <v/>
      </c>
      <c r="D120" s="113">
        <f>IF(OR(ISNUMBER(SEARCH("Luxury",'01_MASTER_DATABASE'!B117)),ISNUMBER(SEARCH("Cầu",'01_MASTER_DATABASE'!B117))),"Cao (&gt;= 120k/kg)",IF(ISNUMBER(SEARCH("Tầm trung",'01_MASTER_DATABASE'!B117)),"Trung bình (85k - 100k/kg)","Kinh tế (&lt;= 85k/kg)"))</f>
        <v/>
      </c>
      <c r="E120" s="113">
        <f>IF(OR(ISNUMBER(SEARCH("Luxury",'01_MASTER_DATABASE'!B117)),ISNUMBER(SEARCH("Cầu",'01_MASTER_DATABASE'!B117))),"&gt;= 5,000,000",IF(ISNUMBER(SEARCH("Tầm trung",'01_MASTER_DATABASE'!B117)),"2,500,000 - 4,000,000","1,500,000 - 2,200,000"))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'01_MASTER_DATABASE'!B118</f>
        <v/>
      </c>
      <c r="D121" s="113">
        <f>IF(OR(ISNUMBER(SEARCH("Luxury",'01_MASTER_DATABASE'!B118)),ISNUMBER(SEARCH("Cầu",'01_MASTER_DATABASE'!B118))),"Cao (&gt;= 120k/kg)",IF(ISNUMBER(SEARCH("Tầm trung",'01_MASTER_DATABASE'!B118)),"Trung bình (85k - 100k/kg)","Kinh tế (&lt;= 85k/kg)"))</f>
        <v/>
      </c>
      <c r="E121" s="113">
        <f>IF(OR(ISNUMBER(SEARCH("Luxury",'01_MASTER_DATABASE'!B118)),ISNUMBER(SEARCH("Cầu",'01_MASTER_DATABASE'!B118))),"&gt;= 5,000,000",IF(ISNUMBER(SEARCH("Tầm trung",'01_MASTER_DATABASE'!B118)),"2,500,000 - 4,000,000","1,500,000 - 2,200,000"))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'01_MASTER_DATABASE'!B119</f>
        <v/>
      </c>
      <c r="D122" s="113">
        <f>IF(OR(ISNUMBER(SEARCH("Luxury",'01_MASTER_DATABASE'!B119)),ISNUMBER(SEARCH("Cầu",'01_MASTER_DATABASE'!B119))),"Cao (&gt;= 120k/kg)",IF(ISNUMBER(SEARCH("Tầm trung",'01_MASTER_DATABASE'!B119)),"Trung bình (85k - 100k/kg)","Kinh tế (&lt;= 85k/kg)"))</f>
        <v/>
      </c>
      <c r="E122" s="113">
        <f>IF(OR(ISNUMBER(SEARCH("Luxury",'01_MASTER_DATABASE'!B119)),ISNUMBER(SEARCH("Cầu",'01_MASTER_DATABASE'!B119))),"&gt;= 5,000,000",IF(ISNUMBER(SEARCH("Tầm trung",'01_MASTER_DATABASE'!B119)),"2,500,000 - 4,000,000","1,500,000 - 2,200,000"))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'01_MASTER_DATABASE'!B120</f>
        <v/>
      </c>
      <c r="D123" s="113">
        <f>IF(OR(ISNUMBER(SEARCH("Luxury",'01_MASTER_DATABASE'!B120)),ISNUMBER(SEARCH("Cầu",'01_MASTER_DATABASE'!B120))),"Cao (&gt;= 120k/kg)",IF(ISNUMBER(SEARCH("Tầm trung",'01_MASTER_DATABASE'!B120)),"Trung bình (85k - 100k/kg)","Kinh tế (&lt;= 85k/kg)"))</f>
        <v/>
      </c>
      <c r="E123" s="113">
        <f>IF(OR(ISNUMBER(SEARCH("Luxury",'01_MASTER_DATABASE'!B120)),ISNUMBER(SEARCH("Cầu",'01_MASTER_DATABASE'!B120))),"&gt;= 5,000,000",IF(ISNUMBER(SEARCH("Tầm trung",'01_MASTER_DATABASE'!B120)),"2,500,000 - 4,000,000","1,500,000 - 2,200,000"))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'01_MASTER_DATABASE'!B121</f>
        <v/>
      </c>
      <c r="D124" s="113">
        <f>IF(OR(ISNUMBER(SEARCH("Luxury",'01_MASTER_DATABASE'!B121)),ISNUMBER(SEARCH("Cầu",'01_MASTER_DATABASE'!B121))),"Cao (&gt;= 120k/kg)",IF(ISNUMBER(SEARCH("Tầm trung",'01_MASTER_DATABASE'!B121)),"Trung bình (85k - 100k/kg)","Kinh tế (&lt;= 85k/kg)"))</f>
        <v/>
      </c>
      <c r="E124" s="113">
        <f>IF(OR(ISNUMBER(SEARCH("Luxury",'01_MASTER_DATABASE'!B121)),ISNUMBER(SEARCH("Cầu",'01_MASTER_DATABASE'!B121))),"&gt;= 5,000,000",IF(ISNUMBER(SEARCH("Tầm trung",'01_MASTER_DATABASE'!B121)),"2,500,000 - 4,000,000","1,500,000 - 2,200,000"))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'01_MASTER_DATABASE'!B122</f>
        <v/>
      </c>
      <c r="D125" s="113">
        <f>IF(OR(ISNUMBER(SEARCH("Luxury",'01_MASTER_DATABASE'!B122)),ISNUMBER(SEARCH("Cầu",'01_MASTER_DATABASE'!B122))),"Cao (&gt;= 120k/kg)",IF(ISNUMBER(SEARCH("Tầm trung",'01_MASTER_DATABASE'!B122)),"Trung bình (85k - 100k/kg)","Kinh tế (&lt;= 85k/kg)"))</f>
        <v/>
      </c>
      <c r="E125" s="113">
        <f>IF(OR(ISNUMBER(SEARCH("Luxury",'01_MASTER_DATABASE'!B122)),ISNUMBER(SEARCH("Cầu",'01_MASTER_DATABASE'!B122))),"&gt;= 5,000,000",IF(ISNUMBER(SEARCH("Tầm trung",'01_MASTER_DATABASE'!B122)),"2,500,000 - 4,000,000","1,500,000 - 2,200,000"))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'01_MASTER_DATABASE'!B123</f>
        <v/>
      </c>
      <c r="D126" s="113">
        <f>IF(OR(ISNUMBER(SEARCH("Luxury",'01_MASTER_DATABASE'!B123)),ISNUMBER(SEARCH("Cầu",'01_MASTER_DATABASE'!B123))),"Cao (&gt;= 120k/kg)",IF(ISNUMBER(SEARCH("Tầm trung",'01_MASTER_DATABASE'!B123)),"Trung bình (85k - 100k/kg)","Kinh tế (&lt;= 85k/kg)"))</f>
        <v/>
      </c>
      <c r="E126" s="113">
        <f>IF(OR(ISNUMBER(SEARCH("Luxury",'01_MASTER_DATABASE'!B123)),ISNUMBER(SEARCH("Cầu",'01_MASTER_DATABASE'!B123))),"&gt;= 5,000,000",IF(ISNUMBER(SEARCH("Tầm trung",'01_MASTER_DATABASE'!B123)),"2,500,000 - 4,000,000","1,500,000 - 2,200,000"))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'01_MASTER_DATABASE'!B124</f>
        <v/>
      </c>
      <c r="D127" s="113">
        <f>IF(OR(ISNUMBER(SEARCH("Luxury",'01_MASTER_DATABASE'!B124)),ISNUMBER(SEARCH("Cầu",'01_MASTER_DATABASE'!B124))),"Cao (&gt;= 120k/kg)",IF(ISNUMBER(SEARCH("Tầm trung",'01_MASTER_DATABASE'!B124)),"Trung bình (85k - 100k/kg)","Kinh tế (&lt;= 85k/kg)"))</f>
        <v/>
      </c>
      <c r="E127" s="113">
        <f>IF(OR(ISNUMBER(SEARCH("Luxury",'01_MASTER_DATABASE'!B124)),ISNUMBER(SEARCH("Cầu",'01_MASTER_DATABASE'!B124))),"&gt;= 5,000,000",IF(ISNUMBER(SEARCH("Tầm trung",'01_MASTER_DATABASE'!B124)),"2,500,000 - 4,000,000","1,500,000 - 2,200,000"))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'01_MASTER_DATABASE'!B125</f>
        <v/>
      </c>
      <c r="D128" s="113">
        <f>IF(OR(ISNUMBER(SEARCH("Luxury",'01_MASTER_DATABASE'!B125)),ISNUMBER(SEARCH("Cầu",'01_MASTER_DATABASE'!B125))),"Cao (&gt;= 120k/kg)",IF(ISNUMBER(SEARCH("Tầm trung",'01_MASTER_DATABASE'!B125)),"Trung bình (85k - 100k/kg)","Kinh tế (&lt;= 85k/kg)"))</f>
        <v/>
      </c>
      <c r="E128" s="113">
        <f>IF(OR(ISNUMBER(SEARCH("Luxury",'01_MASTER_DATABASE'!B125)),ISNUMBER(SEARCH("Cầu",'01_MASTER_DATABASE'!B125))),"&gt;= 5,000,000",IF(ISNUMBER(SEARCH("Tầm trung",'01_MASTER_DATABASE'!B125)),"2,500,000 - 4,000,000","1,500,000 - 2,200,000"))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'01_MASTER_DATABASE'!B126</f>
        <v/>
      </c>
      <c r="D129" s="113">
        <f>IF(OR(ISNUMBER(SEARCH("Luxury",'01_MASTER_DATABASE'!B126)),ISNUMBER(SEARCH("Cầu",'01_MASTER_DATABASE'!B126))),"Cao (&gt;= 120k/kg)",IF(ISNUMBER(SEARCH("Tầm trung",'01_MASTER_DATABASE'!B126)),"Trung bình (85k - 100k/kg)","Kinh tế (&lt;= 85k/kg)"))</f>
        <v/>
      </c>
      <c r="E129" s="113">
        <f>IF(OR(ISNUMBER(SEARCH("Luxury",'01_MASTER_DATABASE'!B126)),ISNUMBER(SEARCH("Cầu",'01_MASTER_DATABASE'!B126))),"&gt;= 5,000,000",IF(ISNUMBER(SEARCH("Tầm trung",'01_MASTER_DATABASE'!B126)),"2,500,000 - 4,000,000","1,500,000 - 2,200,000"))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'01_MASTER_DATABASE'!B127</f>
        <v/>
      </c>
      <c r="D130" s="113">
        <f>IF(OR(ISNUMBER(SEARCH("Luxury",'01_MASTER_DATABASE'!B127)),ISNUMBER(SEARCH("Cầu",'01_MASTER_DATABASE'!B127))),"Cao (&gt;= 120k/kg)",IF(ISNUMBER(SEARCH("Tầm trung",'01_MASTER_DATABASE'!B127)),"Trung bình (85k - 100k/kg)","Kinh tế (&lt;= 85k/kg)"))</f>
        <v/>
      </c>
      <c r="E130" s="113">
        <f>IF(OR(ISNUMBER(SEARCH("Luxury",'01_MASTER_DATABASE'!B127)),ISNUMBER(SEARCH("Cầu",'01_MASTER_DATABASE'!B127))),"&gt;= 5,000,000",IF(ISNUMBER(SEARCH("Tầm trung",'01_MASTER_DATABASE'!B127)),"2,500,000 - 4,000,000","1,500,000 - 2,200,000"))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'01_MASTER_DATABASE'!B128</f>
        <v/>
      </c>
      <c r="D131" s="113">
        <f>IF(OR(ISNUMBER(SEARCH("Luxury",'01_MASTER_DATABASE'!B128)),ISNUMBER(SEARCH("Cầu",'01_MASTER_DATABASE'!B128))),"Cao (&gt;= 120k/kg)",IF(ISNUMBER(SEARCH("Tầm trung",'01_MASTER_DATABASE'!B128)),"Trung bình (85k - 100k/kg)","Kinh tế (&lt;= 85k/kg)"))</f>
        <v/>
      </c>
      <c r="E131" s="113">
        <f>IF(OR(ISNUMBER(SEARCH("Luxury",'01_MASTER_DATABASE'!B128)),ISNUMBER(SEARCH("Cầu",'01_MASTER_DATABASE'!B128))),"&gt;= 5,000,000",IF(ISNUMBER(SEARCH("Tầm trung",'01_MASTER_DATABASE'!B128)),"2,500,000 - 4,000,000","1,500,000 - 2,200,000"))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'01_MASTER_DATABASE'!B129</f>
        <v/>
      </c>
      <c r="D132" s="113">
        <f>IF(OR(ISNUMBER(SEARCH("Luxury",'01_MASTER_DATABASE'!B129)),ISNUMBER(SEARCH("Cầu",'01_MASTER_DATABASE'!B129))),"Cao (&gt;= 120k/kg)",IF(ISNUMBER(SEARCH("Tầm trung",'01_MASTER_DATABASE'!B129)),"Trung bình (85k - 100k/kg)","Kinh tế (&lt;= 85k/kg)"))</f>
        <v/>
      </c>
      <c r="E132" s="113">
        <f>IF(OR(ISNUMBER(SEARCH("Luxury",'01_MASTER_DATABASE'!B129)),ISNUMBER(SEARCH("Cầu",'01_MASTER_DATABASE'!B129))),"&gt;= 5,000,000",IF(ISNUMBER(SEARCH("Tầm trung",'01_MASTER_DATABASE'!B129)),"2,500,000 - 4,000,000","1,500,000 - 2,200,000"))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'01_MASTER_DATABASE'!B130</f>
        <v/>
      </c>
      <c r="D133" s="113">
        <f>IF(OR(ISNUMBER(SEARCH("Luxury",'01_MASTER_DATABASE'!B130)),ISNUMBER(SEARCH("Cầu",'01_MASTER_DATABASE'!B130))),"Cao (&gt;= 120k/kg)",IF(ISNUMBER(SEARCH("Tầm trung",'01_MASTER_DATABASE'!B130)),"Trung bình (85k - 100k/kg)","Kinh tế (&lt;= 85k/kg)"))</f>
        <v/>
      </c>
      <c r="E133" s="113">
        <f>IF(OR(ISNUMBER(SEARCH("Luxury",'01_MASTER_DATABASE'!B130)),ISNUMBER(SEARCH("Cầu",'01_MASTER_DATABASE'!B130))),"&gt;= 5,000,000",IF(ISNUMBER(SEARCH("Tầm trung",'01_MASTER_DATABASE'!B130)),"2,500,000 - 4,000,000","1,500,000 - 2,200,000"))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'01_MASTER_DATABASE'!B131</f>
        <v/>
      </c>
      <c r="D134" s="113">
        <f>IF(OR(ISNUMBER(SEARCH("Luxury",'01_MASTER_DATABASE'!B131)),ISNUMBER(SEARCH("Cầu",'01_MASTER_DATABASE'!B131))),"Cao (&gt;= 120k/kg)",IF(ISNUMBER(SEARCH("Tầm trung",'01_MASTER_DATABASE'!B131)),"Trung bình (85k - 100k/kg)","Kinh tế (&lt;= 85k/kg)"))</f>
        <v/>
      </c>
      <c r="E134" s="113">
        <f>IF(OR(ISNUMBER(SEARCH("Luxury",'01_MASTER_DATABASE'!B131)),ISNUMBER(SEARCH("Cầu",'01_MASTER_DATABASE'!B131))),"&gt;= 5,000,000",IF(ISNUMBER(SEARCH("Tầm trung",'01_MASTER_DATABASE'!B131)),"2,500,000 - 4,000,000","1,500,000 - 2,200,000"))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'01_MASTER_DATABASE'!B132</f>
        <v/>
      </c>
      <c r="D135" s="113">
        <f>IF(OR(ISNUMBER(SEARCH("Luxury",'01_MASTER_DATABASE'!B132)),ISNUMBER(SEARCH("Cầu",'01_MASTER_DATABASE'!B132))),"Cao (&gt;= 120k/kg)",IF(ISNUMBER(SEARCH("Tầm trung",'01_MASTER_DATABASE'!B132)),"Trung bình (85k - 100k/kg)","Kinh tế (&lt;= 85k/kg)"))</f>
        <v/>
      </c>
      <c r="E135" s="113">
        <f>IF(OR(ISNUMBER(SEARCH("Luxury",'01_MASTER_DATABASE'!B132)),ISNUMBER(SEARCH("Cầu",'01_MASTER_DATABASE'!B132))),"&gt;= 5,000,000",IF(ISNUMBER(SEARCH("Tầm trung",'01_MASTER_DATABASE'!B132)),"2,500,000 - 4,000,000","1,500,000 - 2,200,000"))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'01_MASTER_DATABASE'!B133</f>
        <v/>
      </c>
      <c r="D136" s="113">
        <f>IF(OR(ISNUMBER(SEARCH("Luxury",'01_MASTER_DATABASE'!B133)),ISNUMBER(SEARCH("Cầu",'01_MASTER_DATABASE'!B133))),"Cao (&gt;= 120k/kg)",IF(ISNUMBER(SEARCH("Tầm trung",'01_MASTER_DATABASE'!B133)),"Trung bình (85k - 100k/kg)","Kinh tế (&lt;= 85k/kg)"))</f>
        <v/>
      </c>
      <c r="E136" s="113">
        <f>IF(OR(ISNUMBER(SEARCH("Luxury",'01_MASTER_DATABASE'!B133)),ISNUMBER(SEARCH("Cầu",'01_MASTER_DATABASE'!B133))),"&gt;= 5,000,000",IF(ISNUMBER(SEARCH("Tầm trung",'01_MASTER_DATABASE'!B133)),"2,500,000 - 4,000,000","1,500,000 - 2,200,000"))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'01_MASTER_DATABASE'!B134</f>
        <v/>
      </c>
      <c r="D137" s="113">
        <f>IF(OR(ISNUMBER(SEARCH("Luxury",'01_MASTER_DATABASE'!B134)),ISNUMBER(SEARCH("Cầu",'01_MASTER_DATABASE'!B134))),"Cao (&gt;= 120k/kg)",IF(ISNUMBER(SEARCH("Tầm trung",'01_MASTER_DATABASE'!B134)),"Trung bình (85k - 100k/kg)","Kinh tế (&lt;= 85k/kg)"))</f>
        <v/>
      </c>
      <c r="E137" s="113">
        <f>IF(OR(ISNUMBER(SEARCH("Luxury",'01_MASTER_DATABASE'!B134)),ISNUMBER(SEARCH("Cầu",'01_MASTER_DATABASE'!B134))),"&gt;= 5,000,000",IF(ISNUMBER(SEARCH("Tầm trung",'01_MASTER_DATABASE'!B134)),"2,500,000 - 4,000,000","1,500,000 - 2,200,000"))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'01_MASTER_DATABASE'!B135</f>
        <v/>
      </c>
      <c r="D138" s="113">
        <f>IF(OR(ISNUMBER(SEARCH("Luxury",'01_MASTER_DATABASE'!B135)),ISNUMBER(SEARCH("Cầu",'01_MASTER_DATABASE'!B135))),"Cao (&gt;= 120k/kg)",IF(ISNUMBER(SEARCH("Tầm trung",'01_MASTER_DATABASE'!B135)),"Trung bình (85k - 100k/kg)","Kinh tế (&lt;= 85k/kg)"))</f>
        <v/>
      </c>
      <c r="E138" s="113">
        <f>IF(OR(ISNUMBER(SEARCH("Luxury",'01_MASTER_DATABASE'!B135)),ISNUMBER(SEARCH("Cầu",'01_MASTER_DATABASE'!B135))),"&gt;= 5,000,000",IF(ISNUMBER(SEARCH("Tầm trung",'01_MASTER_DATABASE'!B135)),"2,500,000 - 4,000,000","1,500,000 - 2,200,000"))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'01_MASTER_DATABASE'!B136</f>
        <v/>
      </c>
      <c r="D139" s="113">
        <f>IF(OR(ISNUMBER(SEARCH("Luxury",'01_MASTER_DATABASE'!B136)),ISNUMBER(SEARCH("Cầu",'01_MASTER_DATABASE'!B136))),"Cao (&gt;= 120k/kg)",IF(ISNUMBER(SEARCH("Tầm trung",'01_MASTER_DATABASE'!B136)),"Trung bình (85k - 100k/kg)","Kinh tế (&lt;= 85k/kg)"))</f>
        <v/>
      </c>
      <c r="E139" s="113">
        <f>IF(OR(ISNUMBER(SEARCH("Luxury",'01_MASTER_DATABASE'!B136)),ISNUMBER(SEARCH("Cầu",'01_MASTER_DATABASE'!B136))),"&gt;= 5,000,000",IF(ISNUMBER(SEARCH("Tầm trung",'01_MASTER_DATABASE'!B136)),"2,500,000 - 4,000,000","1,500,000 - 2,200,000"))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'01_MASTER_DATABASE'!B137</f>
        <v/>
      </c>
      <c r="D140" s="113">
        <f>IF(OR(ISNUMBER(SEARCH("Luxury",'01_MASTER_DATABASE'!B137)),ISNUMBER(SEARCH("Cầu",'01_MASTER_DATABASE'!B137))),"Cao (&gt;= 120k/kg)",IF(ISNUMBER(SEARCH("Tầm trung",'01_MASTER_DATABASE'!B137)),"Trung bình (85k - 100k/kg)","Kinh tế (&lt;= 85k/kg)"))</f>
        <v/>
      </c>
      <c r="E140" s="113">
        <f>IF(OR(ISNUMBER(SEARCH("Luxury",'01_MASTER_DATABASE'!B137)),ISNUMBER(SEARCH("Cầu",'01_MASTER_DATABASE'!B137))),"&gt;= 5,000,000",IF(ISNUMBER(SEARCH("Tầm trung",'01_MASTER_DATABASE'!B137)),"2,500,000 - 4,000,000","1,500,000 - 2,200,000"))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'01_MASTER_DATABASE'!B138</f>
        <v/>
      </c>
      <c r="D141" s="113">
        <f>IF(OR(ISNUMBER(SEARCH("Luxury",'01_MASTER_DATABASE'!B138)),ISNUMBER(SEARCH("Cầu",'01_MASTER_DATABASE'!B138))),"Cao (&gt;= 120k/kg)",IF(ISNUMBER(SEARCH("Tầm trung",'01_MASTER_DATABASE'!B138)),"Trung bình (85k - 100k/kg)","Kinh tế (&lt;= 85k/kg)"))</f>
        <v/>
      </c>
      <c r="E141" s="113">
        <f>IF(OR(ISNUMBER(SEARCH("Luxury",'01_MASTER_DATABASE'!B138)),ISNUMBER(SEARCH("Cầu",'01_MASTER_DATABASE'!B138))),"&gt;= 5,000,000",IF(ISNUMBER(SEARCH("Tầm trung",'01_MASTER_DATABASE'!B138)),"2,500,000 - 4,000,000","1,500,000 - 2,200,000"))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'01_MASTER_DATABASE'!B139</f>
        <v/>
      </c>
      <c r="D142" s="113">
        <f>IF(OR(ISNUMBER(SEARCH("Luxury",'01_MASTER_DATABASE'!B139)),ISNUMBER(SEARCH("Cầu",'01_MASTER_DATABASE'!B139))),"Cao (&gt;= 120k/kg)",IF(ISNUMBER(SEARCH("Tầm trung",'01_MASTER_DATABASE'!B139)),"Trung bình (85k - 100k/kg)","Kinh tế (&lt;= 85k/kg)"))</f>
        <v/>
      </c>
      <c r="E142" s="113">
        <f>IF(OR(ISNUMBER(SEARCH("Luxury",'01_MASTER_DATABASE'!B139)),ISNUMBER(SEARCH("Cầu",'01_MASTER_DATABASE'!B139))),"&gt;= 5,000,000",IF(ISNUMBER(SEARCH("Tầm trung",'01_MASTER_DATABASE'!B139)),"2,500,000 - 4,000,000","1,500,000 - 2,200,000"))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'01_MASTER_DATABASE'!B140</f>
        <v/>
      </c>
      <c r="D143" s="113">
        <f>IF(OR(ISNUMBER(SEARCH("Luxury",'01_MASTER_DATABASE'!B140)),ISNUMBER(SEARCH("Cầu",'01_MASTER_DATABASE'!B140))),"Cao (&gt;= 120k/kg)",IF(ISNUMBER(SEARCH("Tầm trung",'01_MASTER_DATABASE'!B140)),"Trung bình (85k - 100k/kg)","Kinh tế (&lt;= 85k/kg)"))</f>
        <v/>
      </c>
      <c r="E143" s="113">
        <f>IF(OR(ISNUMBER(SEARCH("Luxury",'01_MASTER_DATABASE'!B140)),ISNUMBER(SEARCH("Cầu",'01_MASTER_DATABASE'!B140))),"&gt;= 5,000,000",IF(ISNUMBER(SEARCH("Tầm trung",'01_MASTER_DATABASE'!B140)),"2,500,000 - 4,000,000","1,500,000 - 2,200,000"))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'01_MASTER_DATABASE'!B141</f>
        <v/>
      </c>
      <c r="D144" s="113">
        <f>IF(OR(ISNUMBER(SEARCH("Luxury",'01_MASTER_DATABASE'!B141)),ISNUMBER(SEARCH("Cầu",'01_MASTER_DATABASE'!B141))),"Cao (&gt;= 120k/kg)",IF(ISNUMBER(SEARCH("Tầm trung",'01_MASTER_DATABASE'!B141)),"Trung bình (85k - 100k/kg)","Kinh tế (&lt;= 85k/kg)"))</f>
        <v/>
      </c>
      <c r="E144" s="113">
        <f>IF(OR(ISNUMBER(SEARCH("Luxury",'01_MASTER_DATABASE'!B141)),ISNUMBER(SEARCH("Cầu",'01_MASTER_DATABASE'!B141))),"&gt;= 5,000,000",IF(ISNUMBER(SEARCH("Tầm trung",'01_MASTER_DATABASE'!B141)),"2,500,000 - 4,000,000","1,500,000 - 2,200,000"))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'01_MASTER_DATABASE'!B142</f>
        <v/>
      </c>
      <c r="D145" s="113">
        <f>IF(OR(ISNUMBER(SEARCH("Luxury",'01_MASTER_DATABASE'!B142)),ISNUMBER(SEARCH("Cầu",'01_MASTER_DATABASE'!B142))),"Cao (&gt;= 120k/kg)",IF(ISNUMBER(SEARCH("Tầm trung",'01_MASTER_DATABASE'!B142)),"Trung bình (85k - 100k/kg)","Kinh tế (&lt;= 85k/kg)"))</f>
        <v/>
      </c>
      <c r="E145" s="113">
        <f>IF(OR(ISNUMBER(SEARCH("Luxury",'01_MASTER_DATABASE'!B142)),ISNUMBER(SEARCH("Cầu",'01_MASTER_DATABASE'!B142))),"&gt;= 5,000,000",IF(ISNUMBER(SEARCH("Tầm trung",'01_MASTER_DATABASE'!B142)),"2,500,000 - 4,000,000","1,500,000 - 2,200,000"))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'01_MASTER_DATABASE'!B143</f>
        <v/>
      </c>
      <c r="D146" s="113">
        <f>IF(OR(ISNUMBER(SEARCH("Luxury",'01_MASTER_DATABASE'!B143)),ISNUMBER(SEARCH("Cầu",'01_MASTER_DATABASE'!B143))),"Cao (&gt;= 120k/kg)",IF(ISNUMBER(SEARCH("Tầm trung",'01_MASTER_DATABASE'!B143)),"Trung bình (85k - 100k/kg)","Kinh tế (&lt;= 85k/kg)"))</f>
        <v/>
      </c>
      <c r="E146" s="113">
        <f>IF(OR(ISNUMBER(SEARCH("Luxury",'01_MASTER_DATABASE'!B143)),ISNUMBER(SEARCH("Cầu",'01_MASTER_DATABASE'!B143))),"&gt;= 5,000,000",IF(ISNUMBER(SEARCH("Tầm trung",'01_MASTER_DATABASE'!B143)),"2,500,000 - 4,000,000","1,500,000 - 2,200,000"))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'01_MASTER_DATABASE'!B144</f>
        <v/>
      </c>
      <c r="D147" s="113">
        <f>IF(OR(ISNUMBER(SEARCH("Luxury",'01_MASTER_DATABASE'!B144)),ISNUMBER(SEARCH("Cầu",'01_MASTER_DATABASE'!B144))),"Cao (&gt;= 120k/kg)",IF(ISNUMBER(SEARCH("Tầm trung",'01_MASTER_DATABASE'!B144)),"Trung bình (85k - 100k/kg)","Kinh tế (&lt;= 85k/kg)"))</f>
        <v/>
      </c>
      <c r="E147" s="113">
        <f>IF(OR(ISNUMBER(SEARCH("Luxury",'01_MASTER_DATABASE'!B144)),ISNUMBER(SEARCH("Cầu",'01_MASTER_DATABASE'!B144))),"&gt;= 5,000,000",IF(ISNUMBER(SEARCH("Tầm trung",'01_MASTER_DATABASE'!B144)),"2,500,000 - 4,000,000","1,500,000 - 2,200,000"))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'01_MASTER_DATABASE'!B145</f>
        <v/>
      </c>
      <c r="D148" s="113">
        <f>IF(OR(ISNUMBER(SEARCH("Luxury",'01_MASTER_DATABASE'!B145)),ISNUMBER(SEARCH("Cầu",'01_MASTER_DATABASE'!B145))),"Cao (&gt;= 120k/kg)",IF(ISNUMBER(SEARCH("Tầm trung",'01_MASTER_DATABASE'!B145)),"Trung bình (85k - 100k/kg)","Kinh tế (&lt;= 85k/kg)"))</f>
        <v/>
      </c>
      <c r="E148" s="113">
        <f>IF(OR(ISNUMBER(SEARCH("Luxury",'01_MASTER_DATABASE'!B145)),ISNUMBER(SEARCH("Cầu",'01_MASTER_DATABASE'!B145))),"&gt;= 5,000,000",IF(ISNUMBER(SEARCH("Tầm trung",'01_MASTER_DATABASE'!B145)),"2,500,000 - 4,000,000","1,500,000 - 2,200,000"))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'01_MASTER_DATABASE'!B146</f>
        <v/>
      </c>
      <c r="D149" s="113">
        <f>IF(OR(ISNUMBER(SEARCH("Luxury",'01_MASTER_DATABASE'!B146)),ISNUMBER(SEARCH("Cầu",'01_MASTER_DATABASE'!B146))),"Cao (&gt;= 120k/kg)",IF(ISNUMBER(SEARCH("Tầm trung",'01_MASTER_DATABASE'!B146)),"Trung bình (85k - 100k/kg)","Kinh tế (&lt;= 85k/kg)"))</f>
        <v/>
      </c>
      <c r="E149" s="113">
        <f>IF(OR(ISNUMBER(SEARCH("Luxury",'01_MASTER_DATABASE'!B146)),ISNUMBER(SEARCH("Cầu",'01_MASTER_DATABASE'!B146))),"&gt;= 5,000,000",IF(ISNUMBER(SEARCH("Tầm trung",'01_MASTER_DATABASE'!B146)),"2,500,000 - 4,000,000","1,500,000 - 2,200,000"))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'01_MASTER_DATABASE'!B147</f>
        <v/>
      </c>
      <c r="D150" s="113">
        <f>IF(OR(ISNUMBER(SEARCH("Luxury",'01_MASTER_DATABASE'!B147)),ISNUMBER(SEARCH("Cầu",'01_MASTER_DATABASE'!B147))),"Cao (&gt;= 120k/kg)",IF(ISNUMBER(SEARCH("Tầm trung",'01_MASTER_DATABASE'!B147)),"Trung bình (85k - 100k/kg)","Kinh tế (&lt;= 85k/kg)"))</f>
        <v/>
      </c>
      <c r="E150" s="113">
        <f>IF(OR(ISNUMBER(SEARCH("Luxury",'01_MASTER_DATABASE'!B147)),ISNUMBER(SEARCH("Cầu",'01_MASTER_DATABASE'!B147))),"&gt;= 5,000,000",IF(ISNUMBER(SEARCH("Tầm trung",'01_MASTER_DATABASE'!B147)),"2,500,000 - 4,000,000","1,500,000 - 2,200,000"))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'01_MASTER_DATABASE'!B148</f>
        <v/>
      </c>
      <c r="D151" s="113">
        <f>IF(OR(ISNUMBER(SEARCH("Luxury",'01_MASTER_DATABASE'!B148)),ISNUMBER(SEARCH("Cầu",'01_MASTER_DATABASE'!B148))),"Cao (&gt;= 120k/kg)",IF(ISNUMBER(SEARCH("Tầm trung",'01_MASTER_DATABASE'!B148)),"Trung bình (85k - 100k/kg)","Kinh tế (&lt;= 85k/kg)"))</f>
        <v/>
      </c>
      <c r="E151" s="113">
        <f>IF(OR(ISNUMBER(SEARCH("Luxury",'01_MASTER_DATABASE'!B148)),ISNUMBER(SEARCH("Cầu",'01_MASTER_DATABASE'!B148))),"&gt;= 5,000,000",IF(ISNUMBER(SEARCH("Tầm trung",'01_MASTER_DATABASE'!B148)),"2,500,000 - 4,000,000","1,500,000 - 2,200,000"))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'01_MASTER_DATABASE'!B149</f>
        <v/>
      </c>
      <c r="D152" s="113">
        <f>IF(OR(ISNUMBER(SEARCH("Luxury",'01_MASTER_DATABASE'!B149)),ISNUMBER(SEARCH("Cầu",'01_MASTER_DATABASE'!B149))),"Cao (&gt;= 120k/kg)",IF(ISNUMBER(SEARCH("Tầm trung",'01_MASTER_DATABASE'!B149)),"Trung bình (85k - 100k/kg)","Kinh tế (&lt;= 85k/kg)"))</f>
        <v/>
      </c>
      <c r="E152" s="113">
        <f>IF(OR(ISNUMBER(SEARCH("Luxury",'01_MASTER_DATABASE'!B149)),ISNUMBER(SEARCH("Cầu",'01_MASTER_DATABASE'!B149))),"&gt;= 5,000,000",IF(ISNUMBER(SEARCH("Tầm trung",'01_MASTER_DATABASE'!B149)),"2,500,000 - 4,000,000","1,500,000 - 2,200,000"))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'01_MASTER_DATABASE'!B150</f>
        <v/>
      </c>
      <c r="D153" s="113">
        <f>IF(OR(ISNUMBER(SEARCH("Luxury",'01_MASTER_DATABASE'!B150)),ISNUMBER(SEARCH("Cầu",'01_MASTER_DATABASE'!B150))),"Cao (&gt;= 120k/kg)",IF(ISNUMBER(SEARCH("Tầm trung",'01_MASTER_DATABASE'!B150)),"Trung bình (85k - 100k/kg)","Kinh tế (&lt;= 85k/kg)"))</f>
        <v/>
      </c>
      <c r="E153" s="113">
        <f>IF(OR(ISNUMBER(SEARCH("Luxury",'01_MASTER_DATABASE'!B150)),ISNUMBER(SEARCH("Cầu",'01_MASTER_DATABASE'!B150))),"&gt;= 5,000,000",IF(ISNUMBER(SEARCH("Tầm trung",'01_MASTER_DATABASE'!B150)),"2,500,000 - 4,000,000","1,500,000 - 2,200,000"))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'01_MASTER_DATABASE'!B151</f>
        <v/>
      </c>
      <c r="D154" s="113">
        <f>IF(OR(ISNUMBER(SEARCH("Luxury",'01_MASTER_DATABASE'!B151)),ISNUMBER(SEARCH("Cầu",'01_MASTER_DATABASE'!B151))),"Cao (&gt;= 120k/kg)",IF(ISNUMBER(SEARCH("Tầm trung",'01_MASTER_DATABASE'!B151)),"Trung bình (85k - 100k/kg)","Kinh tế (&lt;= 85k/kg)"))</f>
        <v/>
      </c>
      <c r="E154" s="113">
        <f>IF(OR(ISNUMBER(SEARCH("Luxury",'01_MASTER_DATABASE'!B151)),ISNUMBER(SEARCH("Cầu",'01_MASTER_DATABASE'!B151))),"&gt;= 5,000,000",IF(ISNUMBER(SEARCH("Tầm trung",'01_MASTER_DATABASE'!B151)),"2,500,000 - 4,000,000","1,500,000 - 2,200,000"))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'01_MASTER_DATABASE'!B152</f>
        <v/>
      </c>
      <c r="D155" s="113">
        <f>IF(OR(ISNUMBER(SEARCH("Luxury",'01_MASTER_DATABASE'!B152)),ISNUMBER(SEARCH("Cầu",'01_MASTER_DATABASE'!B152))),"Cao (&gt;= 120k/kg)",IF(ISNUMBER(SEARCH("Tầm trung",'01_MASTER_DATABASE'!B152)),"Trung bình (85k - 100k/kg)","Kinh tế (&lt;= 85k/kg)"))</f>
        <v/>
      </c>
      <c r="E155" s="113">
        <f>IF(OR(ISNUMBER(SEARCH("Luxury",'01_MASTER_DATABASE'!B152)),ISNUMBER(SEARCH("Cầu",'01_MASTER_DATABASE'!B152))),"&gt;= 5,000,000",IF(ISNUMBER(SEARCH("Tầm trung",'01_MASTER_DATABASE'!B152)),"2,500,000 - 4,000,000","1,500,000 - 2,200,000"))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'01_MASTER_DATABASE'!B153</f>
        <v/>
      </c>
      <c r="D156" s="113">
        <f>IF(OR(ISNUMBER(SEARCH("Luxury",'01_MASTER_DATABASE'!B153)),ISNUMBER(SEARCH("Cầu",'01_MASTER_DATABASE'!B153))),"Cao (&gt;= 120k/kg)",IF(ISNUMBER(SEARCH("Tầm trung",'01_MASTER_DATABASE'!B153)),"Trung bình (85k - 100k/kg)","Kinh tế (&lt;= 85k/kg)"))</f>
        <v/>
      </c>
      <c r="E156" s="113">
        <f>IF(OR(ISNUMBER(SEARCH("Luxury",'01_MASTER_DATABASE'!B153)),ISNUMBER(SEARCH("Cầu",'01_MASTER_DATABASE'!B153))),"&gt;= 5,000,000",IF(ISNUMBER(SEARCH("Tầm trung",'01_MASTER_DATABASE'!B153)),"2,500,000 - 4,000,000","1,500,000 - 2,200,000"))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'01_MASTER_DATABASE'!B154</f>
        <v/>
      </c>
      <c r="D157" s="113">
        <f>IF(OR(ISNUMBER(SEARCH("Luxury",'01_MASTER_DATABASE'!B154)),ISNUMBER(SEARCH("Cầu",'01_MASTER_DATABASE'!B154))),"Cao (&gt;= 120k/kg)",IF(ISNUMBER(SEARCH("Tầm trung",'01_MASTER_DATABASE'!B154)),"Trung bình (85k - 100k/kg)","Kinh tế (&lt;= 85k/kg)"))</f>
        <v/>
      </c>
      <c r="E157" s="113">
        <f>IF(OR(ISNUMBER(SEARCH("Luxury",'01_MASTER_DATABASE'!B154)),ISNUMBER(SEARCH("Cầu",'01_MASTER_DATABASE'!B154))),"&gt;= 5,000,000",IF(ISNUMBER(SEARCH("Tầm trung",'01_MASTER_DATABASE'!B154)),"2,500,000 - 4,000,000","1,500,000 - 2,200,000"))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'01_MASTER_DATABASE'!B155</f>
        <v/>
      </c>
      <c r="D158" s="113">
        <f>IF(OR(ISNUMBER(SEARCH("Luxury",'01_MASTER_DATABASE'!B155)),ISNUMBER(SEARCH("Cầu",'01_MASTER_DATABASE'!B155))),"Cao (&gt;= 120k/kg)",IF(ISNUMBER(SEARCH("Tầm trung",'01_MASTER_DATABASE'!B155)),"Trung bình (85k - 100k/kg)","Kinh tế (&lt;= 85k/kg)"))</f>
        <v/>
      </c>
      <c r="E158" s="113">
        <f>IF(OR(ISNUMBER(SEARCH("Luxury",'01_MASTER_DATABASE'!B155)),ISNUMBER(SEARCH("Cầu",'01_MASTER_DATABASE'!B155))),"&gt;= 5,000,000",IF(ISNUMBER(SEARCH("Tầm trung",'01_MASTER_DATABASE'!B155)),"2,500,000 - 4,000,000","1,500,000 - 2,200,000"))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'01_MASTER_DATABASE'!B156</f>
        <v/>
      </c>
      <c r="D159" s="113">
        <f>IF(OR(ISNUMBER(SEARCH("Luxury",'01_MASTER_DATABASE'!B156)),ISNUMBER(SEARCH("Cầu",'01_MASTER_DATABASE'!B156))),"Cao (&gt;= 120k/kg)",IF(ISNUMBER(SEARCH("Tầm trung",'01_MASTER_DATABASE'!B156)),"Trung bình (85k - 100k/kg)","Kinh tế (&lt;= 85k/kg)"))</f>
        <v/>
      </c>
      <c r="E159" s="113">
        <f>IF(OR(ISNUMBER(SEARCH("Luxury",'01_MASTER_DATABASE'!B156)),ISNUMBER(SEARCH("Cầu",'01_MASTER_DATABASE'!B156))),"&gt;= 5,000,000",IF(ISNUMBER(SEARCH("Tầm trung",'01_MASTER_DATABASE'!B156)),"2,500,000 - 4,000,000","1,500,000 - 2,200,000"))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'01_MASTER_DATABASE'!B157</f>
        <v/>
      </c>
      <c r="D160" s="113">
        <f>IF(OR(ISNUMBER(SEARCH("Luxury",'01_MASTER_DATABASE'!B157)),ISNUMBER(SEARCH("Cầu",'01_MASTER_DATABASE'!B157))),"Cao (&gt;= 120k/kg)",IF(ISNUMBER(SEARCH("Tầm trung",'01_MASTER_DATABASE'!B157)),"Trung bình (85k - 100k/kg)","Kinh tế (&lt;= 85k/kg)"))</f>
        <v/>
      </c>
      <c r="E160" s="113">
        <f>IF(OR(ISNUMBER(SEARCH("Luxury",'01_MASTER_DATABASE'!B157)),ISNUMBER(SEARCH("Cầu",'01_MASTER_DATABASE'!B157))),"&gt;= 5,000,000",IF(ISNUMBER(SEARCH("Tầm trung",'01_MASTER_DATABASE'!B157)),"2,500,000 - 4,000,000","1,500,000 - 2,200,000"))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'01_MASTER_DATABASE'!B158</f>
        <v/>
      </c>
      <c r="D161" s="113">
        <f>IF(OR(ISNUMBER(SEARCH("Luxury",'01_MASTER_DATABASE'!B158)),ISNUMBER(SEARCH("Cầu",'01_MASTER_DATABASE'!B158))),"Cao (&gt;= 120k/kg)",IF(ISNUMBER(SEARCH("Tầm trung",'01_MASTER_DATABASE'!B158)),"Trung bình (85k - 100k/kg)","Kinh tế (&lt;= 85k/kg)"))</f>
        <v/>
      </c>
      <c r="E161" s="113">
        <f>IF(OR(ISNUMBER(SEARCH("Luxury",'01_MASTER_DATABASE'!B158)),ISNUMBER(SEARCH("Cầu",'01_MASTER_DATABASE'!B158))),"&gt;= 5,000,000",IF(ISNUMBER(SEARCH("Tầm trung",'01_MASTER_DATABASE'!B158)),"2,500,000 - 4,000,000","1,500,000 - 2,200,000"))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'01_MASTER_DATABASE'!B159</f>
        <v/>
      </c>
      <c r="D162" s="113">
        <f>IF(OR(ISNUMBER(SEARCH("Luxury",'01_MASTER_DATABASE'!B159)),ISNUMBER(SEARCH("Cầu",'01_MASTER_DATABASE'!B159))),"Cao (&gt;= 120k/kg)",IF(ISNUMBER(SEARCH("Tầm trung",'01_MASTER_DATABASE'!B159)),"Trung bình (85k - 100k/kg)","Kinh tế (&lt;= 85k/kg)"))</f>
        <v/>
      </c>
      <c r="E162" s="113">
        <f>IF(OR(ISNUMBER(SEARCH("Luxury",'01_MASTER_DATABASE'!B159)),ISNUMBER(SEARCH("Cầu",'01_MASTER_DATABASE'!B159))),"&gt;= 5,000,000",IF(ISNUMBER(SEARCH("Tầm trung",'01_MASTER_DATABASE'!B159)),"2,500,000 - 4,000,000","1,500,000 - 2,200,000"))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'01_MASTER_DATABASE'!B160</f>
        <v/>
      </c>
      <c r="D163" s="113">
        <f>IF(OR(ISNUMBER(SEARCH("Luxury",'01_MASTER_DATABASE'!B160)),ISNUMBER(SEARCH("Cầu",'01_MASTER_DATABASE'!B160))),"Cao (&gt;= 120k/kg)",IF(ISNUMBER(SEARCH("Tầm trung",'01_MASTER_DATABASE'!B160)),"Trung bình (85k - 100k/kg)","Kinh tế (&lt;= 85k/kg)"))</f>
        <v/>
      </c>
      <c r="E163" s="113">
        <f>IF(OR(ISNUMBER(SEARCH("Luxury",'01_MASTER_DATABASE'!B160)),ISNUMBER(SEARCH("Cầu",'01_MASTER_DATABASE'!B160))),"&gt;= 5,000,000",IF(ISNUMBER(SEARCH("Tầm trung",'01_MASTER_DATABASE'!B160)),"2,500,000 - 4,000,000","1,500,000 - 2,200,000"))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'01_MASTER_DATABASE'!B161</f>
        <v/>
      </c>
      <c r="D164" s="113">
        <f>IF(OR(ISNUMBER(SEARCH("Luxury",'01_MASTER_DATABASE'!B161)),ISNUMBER(SEARCH("Cầu",'01_MASTER_DATABASE'!B161))),"Cao (&gt;= 120k/kg)",IF(ISNUMBER(SEARCH("Tầm trung",'01_MASTER_DATABASE'!B161)),"Trung bình (85k - 100k/kg)","Kinh tế (&lt;= 85k/kg)"))</f>
        <v/>
      </c>
      <c r="E164" s="113">
        <f>IF(OR(ISNUMBER(SEARCH("Luxury",'01_MASTER_DATABASE'!B161)),ISNUMBER(SEARCH("Cầu",'01_MASTER_DATABASE'!B161))),"&gt;= 5,000,000",IF(ISNUMBER(SEARCH("Tầm trung",'01_MASTER_DATABASE'!B161)),"2,500,000 - 4,000,000","1,500,000 - 2,200,000"))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'01_MASTER_DATABASE'!B162</f>
        <v/>
      </c>
      <c r="D165" s="113">
        <f>IF(OR(ISNUMBER(SEARCH("Luxury",'01_MASTER_DATABASE'!B162)),ISNUMBER(SEARCH("Cầu",'01_MASTER_DATABASE'!B162))),"Cao (&gt;= 120k/kg)",IF(ISNUMBER(SEARCH("Tầm trung",'01_MASTER_DATABASE'!B162)),"Trung bình (85k - 100k/kg)","Kinh tế (&lt;= 85k/kg)"))</f>
        <v/>
      </c>
      <c r="E165" s="113">
        <f>IF(OR(ISNUMBER(SEARCH("Luxury",'01_MASTER_DATABASE'!B162)),ISNUMBER(SEARCH("Cầu",'01_MASTER_DATABASE'!B162))),"&gt;= 5,000,000",IF(ISNUMBER(SEARCH("Tầm trung",'01_MASTER_DATABASE'!B162)),"2,500,000 - 4,000,000","1,500,000 - 2,200,000"))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'01_MASTER_DATABASE'!B163</f>
        <v/>
      </c>
      <c r="D166" s="113">
        <f>IF(OR(ISNUMBER(SEARCH("Luxury",'01_MASTER_DATABASE'!B163)),ISNUMBER(SEARCH("Cầu",'01_MASTER_DATABASE'!B163))),"Cao (&gt;= 120k/kg)",IF(ISNUMBER(SEARCH("Tầm trung",'01_MASTER_DATABASE'!B163)),"Trung bình (85k - 100k/kg)","Kinh tế (&lt;= 85k/kg)"))</f>
        <v/>
      </c>
      <c r="E166" s="113">
        <f>IF(OR(ISNUMBER(SEARCH("Luxury",'01_MASTER_DATABASE'!B163)),ISNUMBER(SEARCH("Cầu",'01_MASTER_DATABASE'!B163))),"&gt;= 5,000,000",IF(ISNUMBER(SEARCH("Tầm trung",'01_MASTER_DATABASE'!B163)),"2,500,000 - 4,000,000","1,500,000 - 2,200,000"))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'01_MASTER_DATABASE'!B164</f>
        <v/>
      </c>
      <c r="D167" s="113">
        <f>IF(OR(ISNUMBER(SEARCH("Luxury",'01_MASTER_DATABASE'!B164)),ISNUMBER(SEARCH("Cầu",'01_MASTER_DATABASE'!B164))),"Cao (&gt;= 120k/kg)",IF(ISNUMBER(SEARCH("Tầm trung",'01_MASTER_DATABASE'!B164)),"Trung bình (85k - 100k/kg)","Kinh tế (&lt;= 85k/kg)"))</f>
        <v/>
      </c>
      <c r="E167" s="113">
        <f>IF(OR(ISNUMBER(SEARCH("Luxury",'01_MASTER_DATABASE'!B164)),ISNUMBER(SEARCH("Cầu",'01_MASTER_DATABASE'!B164))),"&gt;= 5,000,000",IF(ISNUMBER(SEARCH("Tầm trung",'01_MASTER_DATABASE'!B164)),"2,500,000 - 4,000,000","1,500,000 - 2,200,000"))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'01_MASTER_DATABASE'!B165</f>
        <v/>
      </c>
      <c r="D168" s="113">
        <f>IF(OR(ISNUMBER(SEARCH("Luxury",'01_MASTER_DATABASE'!B165)),ISNUMBER(SEARCH("Cầu",'01_MASTER_DATABASE'!B165))),"Cao (&gt;= 120k/kg)",IF(ISNUMBER(SEARCH("Tầm trung",'01_MASTER_DATABASE'!B165)),"Trung bình (85k - 100k/kg)","Kinh tế (&lt;= 85k/kg)"))</f>
        <v/>
      </c>
      <c r="E168" s="113">
        <f>IF(OR(ISNUMBER(SEARCH("Luxury",'01_MASTER_DATABASE'!B165)),ISNUMBER(SEARCH("Cầu",'01_MASTER_DATABASE'!B165))),"&gt;= 5,000,000",IF(ISNUMBER(SEARCH("Tầm trung",'01_MASTER_DATABASE'!B165)),"2,500,000 - 4,000,000","1,500,000 - 2,200,000"))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'01_MASTER_DATABASE'!B166</f>
        <v/>
      </c>
      <c r="D169" s="113">
        <f>IF(OR(ISNUMBER(SEARCH("Luxury",'01_MASTER_DATABASE'!B166)),ISNUMBER(SEARCH("Cầu",'01_MASTER_DATABASE'!B166))),"Cao (&gt;= 120k/kg)",IF(ISNUMBER(SEARCH("Tầm trung",'01_MASTER_DATABASE'!B166)),"Trung bình (85k - 100k/kg)","Kinh tế (&lt;= 85k/kg)"))</f>
        <v/>
      </c>
      <c r="E169" s="113">
        <f>IF(OR(ISNUMBER(SEARCH("Luxury",'01_MASTER_DATABASE'!B166)),ISNUMBER(SEARCH("Cầu",'01_MASTER_DATABASE'!B166))),"&gt;= 5,000,000",IF(ISNUMBER(SEARCH("Tầm trung",'01_MASTER_DATABASE'!B166)),"2,500,000 - 4,000,000","1,500,000 - 2,200,000"))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'01_MASTER_DATABASE'!B167</f>
        <v/>
      </c>
      <c r="D170" s="113">
        <f>IF(OR(ISNUMBER(SEARCH("Luxury",'01_MASTER_DATABASE'!B167)),ISNUMBER(SEARCH("Cầu",'01_MASTER_DATABASE'!B167))),"Cao (&gt;= 120k/kg)",IF(ISNUMBER(SEARCH("Tầm trung",'01_MASTER_DATABASE'!B167)),"Trung bình (85k - 100k/kg)","Kinh tế (&lt;= 85k/kg)"))</f>
        <v/>
      </c>
      <c r="E170" s="113">
        <f>IF(OR(ISNUMBER(SEARCH("Luxury",'01_MASTER_DATABASE'!B167)),ISNUMBER(SEARCH("Cầu",'01_MASTER_DATABASE'!B167))),"&gt;= 5,000,000",IF(ISNUMBER(SEARCH("Tầm trung",'01_MASTER_DATABASE'!B167)),"2,500,000 - 4,000,000","1,500,000 - 2,200,000"))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'01_MASTER_DATABASE'!B168</f>
        <v/>
      </c>
      <c r="D171" s="113">
        <f>IF(OR(ISNUMBER(SEARCH("Luxury",'01_MASTER_DATABASE'!B168)),ISNUMBER(SEARCH("Cầu",'01_MASTER_DATABASE'!B168))),"Cao (&gt;= 120k/kg)",IF(ISNUMBER(SEARCH("Tầm trung",'01_MASTER_DATABASE'!B168)),"Trung bình (85k - 100k/kg)","Kinh tế (&lt;= 85k/kg)"))</f>
        <v/>
      </c>
      <c r="E171" s="113">
        <f>IF(OR(ISNUMBER(SEARCH("Luxury",'01_MASTER_DATABASE'!B168)),ISNUMBER(SEARCH("Cầu",'01_MASTER_DATABASE'!B168))),"&gt;= 5,000,000",IF(ISNUMBER(SEARCH("Tầm trung",'01_MASTER_DATABASE'!B168)),"2,500,000 - 4,000,000","1,500,000 - 2,200,000"))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'01_MASTER_DATABASE'!B169</f>
        <v/>
      </c>
      <c r="D172" s="113">
        <f>IF(OR(ISNUMBER(SEARCH("Luxury",'01_MASTER_DATABASE'!B169)),ISNUMBER(SEARCH("Cầu",'01_MASTER_DATABASE'!B169))),"Cao (&gt;= 120k/kg)",IF(ISNUMBER(SEARCH("Tầm trung",'01_MASTER_DATABASE'!B169)),"Trung bình (85k - 100k/kg)","Kinh tế (&lt;= 85k/kg)"))</f>
        <v/>
      </c>
      <c r="E172" s="113">
        <f>IF(OR(ISNUMBER(SEARCH("Luxury",'01_MASTER_DATABASE'!B169)),ISNUMBER(SEARCH("Cầu",'01_MASTER_DATABASE'!B169))),"&gt;= 5,000,000",IF(ISNUMBER(SEARCH("Tầm trung",'01_MASTER_DATABASE'!B169)),"2,500,000 - 4,000,000","1,500,000 - 2,200,000"))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'01_MASTER_DATABASE'!B170</f>
        <v/>
      </c>
      <c r="D173" s="113">
        <f>IF(OR(ISNUMBER(SEARCH("Luxury",'01_MASTER_DATABASE'!B170)),ISNUMBER(SEARCH("Cầu",'01_MASTER_DATABASE'!B170))),"Cao (&gt;= 120k/kg)",IF(ISNUMBER(SEARCH("Tầm trung",'01_MASTER_DATABASE'!B170)),"Trung bình (85k - 100k/kg)","Kinh tế (&lt;= 85k/kg)"))</f>
        <v/>
      </c>
      <c r="E173" s="113">
        <f>IF(OR(ISNUMBER(SEARCH("Luxury",'01_MASTER_DATABASE'!B170)),ISNUMBER(SEARCH("Cầu",'01_MASTER_DATABASE'!B170))),"&gt;= 5,000,000",IF(ISNUMBER(SEARCH("Tầm trung",'01_MASTER_DATABASE'!B170)),"2,500,000 - 4,000,000","1,500,000 - 2,200,000"))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'01_MASTER_DATABASE'!B171</f>
        <v/>
      </c>
      <c r="D174" s="113">
        <f>IF(OR(ISNUMBER(SEARCH("Luxury",'01_MASTER_DATABASE'!B171)),ISNUMBER(SEARCH("Cầu",'01_MASTER_DATABASE'!B171))),"Cao (&gt;= 120k/kg)",IF(ISNUMBER(SEARCH("Tầm trung",'01_MASTER_DATABASE'!B171)),"Trung bình (85k - 100k/kg)","Kinh tế (&lt;= 85k/kg)"))</f>
        <v/>
      </c>
      <c r="E174" s="113">
        <f>IF(OR(ISNUMBER(SEARCH("Luxury",'01_MASTER_DATABASE'!B171)),ISNUMBER(SEARCH("Cầu",'01_MASTER_DATABASE'!B171))),"&gt;= 5,000,000",IF(ISNUMBER(SEARCH("Tầm trung",'01_MASTER_DATABASE'!B171)),"2,500,000 - 4,000,000","1,500,000 - 2,200,000"))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'01_MASTER_DATABASE'!B172</f>
        <v/>
      </c>
      <c r="D175" s="113">
        <f>IF(OR(ISNUMBER(SEARCH("Luxury",'01_MASTER_DATABASE'!B172)),ISNUMBER(SEARCH("Cầu",'01_MASTER_DATABASE'!B172))),"Cao (&gt;= 120k/kg)",IF(ISNUMBER(SEARCH("Tầm trung",'01_MASTER_DATABASE'!B172)),"Trung bình (85k - 100k/kg)","Kinh tế (&lt;= 85k/kg)"))</f>
        <v/>
      </c>
      <c r="E175" s="113">
        <f>IF(OR(ISNUMBER(SEARCH("Luxury",'01_MASTER_DATABASE'!B172)),ISNUMBER(SEARCH("Cầu",'01_MASTER_DATABASE'!B172))),"&gt;= 5,000,000",IF(ISNUMBER(SEARCH("Tầm trung",'01_MASTER_DATABASE'!B172)),"2,500,000 - 4,000,000","1,500,000 - 2,200,000"))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'01_MASTER_DATABASE'!B173</f>
        <v/>
      </c>
      <c r="D176" s="113">
        <f>IF(OR(ISNUMBER(SEARCH("Luxury",'01_MASTER_DATABASE'!B173)),ISNUMBER(SEARCH("Cầu",'01_MASTER_DATABASE'!B173))),"Cao (&gt;= 120k/kg)",IF(ISNUMBER(SEARCH("Tầm trung",'01_MASTER_DATABASE'!B173)),"Trung bình (85k - 100k/kg)","Kinh tế (&lt;= 85k/kg)"))</f>
        <v/>
      </c>
      <c r="E176" s="113">
        <f>IF(OR(ISNUMBER(SEARCH("Luxury",'01_MASTER_DATABASE'!B173)),ISNUMBER(SEARCH("Cầu",'01_MASTER_DATABASE'!B173))),"&gt;= 5,000,000",IF(ISNUMBER(SEARCH("Tầm trung",'01_MASTER_DATABASE'!B173)),"2,500,000 - 4,000,000","1,500,000 - 2,200,000"))</f>
        <v/>
      </c>
    </row>
  </sheetData>
  <mergeCells count="1">
    <mergeCell ref="A1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</cols>
  <sheetData>
    <row r="1" ht="20" customHeight="1">
      <c r="A1" s="109" t="inlineStr">
        <is>
          <t>DANH SÁCH CÁC ƯU ĐIỂM NỔI BẬT CỦA TỪNG HỆ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Ưu Điểm Nổi Bật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'01_MASTER_DATABASE'!T2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'01_MASTER_DATABASE'!T3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'01_MASTER_DATABASE'!T4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'01_MASTER_DATABASE'!T5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'01_MASTER_DATABASE'!T6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'01_MASTER_DATABASE'!T7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'01_MASTER_DATABASE'!T8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'01_MASTER_DATABASE'!T9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'01_MASTER_DATABASE'!T10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'01_MASTER_DATABASE'!T11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'01_MASTER_DATABASE'!T12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'01_MASTER_DATABASE'!T13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'01_MASTER_DATABASE'!T14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'01_MASTER_DATABASE'!T15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'01_MASTER_DATABASE'!T16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'01_MASTER_DATABASE'!T17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'01_MASTER_DATABASE'!T18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'01_MASTER_DATABASE'!T19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'01_MASTER_DATABASE'!T20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'01_MASTER_DATABASE'!T21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'01_MASTER_DATABASE'!T22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'01_MASTER_DATABASE'!T23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'01_MASTER_DATABASE'!T24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'01_MASTER_DATABASE'!T25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'01_MASTER_DATABASE'!T26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'01_MASTER_DATABASE'!T27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'01_MASTER_DATABASE'!T28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'01_MASTER_DATABASE'!T29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'01_MASTER_DATABASE'!T30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'01_MASTER_DATABASE'!T31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'01_MASTER_DATABASE'!T32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'01_MASTER_DATABASE'!T33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'01_MASTER_DATABASE'!T34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'01_MASTER_DATABASE'!T35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'01_MASTER_DATABASE'!T36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'01_MASTER_DATABASE'!T37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'01_MASTER_DATABASE'!T38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'01_MASTER_DATABASE'!T39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'01_MASTER_DATABASE'!T40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'01_MASTER_DATABASE'!T41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'01_MASTER_DATABASE'!T42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'01_MASTER_DATABASE'!T43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'01_MASTER_DATABASE'!T44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'01_MASTER_DATABASE'!T45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'01_MASTER_DATABASE'!T46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'01_MASTER_DATABASE'!T47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'01_MASTER_DATABASE'!T48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'01_MASTER_DATABASE'!T49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'01_MASTER_DATABASE'!T50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'01_MASTER_DATABASE'!T51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'01_MASTER_DATABASE'!T52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'01_MASTER_DATABASE'!T53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'01_MASTER_DATABASE'!T54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'01_MASTER_DATABASE'!T55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'01_MASTER_DATABASE'!T56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'01_MASTER_DATABASE'!T57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'01_MASTER_DATABASE'!T58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'01_MASTER_DATABASE'!T59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'01_MASTER_DATABASE'!T60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'01_MASTER_DATABASE'!T61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'01_MASTER_DATABASE'!T62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'01_MASTER_DATABASE'!T63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'01_MASTER_DATABASE'!T64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'01_MASTER_DATABASE'!T65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'01_MASTER_DATABASE'!T66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'01_MASTER_DATABASE'!T67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'01_MASTER_DATABASE'!T68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'01_MASTER_DATABASE'!T69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'01_MASTER_DATABASE'!T70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'01_MASTER_DATABASE'!T71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'01_MASTER_DATABASE'!T72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'01_MASTER_DATABASE'!T73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'01_MASTER_DATABASE'!T74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'01_MASTER_DATABASE'!T75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'01_MASTER_DATABASE'!T76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'01_MASTER_DATABASE'!T77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'01_MASTER_DATABASE'!T78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'01_MASTER_DATABASE'!T79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'01_MASTER_DATABASE'!T80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'01_MASTER_DATABASE'!T81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'01_MASTER_DATABASE'!T82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'01_MASTER_DATABASE'!T83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'01_MASTER_DATABASE'!T84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'01_MASTER_DATABASE'!T85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'01_MASTER_DATABASE'!T86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'01_MASTER_DATABASE'!T87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'01_MASTER_DATABASE'!T88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'01_MASTER_DATABASE'!T89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'01_MASTER_DATABASE'!T90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'01_MASTER_DATABASE'!T91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'01_MASTER_DATABASE'!T92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'01_MASTER_DATABASE'!T93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'01_MASTER_DATABASE'!T94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'01_MASTER_DATABASE'!T95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'01_MASTER_DATABASE'!T96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'01_MASTER_DATABASE'!T97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'01_MASTER_DATABASE'!T98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'01_MASTER_DATABASE'!T99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'01_MASTER_DATABASE'!T100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'01_MASTER_DATABASE'!T101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'01_MASTER_DATABASE'!T102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'01_MASTER_DATABASE'!T103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'01_MASTER_DATABASE'!T104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'01_MASTER_DATABASE'!T105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'01_MASTER_DATABASE'!T106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'01_MASTER_DATABASE'!T107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'01_MASTER_DATABASE'!T108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'01_MASTER_DATABASE'!T109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'01_MASTER_DATABASE'!T110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'01_MASTER_DATABASE'!T111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'01_MASTER_DATABASE'!T112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'01_MASTER_DATABASE'!T113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'01_MASTER_DATABASE'!T114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'01_MASTER_DATABASE'!T115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'01_MASTER_DATABASE'!T116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'01_MASTER_DATABASE'!T117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'01_MASTER_DATABASE'!T118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'01_MASTER_DATABASE'!T119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'01_MASTER_DATABASE'!T120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'01_MASTER_DATABASE'!T121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'01_MASTER_DATABASE'!T122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'01_MASTER_DATABASE'!T123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'01_MASTER_DATABASE'!T124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'01_MASTER_DATABASE'!T125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'01_MASTER_DATABASE'!T126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'01_MASTER_DATABASE'!T127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'01_MASTER_DATABASE'!T128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'01_MASTER_DATABASE'!T129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'01_MASTER_DATABASE'!T130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'01_MASTER_DATABASE'!T131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'01_MASTER_DATABASE'!T132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'01_MASTER_DATABASE'!T133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'01_MASTER_DATABASE'!T134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'01_MASTER_DATABASE'!T135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'01_MASTER_DATABASE'!T136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'01_MASTER_DATABASE'!T137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'01_MASTER_DATABASE'!T138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'01_MASTER_DATABASE'!T139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'01_MASTER_DATABASE'!T140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'01_MASTER_DATABASE'!T141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'01_MASTER_DATABASE'!T142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'01_MASTER_DATABASE'!T143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'01_MASTER_DATABASE'!T144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'01_MASTER_DATABASE'!T145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'01_MASTER_DATABASE'!T146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'01_MASTER_DATABASE'!T147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'01_MASTER_DATABASE'!T148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'01_MASTER_DATABASE'!T149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'01_MASTER_DATABASE'!T150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'01_MASTER_DATABASE'!T151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'01_MASTER_DATABASE'!T152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'01_MASTER_DATABASE'!T153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'01_MASTER_DATABASE'!T154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'01_MASTER_DATABASE'!T155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'01_MASTER_DATABASE'!T156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'01_MASTER_DATABASE'!T157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'01_MASTER_DATABASE'!T158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'01_MASTER_DATABASE'!T159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'01_MASTER_DATABASE'!T160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'01_MASTER_DATABASE'!T161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'01_MASTER_DATABASE'!T162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'01_MASTER_DATABASE'!T163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'01_MASTER_DATABASE'!T164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'01_MASTER_DATABASE'!T165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'01_MASTER_DATABASE'!T166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'01_MASTER_DATABASE'!T167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'01_MASTER_DATABASE'!T168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'01_MASTER_DATABASE'!T169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'01_MASTER_DATABASE'!T170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'01_MASTER_DATABASE'!T171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'01_MASTER_DATABASE'!T172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'01_MASTER_DATABASE'!T173</f>
        <v/>
      </c>
    </row>
  </sheetData>
  <mergeCells count="1">
    <mergeCell ref="A1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</cols>
  <sheetData>
    <row r="1" ht="20" customHeight="1">
      <c r="A1" s="109" t="inlineStr">
        <is>
          <t>DANH SÁCH CÁC NHƯỢC ĐIỂM / HẠN CHẾ R&amp;D CỦA TỪNG HỆ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Hạn Chế Cần Lưu Ý</t>
        </is>
      </c>
    </row>
    <row r="5" ht="25" customHeight="1">
      <c r="A5" s="113">
        <f>'01_MASTER_DATABASE'!C2</f>
        <v/>
      </c>
      <c r="B5" s="114">
        <f>'01_MASTER_DATABASE'!D2</f>
        <v/>
      </c>
      <c r="C5" s="114">
        <f>'01_MASTER_DATABASE'!U2</f>
        <v/>
      </c>
    </row>
    <row r="6" ht="25" customHeight="1">
      <c r="A6" s="113">
        <f>'01_MASTER_DATABASE'!C3</f>
        <v/>
      </c>
      <c r="B6" s="114">
        <f>'01_MASTER_DATABASE'!D3</f>
        <v/>
      </c>
      <c r="C6" s="114">
        <f>'01_MASTER_DATABASE'!U3</f>
        <v/>
      </c>
    </row>
    <row r="7" ht="25" customHeight="1">
      <c r="A7" s="113">
        <f>'01_MASTER_DATABASE'!C4</f>
        <v/>
      </c>
      <c r="B7" s="114">
        <f>'01_MASTER_DATABASE'!D4</f>
        <v/>
      </c>
      <c r="C7" s="114">
        <f>'01_MASTER_DATABASE'!U4</f>
        <v/>
      </c>
    </row>
    <row r="8" ht="25" customHeight="1">
      <c r="A8" s="113">
        <f>'01_MASTER_DATABASE'!C5</f>
        <v/>
      </c>
      <c r="B8" s="114">
        <f>'01_MASTER_DATABASE'!D5</f>
        <v/>
      </c>
      <c r="C8" s="114">
        <f>'01_MASTER_DATABASE'!U5</f>
        <v/>
      </c>
    </row>
    <row r="9" ht="25" customHeight="1">
      <c r="A9" s="113">
        <f>'01_MASTER_DATABASE'!C6</f>
        <v/>
      </c>
      <c r="B9" s="114">
        <f>'01_MASTER_DATABASE'!D6</f>
        <v/>
      </c>
      <c r="C9" s="114">
        <f>'01_MASTER_DATABASE'!U6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4">
        <f>'01_MASTER_DATABASE'!U7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4">
        <f>'01_MASTER_DATABASE'!U8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4">
        <f>'01_MASTER_DATABASE'!U9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4">
        <f>'01_MASTER_DATABASE'!U10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4">
        <f>'01_MASTER_DATABASE'!U11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4">
        <f>'01_MASTER_DATABASE'!U12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4">
        <f>'01_MASTER_DATABASE'!U13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4">
        <f>'01_MASTER_DATABASE'!U14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4">
        <f>'01_MASTER_DATABASE'!U15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4">
        <f>'01_MASTER_DATABASE'!U16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4">
        <f>'01_MASTER_DATABASE'!U17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4">
        <f>'01_MASTER_DATABASE'!U18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4">
        <f>'01_MASTER_DATABASE'!U19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4">
        <f>'01_MASTER_DATABASE'!U20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4">
        <f>'01_MASTER_DATABASE'!U21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4">
        <f>'01_MASTER_DATABASE'!U22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4">
        <f>'01_MASTER_DATABASE'!U23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4">
        <f>'01_MASTER_DATABASE'!U24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4">
        <f>'01_MASTER_DATABASE'!U25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4">
        <f>'01_MASTER_DATABASE'!U26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4">
        <f>'01_MASTER_DATABASE'!U27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4">
        <f>'01_MASTER_DATABASE'!U28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4">
        <f>'01_MASTER_DATABASE'!U29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4">
        <f>'01_MASTER_DATABASE'!U30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4">
        <f>'01_MASTER_DATABASE'!U31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4">
        <f>'01_MASTER_DATABASE'!U32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4">
        <f>'01_MASTER_DATABASE'!U33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4">
        <f>'01_MASTER_DATABASE'!U34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4">
        <f>'01_MASTER_DATABASE'!U35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4">
        <f>'01_MASTER_DATABASE'!U36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4">
        <f>'01_MASTER_DATABASE'!U37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4">
        <f>'01_MASTER_DATABASE'!U38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4">
        <f>'01_MASTER_DATABASE'!U39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4">
        <f>'01_MASTER_DATABASE'!U40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4">
        <f>'01_MASTER_DATABASE'!U41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4">
        <f>'01_MASTER_DATABASE'!U42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4">
        <f>'01_MASTER_DATABASE'!U43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4">
        <f>'01_MASTER_DATABASE'!U44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4">
        <f>'01_MASTER_DATABASE'!U45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4">
        <f>'01_MASTER_DATABASE'!U46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4">
        <f>'01_MASTER_DATABASE'!U47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4">
        <f>'01_MASTER_DATABASE'!U48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4">
        <f>'01_MASTER_DATABASE'!U49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4">
        <f>'01_MASTER_DATABASE'!U50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4">
        <f>'01_MASTER_DATABASE'!U51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4">
        <f>'01_MASTER_DATABASE'!U52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4">
        <f>'01_MASTER_DATABASE'!U53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4">
        <f>'01_MASTER_DATABASE'!U54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4">
        <f>'01_MASTER_DATABASE'!U55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4">
        <f>'01_MASTER_DATABASE'!U56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4">
        <f>'01_MASTER_DATABASE'!U57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4">
        <f>'01_MASTER_DATABASE'!U58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4">
        <f>'01_MASTER_DATABASE'!U59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4">
        <f>'01_MASTER_DATABASE'!U60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4">
        <f>'01_MASTER_DATABASE'!U61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4">
        <f>'01_MASTER_DATABASE'!U62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4">
        <f>'01_MASTER_DATABASE'!U63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4">
        <f>'01_MASTER_DATABASE'!U64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4">
        <f>'01_MASTER_DATABASE'!U65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4">
        <f>'01_MASTER_DATABASE'!U66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4">
        <f>'01_MASTER_DATABASE'!U67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4">
        <f>'01_MASTER_DATABASE'!U68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4">
        <f>'01_MASTER_DATABASE'!U69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4">
        <f>'01_MASTER_DATABASE'!U70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4">
        <f>'01_MASTER_DATABASE'!U71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4">
        <f>'01_MASTER_DATABASE'!U72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4">
        <f>'01_MASTER_DATABASE'!U73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4">
        <f>'01_MASTER_DATABASE'!U74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4">
        <f>'01_MASTER_DATABASE'!U75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4">
        <f>'01_MASTER_DATABASE'!U76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4">
        <f>'01_MASTER_DATABASE'!U77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4">
        <f>'01_MASTER_DATABASE'!U78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4">
        <f>'01_MASTER_DATABASE'!U79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4">
        <f>'01_MASTER_DATABASE'!U80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4">
        <f>'01_MASTER_DATABASE'!U81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4">
        <f>'01_MASTER_DATABASE'!U82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4">
        <f>'01_MASTER_DATABASE'!U83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4">
        <f>'01_MASTER_DATABASE'!U84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4">
        <f>'01_MASTER_DATABASE'!U85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4">
        <f>'01_MASTER_DATABASE'!U86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4">
        <f>'01_MASTER_DATABASE'!U87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4">
        <f>'01_MASTER_DATABASE'!U88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4">
        <f>'01_MASTER_DATABASE'!U89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4">
        <f>'01_MASTER_DATABASE'!U90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4">
        <f>'01_MASTER_DATABASE'!U91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4">
        <f>'01_MASTER_DATABASE'!U92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4">
        <f>'01_MASTER_DATABASE'!U93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4">
        <f>'01_MASTER_DATABASE'!U94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4">
        <f>'01_MASTER_DATABASE'!U95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4">
        <f>'01_MASTER_DATABASE'!U96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4">
        <f>'01_MASTER_DATABASE'!U97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4">
        <f>'01_MASTER_DATABASE'!U98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4">
        <f>'01_MASTER_DATABASE'!U99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4">
        <f>'01_MASTER_DATABASE'!U100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4">
        <f>'01_MASTER_DATABASE'!U101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4">
        <f>'01_MASTER_DATABASE'!U102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4">
        <f>'01_MASTER_DATABASE'!U103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4">
        <f>'01_MASTER_DATABASE'!U104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4">
        <f>'01_MASTER_DATABASE'!U105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4">
        <f>'01_MASTER_DATABASE'!U106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4">
        <f>'01_MASTER_DATABASE'!U107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4">
        <f>'01_MASTER_DATABASE'!U108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4">
        <f>'01_MASTER_DATABASE'!U109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4">
        <f>'01_MASTER_DATABASE'!U110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4">
        <f>'01_MASTER_DATABASE'!U111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4">
        <f>'01_MASTER_DATABASE'!U112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4">
        <f>'01_MASTER_DATABASE'!U113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4">
        <f>'01_MASTER_DATABASE'!U114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4">
        <f>'01_MASTER_DATABASE'!U115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4">
        <f>'01_MASTER_DATABASE'!U116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4">
        <f>'01_MASTER_DATABASE'!U117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4">
        <f>'01_MASTER_DATABASE'!U118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4">
        <f>'01_MASTER_DATABASE'!U119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4">
        <f>'01_MASTER_DATABASE'!U120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4">
        <f>'01_MASTER_DATABASE'!U121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4">
        <f>'01_MASTER_DATABASE'!U122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4">
        <f>'01_MASTER_DATABASE'!U123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4">
        <f>'01_MASTER_DATABASE'!U124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4">
        <f>'01_MASTER_DATABASE'!U125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4">
        <f>'01_MASTER_DATABASE'!U126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4">
        <f>'01_MASTER_DATABASE'!U127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4">
        <f>'01_MASTER_DATABASE'!U128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4">
        <f>'01_MASTER_DATABASE'!U129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4">
        <f>'01_MASTER_DATABASE'!U130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4">
        <f>'01_MASTER_DATABASE'!U131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4">
        <f>'01_MASTER_DATABASE'!U132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4">
        <f>'01_MASTER_DATABASE'!U133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4">
        <f>'01_MASTER_DATABASE'!U134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4">
        <f>'01_MASTER_DATABASE'!U135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4">
        <f>'01_MASTER_DATABASE'!U136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4">
        <f>'01_MASTER_DATABASE'!U137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4">
        <f>'01_MASTER_DATABASE'!U138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4">
        <f>'01_MASTER_DATABASE'!U139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4">
        <f>'01_MASTER_DATABASE'!U140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4">
        <f>'01_MASTER_DATABASE'!U141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4">
        <f>'01_MASTER_DATABASE'!U142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4">
        <f>'01_MASTER_DATABASE'!U143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4">
        <f>'01_MASTER_DATABASE'!U144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4">
        <f>'01_MASTER_DATABASE'!U145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4">
        <f>'01_MASTER_DATABASE'!U146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4">
        <f>'01_MASTER_DATABASE'!U147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4">
        <f>'01_MASTER_DATABASE'!U148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4">
        <f>'01_MASTER_DATABASE'!U149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4">
        <f>'01_MASTER_DATABASE'!U150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4">
        <f>'01_MASTER_DATABASE'!U151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4">
        <f>'01_MASTER_DATABASE'!U152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4">
        <f>'01_MASTER_DATABASE'!U153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4">
        <f>'01_MASTER_DATABASE'!U154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4">
        <f>'01_MASTER_DATABASE'!U155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4">
        <f>'01_MASTER_DATABASE'!U156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4">
        <f>'01_MASTER_DATABASE'!U157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4">
        <f>'01_MASTER_DATABASE'!U158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4">
        <f>'01_MASTER_DATABASE'!U159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4">
        <f>'01_MASTER_DATABASE'!U160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4">
        <f>'01_MASTER_DATABASE'!U161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4">
        <f>'01_MASTER_DATABASE'!U162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4">
        <f>'01_MASTER_DATABASE'!U163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4">
        <f>'01_MASTER_DATABASE'!U164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4">
        <f>'01_MASTER_DATABASE'!U165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4">
        <f>'01_MASTER_DATABASE'!U166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4">
        <f>'01_MASTER_DATABASE'!U167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4">
        <f>'01_MASTER_DATABASE'!U168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4">
        <f>'01_MASTER_DATABASE'!U169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4">
        <f>'01_MASTER_DATABASE'!U170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4">
        <f>'01_MASTER_DATABASE'!U171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4">
        <f>'01_MASTER_DATABASE'!U172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4">
        <f>'01_MASTER_DATABASE'!U173</f>
        <v/>
      </c>
    </row>
  </sheetData>
  <mergeCells count="1">
    <mergeCell ref="A1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09" t="inlineStr">
        <is>
          <t>TÌNH TRẠNG CÓ SẴN TÀI LIỆU KỸ THUẬT VÀ BẢN VẼ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Bản Vẽ CAD (.dxf)</t>
        </is>
      </c>
      <c r="D4" s="110" t="inlineStr">
        <is>
          <t>Shopdrawing (.dwg)</t>
        </is>
      </c>
      <c r="E4" s="110" t="inlineStr">
        <is>
          <t>Bản Vẽ BIM / Revit</t>
        </is>
      </c>
      <c r="F4" s="110" t="inlineStr">
        <is>
          <t>Catalogue / Manual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>
        <f>'01_MASTER_DATABASE'!V2</f>
        <v/>
      </c>
      <c r="D5" s="113">
        <f>'01_MASTER_DATABASE'!W2</f>
        <v/>
      </c>
      <c r="E5" s="113" t="inlineStr">
        <is>
          <t>✗</t>
        </is>
      </c>
      <c r="F5" s="113">
        <f>'01_MASTER_DATABASE'!X2</f>
        <v/>
      </c>
    </row>
    <row r="6" ht="25" customHeight="1">
      <c r="A6" s="113">
        <f>'01_MASTER_DATABASE'!C3</f>
        <v/>
      </c>
      <c r="B6" s="114">
        <f>'01_MASTER_DATABASE'!D3</f>
        <v/>
      </c>
      <c r="C6" s="113">
        <f>'01_MASTER_DATABASE'!V3</f>
        <v/>
      </c>
      <c r="D6" s="113">
        <f>'01_MASTER_DATABASE'!W3</f>
        <v/>
      </c>
      <c r="E6" s="113" t="inlineStr">
        <is>
          <t>✗</t>
        </is>
      </c>
      <c r="F6" s="113">
        <f>'01_MASTER_DATABASE'!X3</f>
        <v/>
      </c>
    </row>
    <row r="7" ht="25" customHeight="1">
      <c r="A7" s="113">
        <f>'01_MASTER_DATABASE'!C4</f>
        <v/>
      </c>
      <c r="B7" s="114">
        <f>'01_MASTER_DATABASE'!D4</f>
        <v/>
      </c>
      <c r="C7" s="113">
        <f>'01_MASTER_DATABASE'!V4</f>
        <v/>
      </c>
      <c r="D7" s="113">
        <f>'01_MASTER_DATABASE'!W4</f>
        <v/>
      </c>
      <c r="E7" s="113" t="inlineStr">
        <is>
          <t>✗</t>
        </is>
      </c>
      <c r="F7" s="113">
        <f>'01_MASTER_DATABASE'!X4</f>
        <v/>
      </c>
    </row>
    <row r="8" ht="25" customHeight="1">
      <c r="A8" s="113">
        <f>'01_MASTER_DATABASE'!C5</f>
        <v/>
      </c>
      <c r="B8" s="114">
        <f>'01_MASTER_DATABASE'!D5</f>
        <v/>
      </c>
      <c r="C8" s="113">
        <f>'01_MASTER_DATABASE'!V5</f>
        <v/>
      </c>
      <c r="D8" s="113">
        <f>'01_MASTER_DATABASE'!W5</f>
        <v/>
      </c>
      <c r="E8" s="113" t="inlineStr">
        <is>
          <t>✗</t>
        </is>
      </c>
      <c r="F8" s="113">
        <f>'01_MASTER_DATABASE'!X5</f>
        <v/>
      </c>
    </row>
    <row r="9" ht="25" customHeight="1">
      <c r="A9" s="113">
        <f>'01_MASTER_DATABASE'!C6</f>
        <v/>
      </c>
      <c r="B9" s="114">
        <f>'01_MASTER_DATABASE'!D6</f>
        <v/>
      </c>
      <c r="C9" s="113">
        <f>'01_MASTER_DATABASE'!V6</f>
        <v/>
      </c>
      <c r="D9" s="113">
        <f>'01_MASTER_DATABASE'!W6</f>
        <v/>
      </c>
      <c r="E9" s="113" t="inlineStr">
        <is>
          <t>✗</t>
        </is>
      </c>
      <c r="F9" s="113">
        <f>'01_MASTER_DATABASE'!X6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3">
        <f>'01_MASTER_DATABASE'!V7</f>
        <v/>
      </c>
      <c r="D10" s="113">
        <f>'01_MASTER_DATABASE'!W7</f>
        <v/>
      </c>
      <c r="E10" s="113" t="inlineStr">
        <is>
          <t>✗</t>
        </is>
      </c>
      <c r="F10" s="113">
        <f>'01_MASTER_DATABASE'!X7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3">
        <f>'01_MASTER_DATABASE'!V8</f>
        <v/>
      </c>
      <c r="D11" s="113">
        <f>'01_MASTER_DATABASE'!W8</f>
        <v/>
      </c>
      <c r="E11" s="113" t="inlineStr">
        <is>
          <t>✗</t>
        </is>
      </c>
      <c r="F11" s="113">
        <f>'01_MASTER_DATABASE'!X8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3">
        <f>'01_MASTER_DATABASE'!V9</f>
        <v/>
      </c>
      <c r="D12" s="113">
        <f>'01_MASTER_DATABASE'!W9</f>
        <v/>
      </c>
      <c r="E12" s="113" t="inlineStr">
        <is>
          <t>✗</t>
        </is>
      </c>
      <c r="F12" s="113">
        <f>'01_MASTER_DATABASE'!X9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3">
        <f>'01_MASTER_DATABASE'!V10</f>
        <v/>
      </c>
      <c r="D13" s="113">
        <f>'01_MASTER_DATABASE'!W10</f>
        <v/>
      </c>
      <c r="E13" s="113" t="inlineStr">
        <is>
          <t>✗</t>
        </is>
      </c>
      <c r="F13" s="113">
        <f>'01_MASTER_DATABASE'!X10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3">
        <f>'01_MASTER_DATABASE'!V11</f>
        <v/>
      </c>
      <c r="D14" s="113">
        <f>'01_MASTER_DATABASE'!W11</f>
        <v/>
      </c>
      <c r="E14" s="113" t="inlineStr">
        <is>
          <t>✗</t>
        </is>
      </c>
      <c r="F14" s="113">
        <f>'01_MASTER_DATABASE'!X11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3">
        <f>'01_MASTER_DATABASE'!V12</f>
        <v/>
      </c>
      <c r="D15" s="113">
        <f>'01_MASTER_DATABASE'!W12</f>
        <v/>
      </c>
      <c r="E15" s="113" t="inlineStr">
        <is>
          <t>✗</t>
        </is>
      </c>
      <c r="F15" s="113">
        <f>'01_MASTER_DATABASE'!X12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3">
        <f>'01_MASTER_DATABASE'!V13</f>
        <v/>
      </c>
      <c r="D16" s="113">
        <f>'01_MASTER_DATABASE'!W13</f>
        <v/>
      </c>
      <c r="E16" s="113" t="inlineStr">
        <is>
          <t>✗</t>
        </is>
      </c>
      <c r="F16" s="113">
        <f>'01_MASTER_DATABASE'!X13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3">
        <f>'01_MASTER_DATABASE'!V14</f>
        <v/>
      </c>
      <c r="D17" s="113">
        <f>'01_MASTER_DATABASE'!W14</f>
        <v/>
      </c>
      <c r="E17" s="113" t="inlineStr">
        <is>
          <t>✗</t>
        </is>
      </c>
      <c r="F17" s="113">
        <f>'01_MASTER_DATABASE'!X14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3">
        <f>'01_MASTER_DATABASE'!V15</f>
        <v/>
      </c>
      <c r="D18" s="113">
        <f>'01_MASTER_DATABASE'!W15</f>
        <v/>
      </c>
      <c r="E18" s="113" t="inlineStr">
        <is>
          <t>✗</t>
        </is>
      </c>
      <c r="F18" s="113">
        <f>'01_MASTER_DATABASE'!X15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3">
        <f>'01_MASTER_DATABASE'!V16</f>
        <v/>
      </c>
      <c r="D19" s="113">
        <f>'01_MASTER_DATABASE'!W16</f>
        <v/>
      </c>
      <c r="E19" s="113" t="inlineStr">
        <is>
          <t>✗</t>
        </is>
      </c>
      <c r="F19" s="113">
        <f>'01_MASTER_DATABASE'!X16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3">
        <f>'01_MASTER_DATABASE'!V17</f>
        <v/>
      </c>
      <c r="D20" s="113">
        <f>'01_MASTER_DATABASE'!W17</f>
        <v/>
      </c>
      <c r="E20" s="113" t="inlineStr">
        <is>
          <t>✗</t>
        </is>
      </c>
      <c r="F20" s="113">
        <f>'01_MASTER_DATABASE'!X17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3">
        <f>'01_MASTER_DATABASE'!V18</f>
        <v/>
      </c>
      <c r="D21" s="113">
        <f>'01_MASTER_DATABASE'!W18</f>
        <v/>
      </c>
      <c r="E21" s="113" t="inlineStr">
        <is>
          <t>✗</t>
        </is>
      </c>
      <c r="F21" s="113">
        <f>'01_MASTER_DATABASE'!X18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3">
        <f>'01_MASTER_DATABASE'!V19</f>
        <v/>
      </c>
      <c r="D22" s="113">
        <f>'01_MASTER_DATABASE'!W19</f>
        <v/>
      </c>
      <c r="E22" s="113" t="inlineStr">
        <is>
          <t>✗</t>
        </is>
      </c>
      <c r="F22" s="113">
        <f>'01_MASTER_DATABASE'!X19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3">
        <f>'01_MASTER_DATABASE'!V20</f>
        <v/>
      </c>
      <c r="D23" s="113">
        <f>'01_MASTER_DATABASE'!W20</f>
        <v/>
      </c>
      <c r="E23" s="113" t="inlineStr">
        <is>
          <t>✗</t>
        </is>
      </c>
      <c r="F23" s="113">
        <f>'01_MASTER_DATABASE'!X20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3">
        <f>'01_MASTER_DATABASE'!V21</f>
        <v/>
      </c>
      <c r="D24" s="113">
        <f>'01_MASTER_DATABASE'!W21</f>
        <v/>
      </c>
      <c r="E24" s="113" t="inlineStr">
        <is>
          <t>✗</t>
        </is>
      </c>
      <c r="F24" s="113">
        <f>'01_MASTER_DATABASE'!X21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3">
        <f>'01_MASTER_DATABASE'!V22</f>
        <v/>
      </c>
      <c r="D25" s="113">
        <f>'01_MASTER_DATABASE'!W22</f>
        <v/>
      </c>
      <c r="E25" s="113" t="inlineStr">
        <is>
          <t>✗</t>
        </is>
      </c>
      <c r="F25" s="113">
        <f>'01_MASTER_DATABASE'!X22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3">
        <f>'01_MASTER_DATABASE'!V23</f>
        <v/>
      </c>
      <c r="D26" s="113">
        <f>'01_MASTER_DATABASE'!W23</f>
        <v/>
      </c>
      <c r="E26" s="113" t="inlineStr">
        <is>
          <t>✗</t>
        </is>
      </c>
      <c r="F26" s="113">
        <f>'01_MASTER_DATABASE'!X23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3">
        <f>'01_MASTER_DATABASE'!V24</f>
        <v/>
      </c>
      <c r="D27" s="113">
        <f>'01_MASTER_DATABASE'!W24</f>
        <v/>
      </c>
      <c r="E27" s="113" t="inlineStr">
        <is>
          <t>✗</t>
        </is>
      </c>
      <c r="F27" s="113">
        <f>'01_MASTER_DATABASE'!X24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3">
        <f>'01_MASTER_DATABASE'!V25</f>
        <v/>
      </c>
      <c r="D28" s="113">
        <f>'01_MASTER_DATABASE'!W25</f>
        <v/>
      </c>
      <c r="E28" s="113" t="inlineStr">
        <is>
          <t>✗</t>
        </is>
      </c>
      <c r="F28" s="113">
        <f>'01_MASTER_DATABASE'!X25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3">
        <f>'01_MASTER_DATABASE'!V26</f>
        <v/>
      </c>
      <c r="D29" s="113">
        <f>'01_MASTER_DATABASE'!W26</f>
        <v/>
      </c>
      <c r="E29" s="113" t="inlineStr">
        <is>
          <t>✗</t>
        </is>
      </c>
      <c r="F29" s="113">
        <f>'01_MASTER_DATABASE'!X26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3">
        <f>'01_MASTER_DATABASE'!V27</f>
        <v/>
      </c>
      <c r="D30" s="113">
        <f>'01_MASTER_DATABASE'!W27</f>
        <v/>
      </c>
      <c r="E30" s="113" t="inlineStr">
        <is>
          <t>✗</t>
        </is>
      </c>
      <c r="F30" s="113">
        <f>'01_MASTER_DATABASE'!X27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3">
        <f>'01_MASTER_DATABASE'!V28</f>
        <v/>
      </c>
      <c r="D31" s="113">
        <f>'01_MASTER_DATABASE'!W28</f>
        <v/>
      </c>
      <c r="E31" s="113" t="inlineStr">
        <is>
          <t>✗</t>
        </is>
      </c>
      <c r="F31" s="113">
        <f>'01_MASTER_DATABASE'!X28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3">
        <f>'01_MASTER_DATABASE'!V29</f>
        <v/>
      </c>
      <c r="D32" s="113">
        <f>'01_MASTER_DATABASE'!W29</f>
        <v/>
      </c>
      <c r="E32" s="113" t="inlineStr">
        <is>
          <t>✗</t>
        </is>
      </c>
      <c r="F32" s="113">
        <f>'01_MASTER_DATABASE'!X29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3">
        <f>'01_MASTER_DATABASE'!V30</f>
        <v/>
      </c>
      <c r="D33" s="113">
        <f>'01_MASTER_DATABASE'!W30</f>
        <v/>
      </c>
      <c r="E33" s="113" t="inlineStr">
        <is>
          <t>✗</t>
        </is>
      </c>
      <c r="F33" s="113">
        <f>'01_MASTER_DATABASE'!X30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3">
        <f>'01_MASTER_DATABASE'!V31</f>
        <v/>
      </c>
      <c r="D34" s="113">
        <f>'01_MASTER_DATABASE'!W31</f>
        <v/>
      </c>
      <c r="E34" s="113" t="inlineStr">
        <is>
          <t>✗</t>
        </is>
      </c>
      <c r="F34" s="113">
        <f>'01_MASTER_DATABASE'!X31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3">
        <f>'01_MASTER_DATABASE'!V32</f>
        <v/>
      </c>
      <c r="D35" s="113">
        <f>'01_MASTER_DATABASE'!W32</f>
        <v/>
      </c>
      <c r="E35" s="113" t="inlineStr">
        <is>
          <t>✗</t>
        </is>
      </c>
      <c r="F35" s="113">
        <f>'01_MASTER_DATABASE'!X32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3">
        <f>'01_MASTER_DATABASE'!V33</f>
        <v/>
      </c>
      <c r="D36" s="113">
        <f>'01_MASTER_DATABASE'!W33</f>
        <v/>
      </c>
      <c r="E36" s="113" t="inlineStr">
        <is>
          <t>✗</t>
        </is>
      </c>
      <c r="F36" s="113">
        <f>'01_MASTER_DATABASE'!X33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3">
        <f>'01_MASTER_DATABASE'!V34</f>
        <v/>
      </c>
      <c r="D37" s="113">
        <f>'01_MASTER_DATABASE'!W34</f>
        <v/>
      </c>
      <c r="E37" s="113" t="inlineStr">
        <is>
          <t>✗</t>
        </is>
      </c>
      <c r="F37" s="113">
        <f>'01_MASTER_DATABASE'!X34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3">
        <f>'01_MASTER_DATABASE'!V35</f>
        <v/>
      </c>
      <c r="D38" s="113">
        <f>'01_MASTER_DATABASE'!W35</f>
        <v/>
      </c>
      <c r="E38" s="113" t="inlineStr">
        <is>
          <t>✗</t>
        </is>
      </c>
      <c r="F38" s="113">
        <f>'01_MASTER_DATABASE'!X35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3">
        <f>'01_MASTER_DATABASE'!V36</f>
        <v/>
      </c>
      <c r="D39" s="113">
        <f>'01_MASTER_DATABASE'!W36</f>
        <v/>
      </c>
      <c r="E39" s="113" t="inlineStr">
        <is>
          <t>✗</t>
        </is>
      </c>
      <c r="F39" s="113">
        <f>'01_MASTER_DATABASE'!X36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3">
        <f>'01_MASTER_DATABASE'!V37</f>
        <v/>
      </c>
      <c r="D40" s="113">
        <f>'01_MASTER_DATABASE'!W37</f>
        <v/>
      </c>
      <c r="E40" s="113" t="inlineStr">
        <is>
          <t>✗</t>
        </is>
      </c>
      <c r="F40" s="113">
        <f>'01_MASTER_DATABASE'!X37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3">
        <f>'01_MASTER_DATABASE'!V38</f>
        <v/>
      </c>
      <c r="D41" s="113">
        <f>'01_MASTER_DATABASE'!W38</f>
        <v/>
      </c>
      <c r="E41" s="113" t="inlineStr">
        <is>
          <t>✗</t>
        </is>
      </c>
      <c r="F41" s="113">
        <f>'01_MASTER_DATABASE'!X38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3">
        <f>'01_MASTER_DATABASE'!V39</f>
        <v/>
      </c>
      <c r="D42" s="113">
        <f>'01_MASTER_DATABASE'!W39</f>
        <v/>
      </c>
      <c r="E42" s="113" t="inlineStr">
        <is>
          <t>✗</t>
        </is>
      </c>
      <c r="F42" s="113">
        <f>'01_MASTER_DATABASE'!X39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3">
        <f>'01_MASTER_DATABASE'!V40</f>
        <v/>
      </c>
      <c r="D43" s="113">
        <f>'01_MASTER_DATABASE'!W40</f>
        <v/>
      </c>
      <c r="E43" s="113" t="inlineStr">
        <is>
          <t>✗</t>
        </is>
      </c>
      <c r="F43" s="113">
        <f>'01_MASTER_DATABASE'!X40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3">
        <f>'01_MASTER_DATABASE'!V41</f>
        <v/>
      </c>
      <c r="D44" s="113">
        <f>'01_MASTER_DATABASE'!W41</f>
        <v/>
      </c>
      <c r="E44" s="113" t="inlineStr">
        <is>
          <t>✗</t>
        </is>
      </c>
      <c r="F44" s="113">
        <f>'01_MASTER_DATABASE'!X41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3">
        <f>'01_MASTER_DATABASE'!V42</f>
        <v/>
      </c>
      <c r="D45" s="113">
        <f>'01_MASTER_DATABASE'!W42</f>
        <v/>
      </c>
      <c r="E45" s="113" t="inlineStr">
        <is>
          <t>✗</t>
        </is>
      </c>
      <c r="F45" s="113">
        <f>'01_MASTER_DATABASE'!X42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3">
        <f>'01_MASTER_DATABASE'!V43</f>
        <v/>
      </c>
      <c r="D46" s="113">
        <f>'01_MASTER_DATABASE'!W43</f>
        <v/>
      </c>
      <c r="E46" s="113" t="inlineStr">
        <is>
          <t>✗</t>
        </is>
      </c>
      <c r="F46" s="113">
        <f>'01_MASTER_DATABASE'!X43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3">
        <f>'01_MASTER_DATABASE'!V44</f>
        <v/>
      </c>
      <c r="D47" s="113">
        <f>'01_MASTER_DATABASE'!W44</f>
        <v/>
      </c>
      <c r="E47" s="113" t="inlineStr">
        <is>
          <t>✗</t>
        </is>
      </c>
      <c r="F47" s="113">
        <f>'01_MASTER_DATABASE'!X44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3">
        <f>'01_MASTER_DATABASE'!V45</f>
        <v/>
      </c>
      <c r="D48" s="113">
        <f>'01_MASTER_DATABASE'!W45</f>
        <v/>
      </c>
      <c r="E48" s="113" t="inlineStr">
        <is>
          <t>✗</t>
        </is>
      </c>
      <c r="F48" s="113">
        <f>'01_MASTER_DATABASE'!X45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3">
        <f>'01_MASTER_DATABASE'!V46</f>
        <v/>
      </c>
      <c r="D49" s="113">
        <f>'01_MASTER_DATABASE'!W46</f>
        <v/>
      </c>
      <c r="E49" s="113" t="inlineStr">
        <is>
          <t>✗</t>
        </is>
      </c>
      <c r="F49" s="113">
        <f>'01_MASTER_DATABASE'!X46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3">
        <f>'01_MASTER_DATABASE'!V47</f>
        <v/>
      </c>
      <c r="D50" s="113">
        <f>'01_MASTER_DATABASE'!W47</f>
        <v/>
      </c>
      <c r="E50" s="113" t="inlineStr">
        <is>
          <t>✗</t>
        </is>
      </c>
      <c r="F50" s="113">
        <f>'01_MASTER_DATABASE'!X47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3">
        <f>'01_MASTER_DATABASE'!V48</f>
        <v/>
      </c>
      <c r="D51" s="113">
        <f>'01_MASTER_DATABASE'!W48</f>
        <v/>
      </c>
      <c r="E51" s="113" t="inlineStr">
        <is>
          <t>✗</t>
        </is>
      </c>
      <c r="F51" s="113">
        <f>'01_MASTER_DATABASE'!X48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3">
        <f>'01_MASTER_DATABASE'!V49</f>
        <v/>
      </c>
      <c r="D52" s="113">
        <f>'01_MASTER_DATABASE'!W49</f>
        <v/>
      </c>
      <c r="E52" s="113" t="inlineStr">
        <is>
          <t>✗</t>
        </is>
      </c>
      <c r="F52" s="113">
        <f>'01_MASTER_DATABASE'!X49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3">
        <f>'01_MASTER_DATABASE'!V50</f>
        <v/>
      </c>
      <c r="D53" s="113">
        <f>'01_MASTER_DATABASE'!W50</f>
        <v/>
      </c>
      <c r="E53" s="113" t="inlineStr">
        <is>
          <t>✗</t>
        </is>
      </c>
      <c r="F53" s="113">
        <f>'01_MASTER_DATABASE'!X50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3">
        <f>'01_MASTER_DATABASE'!V51</f>
        <v/>
      </c>
      <c r="D54" s="113">
        <f>'01_MASTER_DATABASE'!W51</f>
        <v/>
      </c>
      <c r="E54" s="113" t="inlineStr">
        <is>
          <t>✗</t>
        </is>
      </c>
      <c r="F54" s="113">
        <f>'01_MASTER_DATABASE'!X51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3">
        <f>'01_MASTER_DATABASE'!V52</f>
        <v/>
      </c>
      <c r="D55" s="113">
        <f>'01_MASTER_DATABASE'!W52</f>
        <v/>
      </c>
      <c r="E55" s="113" t="inlineStr">
        <is>
          <t>✗</t>
        </is>
      </c>
      <c r="F55" s="113">
        <f>'01_MASTER_DATABASE'!X52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3">
        <f>'01_MASTER_DATABASE'!V53</f>
        <v/>
      </c>
      <c r="D56" s="113">
        <f>'01_MASTER_DATABASE'!W53</f>
        <v/>
      </c>
      <c r="E56" s="113" t="inlineStr">
        <is>
          <t>✗</t>
        </is>
      </c>
      <c r="F56" s="113">
        <f>'01_MASTER_DATABASE'!X53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3">
        <f>'01_MASTER_DATABASE'!V54</f>
        <v/>
      </c>
      <c r="D57" s="113">
        <f>'01_MASTER_DATABASE'!W54</f>
        <v/>
      </c>
      <c r="E57" s="113" t="inlineStr">
        <is>
          <t>✗</t>
        </is>
      </c>
      <c r="F57" s="113">
        <f>'01_MASTER_DATABASE'!X54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3">
        <f>'01_MASTER_DATABASE'!V55</f>
        <v/>
      </c>
      <c r="D58" s="113">
        <f>'01_MASTER_DATABASE'!W55</f>
        <v/>
      </c>
      <c r="E58" s="113" t="inlineStr">
        <is>
          <t>✗</t>
        </is>
      </c>
      <c r="F58" s="113">
        <f>'01_MASTER_DATABASE'!X55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3">
        <f>'01_MASTER_DATABASE'!V56</f>
        <v/>
      </c>
      <c r="D59" s="113">
        <f>'01_MASTER_DATABASE'!W56</f>
        <v/>
      </c>
      <c r="E59" s="113" t="inlineStr">
        <is>
          <t>✗</t>
        </is>
      </c>
      <c r="F59" s="113">
        <f>'01_MASTER_DATABASE'!X56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3">
        <f>'01_MASTER_DATABASE'!V57</f>
        <v/>
      </c>
      <c r="D60" s="113">
        <f>'01_MASTER_DATABASE'!W57</f>
        <v/>
      </c>
      <c r="E60" s="113" t="inlineStr">
        <is>
          <t>✗</t>
        </is>
      </c>
      <c r="F60" s="113">
        <f>'01_MASTER_DATABASE'!X57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3">
        <f>'01_MASTER_DATABASE'!V58</f>
        <v/>
      </c>
      <c r="D61" s="113">
        <f>'01_MASTER_DATABASE'!W58</f>
        <v/>
      </c>
      <c r="E61" s="113" t="inlineStr">
        <is>
          <t>✗</t>
        </is>
      </c>
      <c r="F61" s="113">
        <f>'01_MASTER_DATABASE'!X58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3">
        <f>'01_MASTER_DATABASE'!V59</f>
        <v/>
      </c>
      <c r="D62" s="113">
        <f>'01_MASTER_DATABASE'!W59</f>
        <v/>
      </c>
      <c r="E62" s="113" t="inlineStr">
        <is>
          <t>✗</t>
        </is>
      </c>
      <c r="F62" s="113">
        <f>'01_MASTER_DATABASE'!X59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3">
        <f>'01_MASTER_DATABASE'!V60</f>
        <v/>
      </c>
      <c r="D63" s="113">
        <f>'01_MASTER_DATABASE'!W60</f>
        <v/>
      </c>
      <c r="E63" s="113" t="inlineStr">
        <is>
          <t>✗</t>
        </is>
      </c>
      <c r="F63" s="113">
        <f>'01_MASTER_DATABASE'!X60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3">
        <f>'01_MASTER_DATABASE'!V61</f>
        <v/>
      </c>
      <c r="D64" s="113">
        <f>'01_MASTER_DATABASE'!W61</f>
        <v/>
      </c>
      <c r="E64" s="113" t="inlineStr">
        <is>
          <t>✗</t>
        </is>
      </c>
      <c r="F64" s="113">
        <f>'01_MASTER_DATABASE'!X61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3">
        <f>'01_MASTER_DATABASE'!V62</f>
        <v/>
      </c>
      <c r="D65" s="113">
        <f>'01_MASTER_DATABASE'!W62</f>
        <v/>
      </c>
      <c r="E65" s="113" t="inlineStr">
        <is>
          <t>✗</t>
        </is>
      </c>
      <c r="F65" s="113">
        <f>'01_MASTER_DATABASE'!X62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3">
        <f>'01_MASTER_DATABASE'!V63</f>
        <v/>
      </c>
      <c r="D66" s="113">
        <f>'01_MASTER_DATABASE'!W63</f>
        <v/>
      </c>
      <c r="E66" s="113" t="inlineStr">
        <is>
          <t>✗</t>
        </is>
      </c>
      <c r="F66" s="113">
        <f>'01_MASTER_DATABASE'!X63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3">
        <f>'01_MASTER_DATABASE'!V64</f>
        <v/>
      </c>
      <c r="D67" s="113">
        <f>'01_MASTER_DATABASE'!W64</f>
        <v/>
      </c>
      <c r="E67" s="113" t="inlineStr">
        <is>
          <t>✗</t>
        </is>
      </c>
      <c r="F67" s="113">
        <f>'01_MASTER_DATABASE'!X64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3">
        <f>'01_MASTER_DATABASE'!V65</f>
        <v/>
      </c>
      <c r="D68" s="113">
        <f>'01_MASTER_DATABASE'!W65</f>
        <v/>
      </c>
      <c r="E68" s="113" t="inlineStr">
        <is>
          <t>✗</t>
        </is>
      </c>
      <c r="F68" s="113">
        <f>'01_MASTER_DATABASE'!X65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3">
        <f>'01_MASTER_DATABASE'!V66</f>
        <v/>
      </c>
      <c r="D69" s="113">
        <f>'01_MASTER_DATABASE'!W66</f>
        <v/>
      </c>
      <c r="E69" s="113" t="inlineStr">
        <is>
          <t>✗</t>
        </is>
      </c>
      <c r="F69" s="113">
        <f>'01_MASTER_DATABASE'!X66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3">
        <f>'01_MASTER_DATABASE'!V67</f>
        <v/>
      </c>
      <c r="D70" s="113">
        <f>'01_MASTER_DATABASE'!W67</f>
        <v/>
      </c>
      <c r="E70" s="113" t="inlineStr">
        <is>
          <t>✗</t>
        </is>
      </c>
      <c r="F70" s="113">
        <f>'01_MASTER_DATABASE'!X67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3">
        <f>'01_MASTER_DATABASE'!V68</f>
        <v/>
      </c>
      <c r="D71" s="113">
        <f>'01_MASTER_DATABASE'!W68</f>
        <v/>
      </c>
      <c r="E71" s="113" t="inlineStr">
        <is>
          <t>✗</t>
        </is>
      </c>
      <c r="F71" s="113">
        <f>'01_MASTER_DATABASE'!X68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3">
        <f>'01_MASTER_DATABASE'!V69</f>
        <v/>
      </c>
      <c r="D72" s="113">
        <f>'01_MASTER_DATABASE'!W69</f>
        <v/>
      </c>
      <c r="E72" s="113" t="inlineStr">
        <is>
          <t>✗</t>
        </is>
      </c>
      <c r="F72" s="113">
        <f>'01_MASTER_DATABASE'!X69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3">
        <f>'01_MASTER_DATABASE'!V70</f>
        <v/>
      </c>
      <c r="D73" s="113">
        <f>'01_MASTER_DATABASE'!W70</f>
        <v/>
      </c>
      <c r="E73" s="113" t="inlineStr">
        <is>
          <t>✗</t>
        </is>
      </c>
      <c r="F73" s="113">
        <f>'01_MASTER_DATABASE'!X70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3">
        <f>'01_MASTER_DATABASE'!V71</f>
        <v/>
      </c>
      <c r="D74" s="113">
        <f>'01_MASTER_DATABASE'!W71</f>
        <v/>
      </c>
      <c r="E74" s="113" t="inlineStr">
        <is>
          <t>✗</t>
        </is>
      </c>
      <c r="F74" s="113">
        <f>'01_MASTER_DATABASE'!X71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3">
        <f>'01_MASTER_DATABASE'!V72</f>
        <v/>
      </c>
      <c r="D75" s="113">
        <f>'01_MASTER_DATABASE'!W72</f>
        <v/>
      </c>
      <c r="E75" s="113" t="inlineStr">
        <is>
          <t>✗</t>
        </is>
      </c>
      <c r="F75" s="113">
        <f>'01_MASTER_DATABASE'!X72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3">
        <f>'01_MASTER_DATABASE'!V73</f>
        <v/>
      </c>
      <c r="D76" s="113">
        <f>'01_MASTER_DATABASE'!W73</f>
        <v/>
      </c>
      <c r="E76" s="113" t="inlineStr">
        <is>
          <t>✗</t>
        </is>
      </c>
      <c r="F76" s="113">
        <f>'01_MASTER_DATABASE'!X73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3">
        <f>'01_MASTER_DATABASE'!V74</f>
        <v/>
      </c>
      <c r="D77" s="113">
        <f>'01_MASTER_DATABASE'!W74</f>
        <v/>
      </c>
      <c r="E77" s="113" t="inlineStr">
        <is>
          <t>✗</t>
        </is>
      </c>
      <c r="F77" s="113">
        <f>'01_MASTER_DATABASE'!X74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3">
        <f>'01_MASTER_DATABASE'!V75</f>
        <v/>
      </c>
      <c r="D78" s="113">
        <f>'01_MASTER_DATABASE'!W75</f>
        <v/>
      </c>
      <c r="E78" s="113" t="inlineStr">
        <is>
          <t>✗</t>
        </is>
      </c>
      <c r="F78" s="113">
        <f>'01_MASTER_DATABASE'!X75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3">
        <f>'01_MASTER_DATABASE'!V76</f>
        <v/>
      </c>
      <c r="D79" s="113">
        <f>'01_MASTER_DATABASE'!W76</f>
        <v/>
      </c>
      <c r="E79" s="113" t="inlineStr">
        <is>
          <t>✗</t>
        </is>
      </c>
      <c r="F79" s="113">
        <f>'01_MASTER_DATABASE'!X76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3">
        <f>'01_MASTER_DATABASE'!V77</f>
        <v/>
      </c>
      <c r="D80" s="113">
        <f>'01_MASTER_DATABASE'!W77</f>
        <v/>
      </c>
      <c r="E80" s="113" t="inlineStr">
        <is>
          <t>✗</t>
        </is>
      </c>
      <c r="F80" s="113">
        <f>'01_MASTER_DATABASE'!X77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3">
        <f>'01_MASTER_DATABASE'!V78</f>
        <v/>
      </c>
      <c r="D81" s="113">
        <f>'01_MASTER_DATABASE'!W78</f>
        <v/>
      </c>
      <c r="E81" s="113" t="inlineStr">
        <is>
          <t>✗</t>
        </is>
      </c>
      <c r="F81" s="113">
        <f>'01_MASTER_DATABASE'!X78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3">
        <f>'01_MASTER_DATABASE'!V79</f>
        <v/>
      </c>
      <c r="D82" s="113">
        <f>'01_MASTER_DATABASE'!W79</f>
        <v/>
      </c>
      <c r="E82" s="113" t="inlineStr">
        <is>
          <t>✗</t>
        </is>
      </c>
      <c r="F82" s="113">
        <f>'01_MASTER_DATABASE'!X79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3">
        <f>'01_MASTER_DATABASE'!V80</f>
        <v/>
      </c>
      <c r="D83" s="113">
        <f>'01_MASTER_DATABASE'!W80</f>
        <v/>
      </c>
      <c r="E83" s="113" t="inlineStr">
        <is>
          <t>✗</t>
        </is>
      </c>
      <c r="F83" s="113">
        <f>'01_MASTER_DATABASE'!X80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3">
        <f>'01_MASTER_DATABASE'!V81</f>
        <v/>
      </c>
      <c r="D84" s="113">
        <f>'01_MASTER_DATABASE'!W81</f>
        <v/>
      </c>
      <c r="E84" s="113" t="inlineStr">
        <is>
          <t>✗</t>
        </is>
      </c>
      <c r="F84" s="113">
        <f>'01_MASTER_DATABASE'!X81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3">
        <f>'01_MASTER_DATABASE'!V82</f>
        <v/>
      </c>
      <c r="D85" s="113">
        <f>'01_MASTER_DATABASE'!W82</f>
        <v/>
      </c>
      <c r="E85" s="113" t="inlineStr">
        <is>
          <t>✗</t>
        </is>
      </c>
      <c r="F85" s="113">
        <f>'01_MASTER_DATABASE'!X82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3">
        <f>'01_MASTER_DATABASE'!V83</f>
        <v/>
      </c>
      <c r="D86" s="113">
        <f>'01_MASTER_DATABASE'!W83</f>
        <v/>
      </c>
      <c r="E86" s="113" t="inlineStr">
        <is>
          <t>✗</t>
        </is>
      </c>
      <c r="F86" s="113">
        <f>'01_MASTER_DATABASE'!X83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3">
        <f>'01_MASTER_DATABASE'!V84</f>
        <v/>
      </c>
      <c r="D87" s="113">
        <f>'01_MASTER_DATABASE'!W84</f>
        <v/>
      </c>
      <c r="E87" s="113" t="inlineStr">
        <is>
          <t>✗</t>
        </is>
      </c>
      <c r="F87" s="113">
        <f>'01_MASTER_DATABASE'!X84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3">
        <f>'01_MASTER_DATABASE'!V85</f>
        <v/>
      </c>
      <c r="D88" s="113">
        <f>'01_MASTER_DATABASE'!W85</f>
        <v/>
      </c>
      <c r="E88" s="113" t="inlineStr">
        <is>
          <t>✗</t>
        </is>
      </c>
      <c r="F88" s="113">
        <f>'01_MASTER_DATABASE'!X85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3">
        <f>'01_MASTER_DATABASE'!V86</f>
        <v/>
      </c>
      <c r="D89" s="113">
        <f>'01_MASTER_DATABASE'!W86</f>
        <v/>
      </c>
      <c r="E89" s="113" t="inlineStr">
        <is>
          <t>✗</t>
        </is>
      </c>
      <c r="F89" s="113">
        <f>'01_MASTER_DATABASE'!X86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3">
        <f>'01_MASTER_DATABASE'!V87</f>
        <v/>
      </c>
      <c r="D90" s="113">
        <f>'01_MASTER_DATABASE'!W87</f>
        <v/>
      </c>
      <c r="E90" s="113" t="inlineStr">
        <is>
          <t>✗</t>
        </is>
      </c>
      <c r="F90" s="113">
        <f>'01_MASTER_DATABASE'!X87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3">
        <f>'01_MASTER_DATABASE'!V88</f>
        <v/>
      </c>
      <c r="D91" s="113">
        <f>'01_MASTER_DATABASE'!W88</f>
        <v/>
      </c>
      <c r="E91" s="113" t="inlineStr">
        <is>
          <t>✗</t>
        </is>
      </c>
      <c r="F91" s="113">
        <f>'01_MASTER_DATABASE'!X88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3">
        <f>'01_MASTER_DATABASE'!V89</f>
        <v/>
      </c>
      <c r="D92" s="113">
        <f>'01_MASTER_DATABASE'!W89</f>
        <v/>
      </c>
      <c r="E92" s="113" t="inlineStr">
        <is>
          <t>✗</t>
        </is>
      </c>
      <c r="F92" s="113">
        <f>'01_MASTER_DATABASE'!X89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3">
        <f>'01_MASTER_DATABASE'!V90</f>
        <v/>
      </c>
      <c r="D93" s="113">
        <f>'01_MASTER_DATABASE'!W90</f>
        <v/>
      </c>
      <c r="E93" s="113" t="inlineStr">
        <is>
          <t>✗</t>
        </is>
      </c>
      <c r="F93" s="113">
        <f>'01_MASTER_DATABASE'!X90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3">
        <f>'01_MASTER_DATABASE'!V91</f>
        <v/>
      </c>
      <c r="D94" s="113">
        <f>'01_MASTER_DATABASE'!W91</f>
        <v/>
      </c>
      <c r="E94" s="113" t="inlineStr">
        <is>
          <t>✗</t>
        </is>
      </c>
      <c r="F94" s="113">
        <f>'01_MASTER_DATABASE'!X91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3">
        <f>'01_MASTER_DATABASE'!V92</f>
        <v/>
      </c>
      <c r="D95" s="113">
        <f>'01_MASTER_DATABASE'!W92</f>
        <v/>
      </c>
      <c r="E95" s="113" t="inlineStr">
        <is>
          <t>✗</t>
        </is>
      </c>
      <c r="F95" s="113">
        <f>'01_MASTER_DATABASE'!X92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3">
        <f>'01_MASTER_DATABASE'!V93</f>
        <v/>
      </c>
      <c r="D96" s="113">
        <f>'01_MASTER_DATABASE'!W93</f>
        <v/>
      </c>
      <c r="E96" s="113" t="inlineStr">
        <is>
          <t>✗</t>
        </is>
      </c>
      <c r="F96" s="113">
        <f>'01_MASTER_DATABASE'!X93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3">
        <f>'01_MASTER_DATABASE'!V94</f>
        <v/>
      </c>
      <c r="D97" s="113">
        <f>'01_MASTER_DATABASE'!W94</f>
        <v/>
      </c>
      <c r="E97" s="113" t="inlineStr">
        <is>
          <t>✗</t>
        </is>
      </c>
      <c r="F97" s="113">
        <f>'01_MASTER_DATABASE'!X94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3">
        <f>'01_MASTER_DATABASE'!V95</f>
        <v/>
      </c>
      <c r="D98" s="113">
        <f>'01_MASTER_DATABASE'!W95</f>
        <v/>
      </c>
      <c r="E98" s="113" t="inlineStr">
        <is>
          <t>✗</t>
        </is>
      </c>
      <c r="F98" s="113">
        <f>'01_MASTER_DATABASE'!X95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3">
        <f>'01_MASTER_DATABASE'!V96</f>
        <v/>
      </c>
      <c r="D99" s="113">
        <f>'01_MASTER_DATABASE'!W96</f>
        <v/>
      </c>
      <c r="E99" s="113" t="inlineStr">
        <is>
          <t>✗</t>
        </is>
      </c>
      <c r="F99" s="113">
        <f>'01_MASTER_DATABASE'!X96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3">
        <f>'01_MASTER_DATABASE'!V97</f>
        <v/>
      </c>
      <c r="D100" s="113">
        <f>'01_MASTER_DATABASE'!W97</f>
        <v/>
      </c>
      <c r="E100" s="113" t="inlineStr">
        <is>
          <t>✗</t>
        </is>
      </c>
      <c r="F100" s="113">
        <f>'01_MASTER_DATABASE'!X97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3">
        <f>'01_MASTER_DATABASE'!V98</f>
        <v/>
      </c>
      <c r="D101" s="113">
        <f>'01_MASTER_DATABASE'!W98</f>
        <v/>
      </c>
      <c r="E101" s="113" t="inlineStr">
        <is>
          <t>✗</t>
        </is>
      </c>
      <c r="F101" s="113">
        <f>'01_MASTER_DATABASE'!X98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3">
        <f>'01_MASTER_DATABASE'!V99</f>
        <v/>
      </c>
      <c r="D102" s="113">
        <f>'01_MASTER_DATABASE'!W99</f>
        <v/>
      </c>
      <c r="E102" s="113" t="inlineStr">
        <is>
          <t>✗</t>
        </is>
      </c>
      <c r="F102" s="113">
        <f>'01_MASTER_DATABASE'!X99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3">
        <f>'01_MASTER_DATABASE'!V100</f>
        <v/>
      </c>
      <c r="D103" s="113">
        <f>'01_MASTER_DATABASE'!W100</f>
        <v/>
      </c>
      <c r="E103" s="113" t="inlineStr">
        <is>
          <t>✗</t>
        </is>
      </c>
      <c r="F103" s="113">
        <f>'01_MASTER_DATABASE'!X100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3">
        <f>'01_MASTER_DATABASE'!V101</f>
        <v/>
      </c>
      <c r="D104" s="113">
        <f>'01_MASTER_DATABASE'!W101</f>
        <v/>
      </c>
      <c r="E104" s="113" t="inlineStr">
        <is>
          <t>✗</t>
        </is>
      </c>
      <c r="F104" s="113">
        <f>'01_MASTER_DATABASE'!X101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3">
        <f>'01_MASTER_DATABASE'!V102</f>
        <v/>
      </c>
      <c r="D105" s="113">
        <f>'01_MASTER_DATABASE'!W102</f>
        <v/>
      </c>
      <c r="E105" s="113" t="inlineStr">
        <is>
          <t>✗</t>
        </is>
      </c>
      <c r="F105" s="113">
        <f>'01_MASTER_DATABASE'!X102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3">
        <f>'01_MASTER_DATABASE'!V103</f>
        <v/>
      </c>
      <c r="D106" s="113">
        <f>'01_MASTER_DATABASE'!W103</f>
        <v/>
      </c>
      <c r="E106" s="113" t="inlineStr">
        <is>
          <t>✗</t>
        </is>
      </c>
      <c r="F106" s="113">
        <f>'01_MASTER_DATABASE'!X103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3">
        <f>'01_MASTER_DATABASE'!V104</f>
        <v/>
      </c>
      <c r="D107" s="113">
        <f>'01_MASTER_DATABASE'!W104</f>
        <v/>
      </c>
      <c r="E107" s="113" t="inlineStr">
        <is>
          <t>✗</t>
        </is>
      </c>
      <c r="F107" s="113">
        <f>'01_MASTER_DATABASE'!X104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3">
        <f>'01_MASTER_DATABASE'!V105</f>
        <v/>
      </c>
      <c r="D108" s="113">
        <f>'01_MASTER_DATABASE'!W105</f>
        <v/>
      </c>
      <c r="E108" s="113" t="inlineStr">
        <is>
          <t>✗</t>
        </is>
      </c>
      <c r="F108" s="113">
        <f>'01_MASTER_DATABASE'!X105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3">
        <f>'01_MASTER_DATABASE'!V106</f>
        <v/>
      </c>
      <c r="D109" s="113">
        <f>'01_MASTER_DATABASE'!W106</f>
        <v/>
      </c>
      <c r="E109" s="113" t="inlineStr">
        <is>
          <t>✗</t>
        </is>
      </c>
      <c r="F109" s="113">
        <f>'01_MASTER_DATABASE'!X106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3">
        <f>'01_MASTER_DATABASE'!V107</f>
        <v/>
      </c>
      <c r="D110" s="113">
        <f>'01_MASTER_DATABASE'!W107</f>
        <v/>
      </c>
      <c r="E110" s="113" t="inlineStr">
        <is>
          <t>✗</t>
        </is>
      </c>
      <c r="F110" s="113">
        <f>'01_MASTER_DATABASE'!X107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3">
        <f>'01_MASTER_DATABASE'!V108</f>
        <v/>
      </c>
      <c r="D111" s="113">
        <f>'01_MASTER_DATABASE'!W108</f>
        <v/>
      </c>
      <c r="E111" s="113" t="inlineStr">
        <is>
          <t>✗</t>
        </is>
      </c>
      <c r="F111" s="113">
        <f>'01_MASTER_DATABASE'!X108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3">
        <f>'01_MASTER_DATABASE'!V109</f>
        <v/>
      </c>
      <c r="D112" s="113">
        <f>'01_MASTER_DATABASE'!W109</f>
        <v/>
      </c>
      <c r="E112" s="113" t="inlineStr">
        <is>
          <t>✗</t>
        </is>
      </c>
      <c r="F112" s="113">
        <f>'01_MASTER_DATABASE'!X109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3">
        <f>'01_MASTER_DATABASE'!V110</f>
        <v/>
      </c>
      <c r="D113" s="113">
        <f>'01_MASTER_DATABASE'!W110</f>
        <v/>
      </c>
      <c r="E113" s="113" t="inlineStr">
        <is>
          <t>✗</t>
        </is>
      </c>
      <c r="F113" s="113">
        <f>'01_MASTER_DATABASE'!X110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3">
        <f>'01_MASTER_DATABASE'!V111</f>
        <v/>
      </c>
      <c r="D114" s="113">
        <f>'01_MASTER_DATABASE'!W111</f>
        <v/>
      </c>
      <c r="E114" s="113" t="inlineStr">
        <is>
          <t>✗</t>
        </is>
      </c>
      <c r="F114" s="113">
        <f>'01_MASTER_DATABASE'!X111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3">
        <f>'01_MASTER_DATABASE'!V112</f>
        <v/>
      </c>
      <c r="D115" s="113">
        <f>'01_MASTER_DATABASE'!W112</f>
        <v/>
      </c>
      <c r="E115" s="113" t="inlineStr">
        <is>
          <t>✗</t>
        </is>
      </c>
      <c r="F115" s="113">
        <f>'01_MASTER_DATABASE'!X112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3">
        <f>'01_MASTER_DATABASE'!V113</f>
        <v/>
      </c>
      <c r="D116" s="113">
        <f>'01_MASTER_DATABASE'!W113</f>
        <v/>
      </c>
      <c r="E116" s="113" t="inlineStr">
        <is>
          <t>✗</t>
        </is>
      </c>
      <c r="F116" s="113">
        <f>'01_MASTER_DATABASE'!X113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3">
        <f>'01_MASTER_DATABASE'!V114</f>
        <v/>
      </c>
      <c r="D117" s="113">
        <f>'01_MASTER_DATABASE'!W114</f>
        <v/>
      </c>
      <c r="E117" s="113" t="inlineStr">
        <is>
          <t>✗</t>
        </is>
      </c>
      <c r="F117" s="113">
        <f>'01_MASTER_DATABASE'!X114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3">
        <f>'01_MASTER_DATABASE'!V115</f>
        <v/>
      </c>
      <c r="D118" s="113">
        <f>'01_MASTER_DATABASE'!W115</f>
        <v/>
      </c>
      <c r="E118" s="113" t="inlineStr">
        <is>
          <t>✗</t>
        </is>
      </c>
      <c r="F118" s="113">
        <f>'01_MASTER_DATABASE'!X115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3">
        <f>'01_MASTER_DATABASE'!V116</f>
        <v/>
      </c>
      <c r="D119" s="113">
        <f>'01_MASTER_DATABASE'!W116</f>
        <v/>
      </c>
      <c r="E119" s="113" t="inlineStr">
        <is>
          <t>✗</t>
        </is>
      </c>
      <c r="F119" s="113">
        <f>'01_MASTER_DATABASE'!X116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3">
        <f>'01_MASTER_DATABASE'!V117</f>
        <v/>
      </c>
      <c r="D120" s="113">
        <f>'01_MASTER_DATABASE'!W117</f>
        <v/>
      </c>
      <c r="E120" s="113" t="inlineStr">
        <is>
          <t>✗</t>
        </is>
      </c>
      <c r="F120" s="113">
        <f>'01_MASTER_DATABASE'!X117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3">
        <f>'01_MASTER_DATABASE'!V118</f>
        <v/>
      </c>
      <c r="D121" s="113">
        <f>'01_MASTER_DATABASE'!W118</f>
        <v/>
      </c>
      <c r="E121" s="113" t="inlineStr">
        <is>
          <t>✗</t>
        </is>
      </c>
      <c r="F121" s="113">
        <f>'01_MASTER_DATABASE'!X118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3">
        <f>'01_MASTER_DATABASE'!V119</f>
        <v/>
      </c>
      <c r="D122" s="113">
        <f>'01_MASTER_DATABASE'!W119</f>
        <v/>
      </c>
      <c r="E122" s="113" t="inlineStr">
        <is>
          <t>✗</t>
        </is>
      </c>
      <c r="F122" s="113">
        <f>'01_MASTER_DATABASE'!X119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3">
        <f>'01_MASTER_DATABASE'!V120</f>
        <v/>
      </c>
      <c r="D123" s="113">
        <f>'01_MASTER_DATABASE'!W120</f>
        <v/>
      </c>
      <c r="E123" s="113" t="inlineStr">
        <is>
          <t>✗</t>
        </is>
      </c>
      <c r="F123" s="113">
        <f>'01_MASTER_DATABASE'!X120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3">
        <f>'01_MASTER_DATABASE'!V121</f>
        <v/>
      </c>
      <c r="D124" s="113">
        <f>'01_MASTER_DATABASE'!W121</f>
        <v/>
      </c>
      <c r="E124" s="113" t="inlineStr">
        <is>
          <t>✗</t>
        </is>
      </c>
      <c r="F124" s="113">
        <f>'01_MASTER_DATABASE'!X121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3">
        <f>'01_MASTER_DATABASE'!V122</f>
        <v/>
      </c>
      <c r="D125" s="113">
        <f>'01_MASTER_DATABASE'!W122</f>
        <v/>
      </c>
      <c r="E125" s="113" t="inlineStr">
        <is>
          <t>✗</t>
        </is>
      </c>
      <c r="F125" s="113">
        <f>'01_MASTER_DATABASE'!X122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3">
        <f>'01_MASTER_DATABASE'!V123</f>
        <v/>
      </c>
      <c r="D126" s="113">
        <f>'01_MASTER_DATABASE'!W123</f>
        <v/>
      </c>
      <c r="E126" s="113" t="inlineStr">
        <is>
          <t>✗</t>
        </is>
      </c>
      <c r="F126" s="113">
        <f>'01_MASTER_DATABASE'!X123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3">
        <f>'01_MASTER_DATABASE'!V124</f>
        <v/>
      </c>
      <c r="D127" s="113">
        <f>'01_MASTER_DATABASE'!W124</f>
        <v/>
      </c>
      <c r="E127" s="113" t="inlineStr">
        <is>
          <t>✗</t>
        </is>
      </c>
      <c r="F127" s="113">
        <f>'01_MASTER_DATABASE'!X124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3">
        <f>'01_MASTER_DATABASE'!V125</f>
        <v/>
      </c>
      <c r="D128" s="113">
        <f>'01_MASTER_DATABASE'!W125</f>
        <v/>
      </c>
      <c r="E128" s="113" t="inlineStr">
        <is>
          <t>✗</t>
        </is>
      </c>
      <c r="F128" s="113">
        <f>'01_MASTER_DATABASE'!X125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3">
        <f>'01_MASTER_DATABASE'!V126</f>
        <v/>
      </c>
      <c r="D129" s="113">
        <f>'01_MASTER_DATABASE'!W126</f>
        <v/>
      </c>
      <c r="E129" s="113" t="inlineStr">
        <is>
          <t>✗</t>
        </is>
      </c>
      <c r="F129" s="113">
        <f>'01_MASTER_DATABASE'!X126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3">
        <f>'01_MASTER_DATABASE'!V127</f>
        <v/>
      </c>
      <c r="D130" s="113">
        <f>'01_MASTER_DATABASE'!W127</f>
        <v/>
      </c>
      <c r="E130" s="113" t="inlineStr">
        <is>
          <t>✗</t>
        </is>
      </c>
      <c r="F130" s="113">
        <f>'01_MASTER_DATABASE'!X127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3">
        <f>'01_MASTER_DATABASE'!V128</f>
        <v/>
      </c>
      <c r="D131" s="113">
        <f>'01_MASTER_DATABASE'!W128</f>
        <v/>
      </c>
      <c r="E131" s="113" t="inlineStr">
        <is>
          <t>✗</t>
        </is>
      </c>
      <c r="F131" s="113">
        <f>'01_MASTER_DATABASE'!X128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3">
        <f>'01_MASTER_DATABASE'!V129</f>
        <v/>
      </c>
      <c r="D132" s="113">
        <f>'01_MASTER_DATABASE'!W129</f>
        <v/>
      </c>
      <c r="E132" s="113" t="inlineStr">
        <is>
          <t>✗</t>
        </is>
      </c>
      <c r="F132" s="113">
        <f>'01_MASTER_DATABASE'!X129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3">
        <f>'01_MASTER_DATABASE'!V130</f>
        <v/>
      </c>
      <c r="D133" s="113">
        <f>'01_MASTER_DATABASE'!W130</f>
        <v/>
      </c>
      <c r="E133" s="113" t="inlineStr">
        <is>
          <t>✗</t>
        </is>
      </c>
      <c r="F133" s="113">
        <f>'01_MASTER_DATABASE'!X130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3">
        <f>'01_MASTER_DATABASE'!V131</f>
        <v/>
      </c>
      <c r="D134" s="113">
        <f>'01_MASTER_DATABASE'!W131</f>
        <v/>
      </c>
      <c r="E134" s="113" t="inlineStr">
        <is>
          <t>✗</t>
        </is>
      </c>
      <c r="F134" s="113">
        <f>'01_MASTER_DATABASE'!X131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3">
        <f>'01_MASTER_DATABASE'!V132</f>
        <v/>
      </c>
      <c r="D135" s="113">
        <f>'01_MASTER_DATABASE'!W132</f>
        <v/>
      </c>
      <c r="E135" s="113" t="inlineStr">
        <is>
          <t>✗</t>
        </is>
      </c>
      <c r="F135" s="113">
        <f>'01_MASTER_DATABASE'!X132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3">
        <f>'01_MASTER_DATABASE'!V133</f>
        <v/>
      </c>
      <c r="D136" s="113">
        <f>'01_MASTER_DATABASE'!W133</f>
        <v/>
      </c>
      <c r="E136" s="113" t="inlineStr">
        <is>
          <t>✗</t>
        </is>
      </c>
      <c r="F136" s="113">
        <f>'01_MASTER_DATABASE'!X133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3">
        <f>'01_MASTER_DATABASE'!V134</f>
        <v/>
      </c>
      <c r="D137" s="113">
        <f>'01_MASTER_DATABASE'!W134</f>
        <v/>
      </c>
      <c r="E137" s="113" t="inlineStr">
        <is>
          <t>✗</t>
        </is>
      </c>
      <c r="F137" s="113">
        <f>'01_MASTER_DATABASE'!X134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3">
        <f>'01_MASTER_DATABASE'!V135</f>
        <v/>
      </c>
      <c r="D138" s="113">
        <f>'01_MASTER_DATABASE'!W135</f>
        <v/>
      </c>
      <c r="E138" s="113" t="inlineStr">
        <is>
          <t>✗</t>
        </is>
      </c>
      <c r="F138" s="113">
        <f>'01_MASTER_DATABASE'!X135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3">
        <f>'01_MASTER_DATABASE'!V136</f>
        <v/>
      </c>
      <c r="D139" s="113">
        <f>'01_MASTER_DATABASE'!W136</f>
        <v/>
      </c>
      <c r="E139" s="113" t="inlineStr">
        <is>
          <t>✗</t>
        </is>
      </c>
      <c r="F139" s="113">
        <f>'01_MASTER_DATABASE'!X136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3">
        <f>'01_MASTER_DATABASE'!V137</f>
        <v/>
      </c>
      <c r="D140" s="113">
        <f>'01_MASTER_DATABASE'!W137</f>
        <v/>
      </c>
      <c r="E140" s="113" t="inlineStr">
        <is>
          <t>✗</t>
        </is>
      </c>
      <c r="F140" s="113">
        <f>'01_MASTER_DATABASE'!X137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3">
        <f>'01_MASTER_DATABASE'!V138</f>
        <v/>
      </c>
      <c r="D141" s="113">
        <f>'01_MASTER_DATABASE'!W138</f>
        <v/>
      </c>
      <c r="E141" s="113" t="inlineStr">
        <is>
          <t>✗</t>
        </is>
      </c>
      <c r="F141" s="113">
        <f>'01_MASTER_DATABASE'!X138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3">
        <f>'01_MASTER_DATABASE'!V139</f>
        <v/>
      </c>
      <c r="D142" s="113">
        <f>'01_MASTER_DATABASE'!W139</f>
        <v/>
      </c>
      <c r="E142" s="113" t="inlineStr">
        <is>
          <t>✗</t>
        </is>
      </c>
      <c r="F142" s="113">
        <f>'01_MASTER_DATABASE'!X139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3">
        <f>'01_MASTER_DATABASE'!V140</f>
        <v/>
      </c>
      <c r="D143" s="113">
        <f>'01_MASTER_DATABASE'!W140</f>
        <v/>
      </c>
      <c r="E143" s="113" t="inlineStr">
        <is>
          <t>✗</t>
        </is>
      </c>
      <c r="F143" s="113">
        <f>'01_MASTER_DATABASE'!X140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3">
        <f>'01_MASTER_DATABASE'!V141</f>
        <v/>
      </c>
      <c r="D144" s="113">
        <f>'01_MASTER_DATABASE'!W141</f>
        <v/>
      </c>
      <c r="E144" s="113" t="inlineStr">
        <is>
          <t>✗</t>
        </is>
      </c>
      <c r="F144" s="113">
        <f>'01_MASTER_DATABASE'!X141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3">
        <f>'01_MASTER_DATABASE'!V142</f>
        <v/>
      </c>
      <c r="D145" s="113">
        <f>'01_MASTER_DATABASE'!W142</f>
        <v/>
      </c>
      <c r="E145" s="113" t="inlineStr">
        <is>
          <t>✗</t>
        </is>
      </c>
      <c r="F145" s="113">
        <f>'01_MASTER_DATABASE'!X142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3">
        <f>'01_MASTER_DATABASE'!V143</f>
        <v/>
      </c>
      <c r="D146" s="113">
        <f>'01_MASTER_DATABASE'!W143</f>
        <v/>
      </c>
      <c r="E146" s="113" t="inlineStr">
        <is>
          <t>✗</t>
        </is>
      </c>
      <c r="F146" s="113">
        <f>'01_MASTER_DATABASE'!X143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3">
        <f>'01_MASTER_DATABASE'!V144</f>
        <v/>
      </c>
      <c r="D147" s="113">
        <f>'01_MASTER_DATABASE'!W144</f>
        <v/>
      </c>
      <c r="E147" s="113" t="inlineStr">
        <is>
          <t>✗</t>
        </is>
      </c>
      <c r="F147" s="113">
        <f>'01_MASTER_DATABASE'!X144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3">
        <f>'01_MASTER_DATABASE'!V145</f>
        <v/>
      </c>
      <c r="D148" s="113">
        <f>'01_MASTER_DATABASE'!W145</f>
        <v/>
      </c>
      <c r="E148" s="113" t="inlineStr">
        <is>
          <t>✗</t>
        </is>
      </c>
      <c r="F148" s="113">
        <f>'01_MASTER_DATABASE'!X145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3">
        <f>'01_MASTER_DATABASE'!V146</f>
        <v/>
      </c>
      <c r="D149" s="113">
        <f>'01_MASTER_DATABASE'!W146</f>
        <v/>
      </c>
      <c r="E149" s="113" t="inlineStr">
        <is>
          <t>✗</t>
        </is>
      </c>
      <c r="F149" s="113">
        <f>'01_MASTER_DATABASE'!X146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3">
        <f>'01_MASTER_DATABASE'!V147</f>
        <v/>
      </c>
      <c r="D150" s="113">
        <f>'01_MASTER_DATABASE'!W147</f>
        <v/>
      </c>
      <c r="E150" s="113" t="inlineStr">
        <is>
          <t>✗</t>
        </is>
      </c>
      <c r="F150" s="113">
        <f>'01_MASTER_DATABASE'!X147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3">
        <f>'01_MASTER_DATABASE'!V148</f>
        <v/>
      </c>
      <c r="D151" s="113">
        <f>'01_MASTER_DATABASE'!W148</f>
        <v/>
      </c>
      <c r="E151" s="113" t="inlineStr">
        <is>
          <t>✗</t>
        </is>
      </c>
      <c r="F151" s="113">
        <f>'01_MASTER_DATABASE'!X148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3">
        <f>'01_MASTER_DATABASE'!V149</f>
        <v/>
      </c>
      <c r="D152" s="113">
        <f>'01_MASTER_DATABASE'!W149</f>
        <v/>
      </c>
      <c r="E152" s="113" t="inlineStr">
        <is>
          <t>✗</t>
        </is>
      </c>
      <c r="F152" s="113">
        <f>'01_MASTER_DATABASE'!X149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3">
        <f>'01_MASTER_DATABASE'!V150</f>
        <v/>
      </c>
      <c r="D153" s="113">
        <f>'01_MASTER_DATABASE'!W150</f>
        <v/>
      </c>
      <c r="E153" s="113" t="inlineStr">
        <is>
          <t>✗</t>
        </is>
      </c>
      <c r="F153" s="113">
        <f>'01_MASTER_DATABASE'!X150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3">
        <f>'01_MASTER_DATABASE'!V151</f>
        <v/>
      </c>
      <c r="D154" s="113">
        <f>'01_MASTER_DATABASE'!W151</f>
        <v/>
      </c>
      <c r="E154" s="113" t="inlineStr">
        <is>
          <t>✗</t>
        </is>
      </c>
      <c r="F154" s="113">
        <f>'01_MASTER_DATABASE'!X151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3">
        <f>'01_MASTER_DATABASE'!V152</f>
        <v/>
      </c>
      <c r="D155" s="113">
        <f>'01_MASTER_DATABASE'!W152</f>
        <v/>
      </c>
      <c r="E155" s="113" t="inlineStr">
        <is>
          <t>✗</t>
        </is>
      </c>
      <c r="F155" s="113">
        <f>'01_MASTER_DATABASE'!X152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3">
        <f>'01_MASTER_DATABASE'!V153</f>
        <v/>
      </c>
      <c r="D156" s="113">
        <f>'01_MASTER_DATABASE'!W153</f>
        <v/>
      </c>
      <c r="E156" s="113" t="inlineStr">
        <is>
          <t>✗</t>
        </is>
      </c>
      <c r="F156" s="113">
        <f>'01_MASTER_DATABASE'!X153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3">
        <f>'01_MASTER_DATABASE'!V154</f>
        <v/>
      </c>
      <c r="D157" s="113">
        <f>'01_MASTER_DATABASE'!W154</f>
        <v/>
      </c>
      <c r="E157" s="113" t="inlineStr">
        <is>
          <t>✗</t>
        </is>
      </c>
      <c r="F157" s="113">
        <f>'01_MASTER_DATABASE'!X154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3">
        <f>'01_MASTER_DATABASE'!V155</f>
        <v/>
      </c>
      <c r="D158" s="113">
        <f>'01_MASTER_DATABASE'!W155</f>
        <v/>
      </c>
      <c r="E158" s="113" t="inlineStr">
        <is>
          <t>✗</t>
        </is>
      </c>
      <c r="F158" s="113">
        <f>'01_MASTER_DATABASE'!X155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3">
        <f>'01_MASTER_DATABASE'!V156</f>
        <v/>
      </c>
      <c r="D159" s="113">
        <f>'01_MASTER_DATABASE'!W156</f>
        <v/>
      </c>
      <c r="E159" s="113" t="inlineStr">
        <is>
          <t>✗</t>
        </is>
      </c>
      <c r="F159" s="113">
        <f>'01_MASTER_DATABASE'!X156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3">
        <f>'01_MASTER_DATABASE'!V157</f>
        <v/>
      </c>
      <c r="D160" s="113">
        <f>'01_MASTER_DATABASE'!W157</f>
        <v/>
      </c>
      <c r="E160" s="113" t="inlineStr">
        <is>
          <t>✗</t>
        </is>
      </c>
      <c r="F160" s="113">
        <f>'01_MASTER_DATABASE'!X157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3">
        <f>'01_MASTER_DATABASE'!V158</f>
        <v/>
      </c>
      <c r="D161" s="113">
        <f>'01_MASTER_DATABASE'!W158</f>
        <v/>
      </c>
      <c r="E161" s="113" t="inlineStr">
        <is>
          <t>✗</t>
        </is>
      </c>
      <c r="F161" s="113">
        <f>'01_MASTER_DATABASE'!X158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3">
        <f>'01_MASTER_DATABASE'!V159</f>
        <v/>
      </c>
      <c r="D162" s="113">
        <f>'01_MASTER_DATABASE'!W159</f>
        <v/>
      </c>
      <c r="E162" s="113" t="inlineStr">
        <is>
          <t>✗</t>
        </is>
      </c>
      <c r="F162" s="113">
        <f>'01_MASTER_DATABASE'!X159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3">
        <f>'01_MASTER_DATABASE'!V160</f>
        <v/>
      </c>
      <c r="D163" s="113">
        <f>'01_MASTER_DATABASE'!W160</f>
        <v/>
      </c>
      <c r="E163" s="113" t="inlineStr">
        <is>
          <t>✗</t>
        </is>
      </c>
      <c r="F163" s="113">
        <f>'01_MASTER_DATABASE'!X160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3">
        <f>'01_MASTER_DATABASE'!V161</f>
        <v/>
      </c>
      <c r="D164" s="113">
        <f>'01_MASTER_DATABASE'!W161</f>
        <v/>
      </c>
      <c r="E164" s="113" t="inlineStr">
        <is>
          <t>✗</t>
        </is>
      </c>
      <c r="F164" s="113">
        <f>'01_MASTER_DATABASE'!X161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3">
        <f>'01_MASTER_DATABASE'!V162</f>
        <v/>
      </c>
      <c r="D165" s="113">
        <f>'01_MASTER_DATABASE'!W162</f>
        <v/>
      </c>
      <c r="E165" s="113" t="inlineStr">
        <is>
          <t>✗</t>
        </is>
      </c>
      <c r="F165" s="113">
        <f>'01_MASTER_DATABASE'!X162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3">
        <f>'01_MASTER_DATABASE'!V163</f>
        <v/>
      </c>
      <c r="D166" s="113">
        <f>'01_MASTER_DATABASE'!W163</f>
        <v/>
      </c>
      <c r="E166" s="113" t="inlineStr">
        <is>
          <t>✗</t>
        </is>
      </c>
      <c r="F166" s="113">
        <f>'01_MASTER_DATABASE'!X163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3">
        <f>'01_MASTER_DATABASE'!V164</f>
        <v/>
      </c>
      <c r="D167" s="113">
        <f>'01_MASTER_DATABASE'!W164</f>
        <v/>
      </c>
      <c r="E167" s="113" t="inlineStr">
        <is>
          <t>✗</t>
        </is>
      </c>
      <c r="F167" s="113">
        <f>'01_MASTER_DATABASE'!X164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3">
        <f>'01_MASTER_DATABASE'!V165</f>
        <v/>
      </c>
      <c r="D168" s="113">
        <f>'01_MASTER_DATABASE'!W165</f>
        <v/>
      </c>
      <c r="E168" s="113" t="inlineStr">
        <is>
          <t>✗</t>
        </is>
      </c>
      <c r="F168" s="113">
        <f>'01_MASTER_DATABASE'!X165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3">
        <f>'01_MASTER_DATABASE'!V166</f>
        <v/>
      </c>
      <c r="D169" s="113">
        <f>'01_MASTER_DATABASE'!W166</f>
        <v/>
      </c>
      <c r="E169" s="113" t="inlineStr">
        <is>
          <t>✗</t>
        </is>
      </c>
      <c r="F169" s="113">
        <f>'01_MASTER_DATABASE'!X166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3">
        <f>'01_MASTER_DATABASE'!V167</f>
        <v/>
      </c>
      <c r="D170" s="113">
        <f>'01_MASTER_DATABASE'!W167</f>
        <v/>
      </c>
      <c r="E170" s="113" t="inlineStr">
        <is>
          <t>✗</t>
        </is>
      </c>
      <c r="F170" s="113">
        <f>'01_MASTER_DATABASE'!X167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3">
        <f>'01_MASTER_DATABASE'!V168</f>
        <v/>
      </c>
      <c r="D171" s="113">
        <f>'01_MASTER_DATABASE'!W168</f>
        <v/>
      </c>
      <c r="E171" s="113" t="inlineStr">
        <is>
          <t>✗</t>
        </is>
      </c>
      <c r="F171" s="113">
        <f>'01_MASTER_DATABASE'!X168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3">
        <f>'01_MASTER_DATABASE'!V169</f>
        <v/>
      </c>
      <c r="D172" s="113">
        <f>'01_MASTER_DATABASE'!W169</f>
        <v/>
      </c>
      <c r="E172" s="113" t="inlineStr">
        <is>
          <t>✗</t>
        </is>
      </c>
      <c r="F172" s="113">
        <f>'01_MASTER_DATABASE'!X169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3">
        <f>'01_MASTER_DATABASE'!V170</f>
        <v/>
      </c>
      <c r="D173" s="113">
        <f>'01_MASTER_DATABASE'!W170</f>
        <v/>
      </c>
      <c r="E173" s="113" t="inlineStr">
        <is>
          <t>✗</t>
        </is>
      </c>
      <c r="F173" s="113">
        <f>'01_MASTER_DATABASE'!X170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3">
        <f>'01_MASTER_DATABASE'!V171</f>
        <v/>
      </c>
      <c r="D174" s="113">
        <f>'01_MASTER_DATABASE'!W171</f>
        <v/>
      </c>
      <c r="E174" s="113" t="inlineStr">
        <is>
          <t>✗</t>
        </is>
      </c>
      <c r="F174" s="113">
        <f>'01_MASTER_DATABASE'!X171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3">
        <f>'01_MASTER_DATABASE'!V172</f>
        <v/>
      </c>
      <c r="D175" s="113">
        <f>'01_MASTER_DATABASE'!W172</f>
        <v/>
      </c>
      <c r="E175" s="113" t="inlineStr">
        <is>
          <t>✗</t>
        </is>
      </c>
      <c r="F175" s="113">
        <f>'01_MASTER_DATABASE'!X172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3">
        <f>'01_MASTER_DATABASE'!V173</f>
        <v/>
      </c>
      <c r="D176" s="113">
        <f>'01_MASTER_DATABASE'!W173</f>
        <v/>
      </c>
      <c r="E176" s="113" t="inlineStr">
        <is>
          <t>✗</t>
        </is>
      </c>
      <c r="F176" s="113">
        <f>'01_MASTER_DATABASE'!X173</f>
        <v/>
      </c>
    </row>
  </sheetData>
  <mergeCells count="1">
    <mergeCell ref="A1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50" customWidth="1" min="4" max="4"/>
  </cols>
  <sheetData>
    <row r="1" ht="20" customHeight="1">
      <c r="A1" s="109" t="inlineStr">
        <is>
          <t>THƯ VIỆN HÌNH ẢNH MINH HỌA MẶT CẮT HỆ NHÔM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Vị Trí Lưu Trữ Ảnh Thumbnail</t>
        </is>
      </c>
      <c r="D4" s="110" t="inlineStr">
        <is>
          <t>Đường Dẫn File Thực Tế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 t="inlineStr">
        <is>
          <t>Thư mục 12_Hình ảnh &amp; Video</t>
        </is>
      </c>
      <c r="D5" s="114" t="inlineStr">
        <is>
          <t>BaoCao_ThuVien_CuaNhom/THƯ VIỆN HỆ NHÔM SAO VÀNG/12_Hình ảnh &amp; Video/Section_1.png</t>
        </is>
      </c>
    </row>
    <row r="6" ht="25" customHeight="1">
      <c r="A6" s="113">
        <f>'01_MASTER_DATABASE'!C3</f>
        <v/>
      </c>
      <c r="B6" s="114">
        <f>'01_MASTER_DATABASE'!D3</f>
        <v/>
      </c>
      <c r="C6" s="113" t="inlineStr">
        <is>
          <t>Thư mục 12_Hình ảnh &amp; Video</t>
        </is>
      </c>
      <c r="D6" s="114" t="inlineStr">
        <is>
          <t>BaoCao_ThuVien_CuaNhom/THƯ VIỆN HỆ NHÔM SAO VÀNG/12_Hình ảnh &amp; Video/Section_2.png</t>
        </is>
      </c>
    </row>
    <row r="7" ht="25" customHeight="1">
      <c r="A7" s="113">
        <f>'01_MASTER_DATABASE'!C4</f>
        <v/>
      </c>
      <c r="B7" s="114">
        <f>'01_MASTER_DATABASE'!D4</f>
        <v/>
      </c>
      <c r="C7" s="113" t="inlineStr">
        <is>
          <t>Thư mục 12_Hình ảnh &amp; Video</t>
        </is>
      </c>
      <c r="D7" s="114" t="inlineStr">
        <is>
          <t>BaoCao_ThuVien_CuaNhom/THƯ VIỆN HỆ NHÔM SAO VÀNG/12_Hình ảnh &amp; Video/Section_3.png</t>
        </is>
      </c>
    </row>
    <row r="8" ht="25" customHeight="1">
      <c r="A8" s="113">
        <f>'01_MASTER_DATABASE'!C5</f>
        <v/>
      </c>
      <c r="B8" s="114">
        <f>'01_MASTER_DATABASE'!D5</f>
        <v/>
      </c>
      <c r="C8" s="113" t="inlineStr">
        <is>
          <t>Thư mục 12_Hình ảnh &amp; Video</t>
        </is>
      </c>
      <c r="D8" s="114" t="inlineStr">
        <is>
          <t>BaoCao_ThuVien_CuaNhom/THƯ VIỆN HỆ NHÔM SAO VÀNG/12_Hình ảnh &amp; Video/Section_4.png</t>
        </is>
      </c>
    </row>
    <row r="9" ht="25" customHeight="1">
      <c r="A9" s="113">
        <f>'01_MASTER_DATABASE'!C6</f>
        <v/>
      </c>
      <c r="B9" s="114">
        <f>'01_MASTER_DATABASE'!D6</f>
        <v/>
      </c>
      <c r="C9" s="113" t="inlineStr">
        <is>
          <t>Thư mục 12_Hình ảnh &amp; Video</t>
        </is>
      </c>
      <c r="D9" s="114" t="inlineStr">
        <is>
          <t>BaoCao_ThuVien_CuaNhom/THƯ VIỆN HỆ NHÔM SAO VÀNG/12_Hình ảnh &amp; Video/Section_5.png</t>
        </is>
      </c>
    </row>
    <row r="10" ht="25" customHeight="1">
      <c r="A10" s="113">
        <f>'01_MASTER_DATABASE'!C7</f>
        <v/>
      </c>
      <c r="B10" s="114">
        <f>'01_MASTER_DATABASE'!D7</f>
        <v/>
      </c>
      <c r="C10" s="113" t="inlineStr">
        <is>
          <t>Thư mục 12_Hình ảnh &amp; Video</t>
        </is>
      </c>
      <c r="D10" s="114" t="inlineStr">
        <is>
          <t>BaoCao_ThuVien_CuaNhom/THƯ VIỆN HỆ NHÔM SAO VÀNG/12_Hình ảnh &amp; Video/Section_6.png</t>
        </is>
      </c>
    </row>
    <row r="11" ht="25" customHeight="1">
      <c r="A11" s="113">
        <f>'01_MASTER_DATABASE'!C8</f>
        <v/>
      </c>
      <c r="B11" s="114">
        <f>'01_MASTER_DATABASE'!D8</f>
        <v/>
      </c>
      <c r="C11" s="113" t="inlineStr">
        <is>
          <t>Thư mục 12_Hình ảnh &amp; Video</t>
        </is>
      </c>
      <c r="D11" s="114" t="inlineStr">
        <is>
          <t>BaoCao_ThuVien_CuaNhom/THƯ VIỆN HỆ NHÔM SAO VÀNG/12_Hình ảnh &amp; Video/Section_7.png</t>
        </is>
      </c>
    </row>
    <row r="12" ht="25" customHeight="1">
      <c r="A12" s="113">
        <f>'01_MASTER_DATABASE'!C9</f>
        <v/>
      </c>
      <c r="B12" s="114">
        <f>'01_MASTER_DATABASE'!D9</f>
        <v/>
      </c>
      <c r="C12" s="113" t="inlineStr">
        <is>
          <t>Thư mục 12_Hình ảnh &amp; Video</t>
        </is>
      </c>
      <c r="D12" s="114" t="inlineStr">
        <is>
          <t>BaoCao_ThuVien_CuaNhom/THƯ VIỆN HỆ NHÔM SAO VÀNG/12_Hình ảnh &amp; Video/Section_8.png</t>
        </is>
      </c>
    </row>
    <row r="13" ht="25" customHeight="1">
      <c r="A13" s="113">
        <f>'01_MASTER_DATABASE'!C10</f>
        <v/>
      </c>
      <c r="B13" s="114">
        <f>'01_MASTER_DATABASE'!D10</f>
        <v/>
      </c>
      <c r="C13" s="113" t="inlineStr">
        <is>
          <t>Thư mục 12_Hình ảnh &amp; Video</t>
        </is>
      </c>
      <c r="D13" s="114" t="inlineStr">
        <is>
          <t>BaoCao_ThuVien_CuaNhom/THƯ VIỆN HỆ NHÔM SAO VÀNG/12_Hình ảnh &amp; Video/Section_9.png</t>
        </is>
      </c>
    </row>
    <row r="14" ht="25" customHeight="1">
      <c r="A14" s="113">
        <f>'01_MASTER_DATABASE'!C11</f>
        <v/>
      </c>
      <c r="B14" s="114">
        <f>'01_MASTER_DATABASE'!D11</f>
        <v/>
      </c>
      <c r="C14" s="113" t="inlineStr">
        <is>
          <t>Thư mục 12_Hình ảnh &amp; Video</t>
        </is>
      </c>
      <c r="D14" s="114" t="inlineStr">
        <is>
          <t>BaoCao_ThuVien_CuaNhom/THƯ VIỆN HỆ NHÔM SAO VÀNG/12_Hình ảnh &amp; Video/Section_10.png</t>
        </is>
      </c>
    </row>
    <row r="15" ht="25" customHeight="1">
      <c r="A15" s="113">
        <f>'01_MASTER_DATABASE'!C12</f>
        <v/>
      </c>
      <c r="B15" s="114">
        <f>'01_MASTER_DATABASE'!D12</f>
        <v/>
      </c>
      <c r="C15" s="113" t="inlineStr">
        <is>
          <t>Thư mục 12_Hình ảnh &amp; Video</t>
        </is>
      </c>
      <c r="D15" s="114" t="inlineStr">
        <is>
          <t>BaoCao_ThuVien_CuaNhom/THƯ VIỆN HỆ NHÔM SAO VÀNG/12_Hình ảnh &amp; Video/Section_11.png</t>
        </is>
      </c>
    </row>
    <row r="16" ht="25" customHeight="1">
      <c r="A16" s="113">
        <f>'01_MASTER_DATABASE'!C13</f>
        <v/>
      </c>
      <c r="B16" s="114">
        <f>'01_MASTER_DATABASE'!D13</f>
        <v/>
      </c>
      <c r="C16" s="113" t="inlineStr">
        <is>
          <t>Thư mục 12_Hình ảnh &amp; Video</t>
        </is>
      </c>
      <c r="D16" s="114" t="inlineStr">
        <is>
          <t>BaoCao_ThuVien_CuaNhom/THƯ VIỆN HỆ NHÔM SAO VÀNG/12_Hình ảnh &amp; Video/Section_12.png</t>
        </is>
      </c>
    </row>
    <row r="17" ht="25" customHeight="1">
      <c r="A17" s="113">
        <f>'01_MASTER_DATABASE'!C14</f>
        <v/>
      </c>
      <c r="B17" s="114">
        <f>'01_MASTER_DATABASE'!D14</f>
        <v/>
      </c>
      <c r="C17" s="113" t="inlineStr">
        <is>
          <t>Thư mục 12_Hình ảnh &amp; Video</t>
        </is>
      </c>
      <c r="D17" s="114" t="inlineStr">
        <is>
          <t>BaoCao_ThuVien_CuaNhom/THƯ VIỆN HỆ NHÔM SAO VÀNG/12_Hình ảnh &amp; Video/Section_13.png</t>
        </is>
      </c>
    </row>
    <row r="18" ht="25" customHeight="1">
      <c r="A18" s="113">
        <f>'01_MASTER_DATABASE'!C15</f>
        <v/>
      </c>
      <c r="B18" s="114">
        <f>'01_MASTER_DATABASE'!D15</f>
        <v/>
      </c>
      <c r="C18" s="113" t="inlineStr">
        <is>
          <t>Thư mục 12_Hình ảnh &amp; Video</t>
        </is>
      </c>
      <c r="D18" s="114" t="inlineStr">
        <is>
          <t>BaoCao_ThuVien_CuaNhom/THƯ VIỆN HỆ NHÔM SAO VÀNG/12_Hình ảnh &amp; Video/Section_14.png</t>
        </is>
      </c>
    </row>
    <row r="19" ht="25" customHeight="1">
      <c r="A19" s="113">
        <f>'01_MASTER_DATABASE'!C16</f>
        <v/>
      </c>
      <c r="B19" s="114">
        <f>'01_MASTER_DATABASE'!D16</f>
        <v/>
      </c>
      <c r="C19" s="113" t="inlineStr">
        <is>
          <t>Thư mục 12_Hình ảnh &amp; Video</t>
        </is>
      </c>
      <c r="D19" s="114" t="inlineStr">
        <is>
          <t>BaoCao_ThuVien_CuaNhom/THƯ VIỆN HỆ NHÔM SAO VÀNG/12_Hình ảnh &amp; Video/Section_15.png</t>
        </is>
      </c>
    </row>
    <row r="20" ht="25" customHeight="1">
      <c r="A20" s="113">
        <f>'01_MASTER_DATABASE'!C17</f>
        <v/>
      </c>
      <c r="B20" s="114">
        <f>'01_MASTER_DATABASE'!D17</f>
        <v/>
      </c>
      <c r="C20" s="113" t="inlineStr">
        <is>
          <t>Thư mục 12_Hình ảnh &amp; Video</t>
        </is>
      </c>
      <c r="D20" s="114" t="inlineStr">
        <is>
          <t>BaoCao_ThuVien_CuaNhom/THƯ VIỆN HỆ NHÔM SAO VÀNG/12_Hình ảnh &amp; Video/Section_16.png</t>
        </is>
      </c>
    </row>
    <row r="21" ht="25" customHeight="1">
      <c r="A21" s="113">
        <f>'01_MASTER_DATABASE'!C18</f>
        <v/>
      </c>
      <c r="B21" s="114">
        <f>'01_MASTER_DATABASE'!D18</f>
        <v/>
      </c>
      <c r="C21" s="113" t="inlineStr">
        <is>
          <t>Thư mục 12_Hình ảnh &amp; Video</t>
        </is>
      </c>
      <c r="D21" s="114" t="inlineStr">
        <is>
          <t>BaoCao_ThuVien_CuaNhom/THƯ VIỆN HỆ NHÔM SAO VÀNG/12_Hình ảnh &amp; Video/Section_17.png</t>
        </is>
      </c>
    </row>
    <row r="22" ht="25" customHeight="1">
      <c r="A22" s="113">
        <f>'01_MASTER_DATABASE'!C19</f>
        <v/>
      </c>
      <c r="B22" s="114">
        <f>'01_MASTER_DATABASE'!D19</f>
        <v/>
      </c>
      <c r="C22" s="113" t="inlineStr">
        <is>
          <t>Thư mục 12_Hình ảnh &amp; Video</t>
        </is>
      </c>
      <c r="D22" s="114" t="inlineStr">
        <is>
          <t>BaoCao_ThuVien_CuaNhom/THƯ VIỆN HỆ NHÔM SAO VÀNG/12_Hình ảnh &amp; Video/Section_18.png</t>
        </is>
      </c>
    </row>
    <row r="23" ht="25" customHeight="1">
      <c r="A23" s="113">
        <f>'01_MASTER_DATABASE'!C20</f>
        <v/>
      </c>
      <c r="B23" s="114">
        <f>'01_MASTER_DATABASE'!D20</f>
        <v/>
      </c>
      <c r="C23" s="113" t="inlineStr">
        <is>
          <t>Thư mục 12_Hình ảnh &amp; Video</t>
        </is>
      </c>
      <c r="D23" s="114" t="inlineStr">
        <is>
          <t>BaoCao_ThuVien_CuaNhom/THƯ VIỆN HỆ NHÔM SAO VÀNG/12_Hình ảnh &amp; Video/Section_19.png</t>
        </is>
      </c>
    </row>
    <row r="24" ht="25" customHeight="1">
      <c r="A24" s="113">
        <f>'01_MASTER_DATABASE'!C21</f>
        <v/>
      </c>
      <c r="B24" s="114">
        <f>'01_MASTER_DATABASE'!D21</f>
        <v/>
      </c>
      <c r="C24" s="113" t="inlineStr">
        <is>
          <t>Thư mục 12_Hình ảnh &amp; Video</t>
        </is>
      </c>
      <c r="D24" s="114" t="inlineStr">
        <is>
          <t>BaoCao_ThuVien_CuaNhom/THƯ VIỆN HỆ NHÔM SAO VÀNG/12_Hình ảnh &amp; Video/Section_20.png</t>
        </is>
      </c>
    </row>
    <row r="25" ht="25" customHeight="1">
      <c r="A25" s="113">
        <f>'01_MASTER_DATABASE'!C22</f>
        <v/>
      </c>
      <c r="B25" s="114">
        <f>'01_MASTER_DATABASE'!D22</f>
        <v/>
      </c>
      <c r="C25" s="113" t="inlineStr">
        <is>
          <t>Thư mục 12_Hình ảnh &amp; Video</t>
        </is>
      </c>
      <c r="D25" s="114" t="inlineStr">
        <is>
          <t>BaoCao_ThuVien_CuaNhom/THƯ VIỆN HỆ NHÔM SAO VÀNG/12_Hình ảnh &amp; Video/Section_21.png</t>
        </is>
      </c>
    </row>
    <row r="26" ht="25" customHeight="1">
      <c r="A26" s="113">
        <f>'01_MASTER_DATABASE'!C23</f>
        <v/>
      </c>
      <c r="B26" s="114">
        <f>'01_MASTER_DATABASE'!D23</f>
        <v/>
      </c>
      <c r="C26" s="113" t="inlineStr">
        <is>
          <t>Thư mục 12_Hình ảnh &amp; Video</t>
        </is>
      </c>
      <c r="D26" s="114" t="inlineStr">
        <is>
          <t>BaoCao_ThuVien_CuaNhom/THƯ VIỆN HỆ NHÔM SAO VÀNG/12_Hình ảnh &amp; Video/Section_22.png</t>
        </is>
      </c>
    </row>
    <row r="27" ht="25" customHeight="1">
      <c r="A27" s="113">
        <f>'01_MASTER_DATABASE'!C24</f>
        <v/>
      </c>
      <c r="B27" s="114">
        <f>'01_MASTER_DATABASE'!D24</f>
        <v/>
      </c>
      <c r="C27" s="113" t="inlineStr">
        <is>
          <t>Thư mục 12_Hình ảnh &amp; Video</t>
        </is>
      </c>
      <c r="D27" s="114" t="inlineStr">
        <is>
          <t>BaoCao_ThuVien_CuaNhom/THƯ VIỆN HỆ NHÔM SAO VÀNG/12_Hình ảnh &amp; Video/Section_23.png</t>
        </is>
      </c>
    </row>
    <row r="28" ht="25" customHeight="1">
      <c r="A28" s="113">
        <f>'01_MASTER_DATABASE'!C25</f>
        <v/>
      </c>
      <c r="B28" s="114">
        <f>'01_MASTER_DATABASE'!D25</f>
        <v/>
      </c>
      <c r="C28" s="113" t="inlineStr">
        <is>
          <t>Thư mục 12_Hình ảnh &amp; Video</t>
        </is>
      </c>
      <c r="D28" s="114" t="inlineStr">
        <is>
          <t>BaoCao_ThuVien_CuaNhom/THƯ VIỆN HỆ NHÔM SAO VÀNG/12_Hình ảnh &amp; Video/Section_24.png</t>
        </is>
      </c>
    </row>
    <row r="29" ht="25" customHeight="1">
      <c r="A29" s="113">
        <f>'01_MASTER_DATABASE'!C26</f>
        <v/>
      </c>
      <c r="B29" s="114">
        <f>'01_MASTER_DATABASE'!D26</f>
        <v/>
      </c>
      <c r="C29" s="113" t="inlineStr">
        <is>
          <t>Thư mục 12_Hình ảnh &amp; Video</t>
        </is>
      </c>
      <c r="D29" s="114" t="inlineStr">
        <is>
          <t>BaoCao_ThuVien_CuaNhom/THƯ VIỆN HỆ NHÔM SAO VÀNG/12_Hình ảnh &amp; Video/Section_25.png</t>
        </is>
      </c>
    </row>
    <row r="30" ht="25" customHeight="1">
      <c r="A30" s="113">
        <f>'01_MASTER_DATABASE'!C27</f>
        <v/>
      </c>
      <c r="B30" s="114">
        <f>'01_MASTER_DATABASE'!D27</f>
        <v/>
      </c>
      <c r="C30" s="113" t="inlineStr">
        <is>
          <t>Thư mục 12_Hình ảnh &amp; Video</t>
        </is>
      </c>
      <c r="D30" s="114" t="inlineStr">
        <is>
          <t>BaoCao_ThuVien_CuaNhom/THƯ VIỆN HỆ NHÔM SAO VÀNG/12_Hình ảnh &amp; Video/Section_26.png</t>
        </is>
      </c>
    </row>
    <row r="31" ht="25" customHeight="1">
      <c r="A31" s="113">
        <f>'01_MASTER_DATABASE'!C28</f>
        <v/>
      </c>
      <c r="B31" s="114">
        <f>'01_MASTER_DATABASE'!D28</f>
        <v/>
      </c>
      <c r="C31" s="113" t="inlineStr">
        <is>
          <t>Thư mục 12_Hình ảnh &amp; Video</t>
        </is>
      </c>
      <c r="D31" s="114" t="inlineStr">
        <is>
          <t>BaoCao_ThuVien_CuaNhom/THƯ VIỆN HỆ NHÔM SAO VÀNG/12_Hình ảnh &amp; Video/Section_27.png</t>
        </is>
      </c>
    </row>
    <row r="32" ht="25" customHeight="1">
      <c r="A32" s="113">
        <f>'01_MASTER_DATABASE'!C29</f>
        <v/>
      </c>
      <c r="B32" s="114">
        <f>'01_MASTER_DATABASE'!D29</f>
        <v/>
      </c>
      <c r="C32" s="113" t="inlineStr">
        <is>
          <t>Thư mục 12_Hình ảnh &amp; Video</t>
        </is>
      </c>
      <c r="D32" s="114" t="inlineStr">
        <is>
          <t>BaoCao_ThuVien_CuaNhom/THƯ VIỆN HỆ NHÔM SAO VÀNG/12_Hình ảnh &amp; Video/Section_28.png</t>
        </is>
      </c>
    </row>
    <row r="33" ht="25" customHeight="1">
      <c r="A33" s="113">
        <f>'01_MASTER_DATABASE'!C30</f>
        <v/>
      </c>
      <c r="B33" s="114">
        <f>'01_MASTER_DATABASE'!D30</f>
        <v/>
      </c>
      <c r="C33" s="113" t="inlineStr">
        <is>
          <t>Thư mục 12_Hình ảnh &amp; Video</t>
        </is>
      </c>
      <c r="D33" s="114" t="inlineStr">
        <is>
          <t>BaoCao_ThuVien_CuaNhom/THƯ VIỆN HỆ NHÔM SAO VÀNG/12_Hình ảnh &amp; Video/Section_29.png</t>
        </is>
      </c>
    </row>
    <row r="34" ht="25" customHeight="1">
      <c r="A34" s="113">
        <f>'01_MASTER_DATABASE'!C31</f>
        <v/>
      </c>
      <c r="B34" s="114">
        <f>'01_MASTER_DATABASE'!D31</f>
        <v/>
      </c>
      <c r="C34" s="113" t="inlineStr">
        <is>
          <t>Thư mục 12_Hình ảnh &amp; Video</t>
        </is>
      </c>
      <c r="D34" s="114" t="inlineStr">
        <is>
          <t>BaoCao_ThuVien_CuaNhom/THƯ VIỆN HỆ NHÔM SAO VÀNG/12_Hình ảnh &amp; Video/Section_30.png</t>
        </is>
      </c>
    </row>
    <row r="35" ht="25" customHeight="1">
      <c r="A35" s="113">
        <f>'01_MASTER_DATABASE'!C32</f>
        <v/>
      </c>
      <c r="B35" s="114">
        <f>'01_MASTER_DATABASE'!D32</f>
        <v/>
      </c>
      <c r="C35" s="113" t="inlineStr">
        <is>
          <t>Thư mục 12_Hình ảnh &amp; Video</t>
        </is>
      </c>
      <c r="D35" s="114" t="inlineStr">
        <is>
          <t>BaoCao_ThuVien_CuaNhom/THƯ VIỆN HỆ NHÔM SAO VÀNG/12_Hình ảnh &amp; Video/Section_31.png</t>
        </is>
      </c>
    </row>
    <row r="36" ht="25" customHeight="1">
      <c r="A36" s="113">
        <f>'01_MASTER_DATABASE'!C33</f>
        <v/>
      </c>
      <c r="B36" s="114">
        <f>'01_MASTER_DATABASE'!D33</f>
        <v/>
      </c>
      <c r="C36" s="113" t="inlineStr">
        <is>
          <t>Thư mục 12_Hình ảnh &amp; Video</t>
        </is>
      </c>
      <c r="D36" s="114" t="inlineStr">
        <is>
          <t>BaoCao_ThuVien_CuaNhom/THƯ VIỆN HỆ NHÔM SAO VÀNG/12_Hình ảnh &amp; Video/Section_32.png</t>
        </is>
      </c>
    </row>
    <row r="37" ht="25" customHeight="1">
      <c r="A37" s="113">
        <f>'01_MASTER_DATABASE'!C34</f>
        <v/>
      </c>
      <c r="B37" s="114">
        <f>'01_MASTER_DATABASE'!D34</f>
        <v/>
      </c>
      <c r="C37" s="113" t="inlineStr">
        <is>
          <t>Thư mục 12_Hình ảnh &amp; Video</t>
        </is>
      </c>
      <c r="D37" s="114" t="inlineStr">
        <is>
          <t>BaoCao_ThuVien_CuaNhom/THƯ VIỆN HỆ NHÔM SAO VÀNG/12_Hình ảnh &amp; Video/Section_33.png</t>
        </is>
      </c>
    </row>
    <row r="38" ht="25" customHeight="1">
      <c r="A38" s="113">
        <f>'01_MASTER_DATABASE'!C35</f>
        <v/>
      </c>
      <c r="B38" s="114">
        <f>'01_MASTER_DATABASE'!D35</f>
        <v/>
      </c>
      <c r="C38" s="113" t="inlineStr">
        <is>
          <t>Thư mục 12_Hình ảnh &amp; Video</t>
        </is>
      </c>
      <c r="D38" s="114" t="inlineStr">
        <is>
          <t>BaoCao_ThuVien_CuaNhom/THƯ VIỆN HỆ NHÔM SAO VÀNG/12_Hình ảnh &amp; Video/Section_34.png</t>
        </is>
      </c>
    </row>
    <row r="39" ht="25" customHeight="1">
      <c r="A39" s="113">
        <f>'01_MASTER_DATABASE'!C36</f>
        <v/>
      </c>
      <c r="B39" s="114">
        <f>'01_MASTER_DATABASE'!D36</f>
        <v/>
      </c>
      <c r="C39" s="113" t="inlineStr">
        <is>
          <t>Thư mục 12_Hình ảnh &amp; Video</t>
        </is>
      </c>
      <c r="D39" s="114" t="inlineStr">
        <is>
          <t>BaoCao_ThuVien_CuaNhom/THƯ VIỆN HỆ NHÔM SAO VÀNG/12_Hình ảnh &amp; Video/Section_35.png</t>
        </is>
      </c>
    </row>
    <row r="40" ht="25" customHeight="1">
      <c r="A40" s="113">
        <f>'01_MASTER_DATABASE'!C37</f>
        <v/>
      </c>
      <c r="B40" s="114">
        <f>'01_MASTER_DATABASE'!D37</f>
        <v/>
      </c>
      <c r="C40" s="113" t="inlineStr">
        <is>
          <t>Thư mục 12_Hình ảnh &amp; Video</t>
        </is>
      </c>
      <c r="D40" s="114" t="inlineStr">
        <is>
          <t>BaoCao_ThuVien_CuaNhom/THƯ VIỆN HỆ NHÔM SAO VÀNG/12_Hình ảnh &amp; Video/Section_36.png</t>
        </is>
      </c>
    </row>
    <row r="41" ht="25" customHeight="1">
      <c r="A41" s="113">
        <f>'01_MASTER_DATABASE'!C38</f>
        <v/>
      </c>
      <c r="B41" s="114">
        <f>'01_MASTER_DATABASE'!D38</f>
        <v/>
      </c>
      <c r="C41" s="113" t="inlineStr">
        <is>
          <t>Thư mục 12_Hình ảnh &amp; Video</t>
        </is>
      </c>
      <c r="D41" s="114" t="inlineStr">
        <is>
          <t>BaoCao_ThuVien_CuaNhom/THƯ VIỆN HỆ NHÔM SAO VÀNG/12_Hình ảnh &amp; Video/Section_37.png</t>
        </is>
      </c>
    </row>
    <row r="42" ht="25" customHeight="1">
      <c r="A42" s="113">
        <f>'01_MASTER_DATABASE'!C39</f>
        <v/>
      </c>
      <c r="B42" s="114">
        <f>'01_MASTER_DATABASE'!D39</f>
        <v/>
      </c>
      <c r="C42" s="113" t="inlineStr">
        <is>
          <t>Thư mục 12_Hình ảnh &amp; Video</t>
        </is>
      </c>
      <c r="D42" s="114" t="inlineStr">
        <is>
          <t>BaoCao_ThuVien_CuaNhom/THƯ VIỆN HỆ NHÔM SAO VÀNG/12_Hình ảnh &amp; Video/Section_38.png</t>
        </is>
      </c>
    </row>
    <row r="43" ht="25" customHeight="1">
      <c r="A43" s="113">
        <f>'01_MASTER_DATABASE'!C40</f>
        <v/>
      </c>
      <c r="B43" s="114">
        <f>'01_MASTER_DATABASE'!D40</f>
        <v/>
      </c>
      <c r="C43" s="113" t="inlineStr">
        <is>
          <t>Thư mục 12_Hình ảnh &amp; Video</t>
        </is>
      </c>
      <c r="D43" s="114" t="inlineStr">
        <is>
          <t>BaoCao_ThuVien_CuaNhom/THƯ VIỆN HỆ NHÔM SAO VÀNG/12_Hình ảnh &amp; Video/Section_39.png</t>
        </is>
      </c>
    </row>
    <row r="44" ht="25" customHeight="1">
      <c r="A44" s="113">
        <f>'01_MASTER_DATABASE'!C41</f>
        <v/>
      </c>
      <c r="B44" s="114">
        <f>'01_MASTER_DATABASE'!D41</f>
        <v/>
      </c>
      <c r="C44" s="113" t="inlineStr">
        <is>
          <t>Thư mục 12_Hình ảnh &amp; Video</t>
        </is>
      </c>
      <c r="D44" s="114" t="inlineStr">
        <is>
          <t>BaoCao_ThuVien_CuaNhom/THƯ VIỆN HỆ NHÔM SAO VÀNG/12_Hình ảnh &amp; Video/Section_40.png</t>
        </is>
      </c>
    </row>
    <row r="45" ht="25" customHeight="1">
      <c r="A45" s="113">
        <f>'01_MASTER_DATABASE'!C42</f>
        <v/>
      </c>
      <c r="B45" s="114">
        <f>'01_MASTER_DATABASE'!D42</f>
        <v/>
      </c>
      <c r="C45" s="113" t="inlineStr">
        <is>
          <t>Thư mục 12_Hình ảnh &amp; Video</t>
        </is>
      </c>
      <c r="D45" s="114" t="inlineStr">
        <is>
          <t>BaoCao_ThuVien_CuaNhom/THƯ VIỆN HỆ NHÔM SAO VÀNG/12_Hình ảnh &amp; Video/Section_41.png</t>
        </is>
      </c>
    </row>
    <row r="46" ht="25" customHeight="1">
      <c r="A46" s="113">
        <f>'01_MASTER_DATABASE'!C43</f>
        <v/>
      </c>
      <c r="B46" s="114">
        <f>'01_MASTER_DATABASE'!D43</f>
        <v/>
      </c>
      <c r="C46" s="113" t="inlineStr">
        <is>
          <t>Thư mục 12_Hình ảnh &amp; Video</t>
        </is>
      </c>
      <c r="D46" s="114" t="inlineStr">
        <is>
          <t>BaoCao_ThuVien_CuaNhom/THƯ VIỆN HỆ NHÔM SAO VÀNG/12_Hình ảnh &amp; Video/Section_42.png</t>
        </is>
      </c>
    </row>
    <row r="47" ht="25" customHeight="1">
      <c r="A47" s="113">
        <f>'01_MASTER_DATABASE'!C44</f>
        <v/>
      </c>
      <c r="B47" s="114">
        <f>'01_MASTER_DATABASE'!D44</f>
        <v/>
      </c>
      <c r="C47" s="113" t="inlineStr">
        <is>
          <t>Thư mục 12_Hình ảnh &amp; Video</t>
        </is>
      </c>
      <c r="D47" s="114" t="inlineStr">
        <is>
          <t>BaoCao_ThuVien_CuaNhom/THƯ VIỆN HỆ NHÔM SAO VÀNG/12_Hình ảnh &amp; Video/Section_43.png</t>
        </is>
      </c>
    </row>
    <row r="48" ht="25" customHeight="1">
      <c r="A48" s="113">
        <f>'01_MASTER_DATABASE'!C45</f>
        <v/>
      </c>
      <c r="B48" s="114">
        <f>'01_MASTER_DATABASE'!D45</f>
        <v/>
      </c>
      <c r="C48" s="113" t="inlineStr">
        <is>
          <t>Thư mục 12_Hình ảnh &amp; Video</t>
        </is>
      </c>
      <c r="D48" s="114" t="inlineStr">
        <is>
          <t>BaoCao_ThuVien_CuaNhom/THƯ VIỆN HỆ NHÔM SAO VÀNG/12_Hình ảnh &amp; Video/Section_44.png</t>
        </is>
      </c>
    </row>
    <row r="49" ht="25" customHeight="1">
      <c r="A49" s="113">
        <f>'01_MASTER_DATABASE'!C46</f>
        <v/>
      </c>
      <c r="B49" s="114">
        <f>'01_MASTER_DATABASE'!D46</f>
        <v/>
      </c>
      <c r="C49" s="113" t="inlineStr">
        <is>
          <t>Thư mục 12_Hình ảnh &amp; Video</t>
        </is>
      </c>
      <c r="D49" s="114" t="inlineStr">
        <is>
          <t>BaoCao_ThuVien_CuaNhom/THƯ VIỆN HỆ NHÔM SAO VÀNG/12_Hình ảnh &amp; Video/Section_45.png</t>
        </is>
      </c>
    </row>
    <row r="50" ht="25" customHeight="1">
      <c r="A50" s="113">
        <f>'01_MASTER_DATABASE'!C47</f>
        <v/>
      </c>
      <c r="B50" s="114">
        <f>'01_MASTER_DATABASE'!D47</f>
        <v/>
      </c>
      <c r="C50" s="113" t="inlineStr">
        <is>
          <t>Thư mục 12_Hình ảnh &amp; Video</t>
        </is>
      </c>
      <c r="D50" s="114" t="inlineStr">
        <is>
          <t>BaoCao_ThuVien_CuaNhom/THƯ VIỆN HỆ NHÔM SAO VÀNG/12_Hình ảnh &amp; Video/Section_46.png</t>
        </is>
      </c>
    </row>
    <row r="51" ht="25" customHeight="1">
      <c r="A51" s="113">
        <f>'01_MASTER_DATABASE'!C48</f>
        <v/>
      </c>
      <c r="B51" s="114">
        <f>'01_MASTER_DATABASE'!D48</f>
        <v/>
      </c>
      <c r="C51" s="113" t="inlineStr">
        <is>
          <t>Thư mục 12_Hình ảnh &amp; Video</t>
        </is>
      </c>
      <c r="D51" s="114" t="inlineStr">
        <is>
          <t>BaoCao_ThuVien_CuaNhom/THƯ VIỆN HỆ NHÔM SAO VÀNG/12_Hình ảnh &amp; Video/Section_47.png</t>
        </is>
      </c>
    </row>
    <row r="52" ht="25" customHeight="1">
      <c r="A52" s="113">
        <f>'01_MASTER_DATABASE'!C49</f>
        <v/>
      </c>
      <c r="B52" s="114">
        <f>'01_MASTER_DATABASE'!D49</f>
        <v/>
      </c>
      <c r="C52" s="113" t="inlineStr">
        <is>
          <t>Thư mục 12_Hình ảnh &amp; Video</t>
        </is>
      </c>
      <c r="D52" s="114" t="inlineStr">
        <is>
          <t>BaoCao_ThuVien_CuaNhom/THƯ VIỆN HỆ NHÔM SAO VÀNG/12_Hình ảnh &amp; Video/Section_48.png</t>
        </is>
      </c>
    </row>
    <row r="53" ht="25" customHeight="1">
      <c r="A53" s="113">
        <f>'01_MASTER_DATABASE'!C50</f>
        <v/>
      </c>
      <c r="B53" s="114">
        <f>'01_MASTER_DATABASE'!D50</f>
        <v/>
      </c>
      <c r="C53" s="113" t="inlineStr">
        <is>
          <t>Thư mục 12_Hình ảnh &amp; Video</t>
        </is>
      </c>
      <c r="D53" s="114" t="inlineStr">
        <is>
          <t>BaoCao_ThuVien_CuaNhom/THƯ VIỆN HỆ NHÔM SAO VÀNG/12_Hình ảnh &amp; Video/Section_49.png</t>
        </is>
      </c>
    </row>
    <row r="54" ht="25" customHeight="1">
      <c r="A54" s="113">
        <f>'01_MASTER_DATABASE'!C51</f>
        <v/>
      </c>
      <c r="B54" s="114">
        <f>'01_MASTER_DATABASE'!D51</f>
        <v/>
      </c>
      <c r="C54" s="113" t="inlineStr">
        <is>
          <t>Thư mục 12_Hình ảnh &amp; Video</t>
        </is>
      </c>
      <c r="D54" s="114" t="inlineStr">
        <is>
          <t>BaoCao_ThuVien_CuaNhom/THƯ VIỆN HỆ NHÔM SAO VÀNG/12_Hình ảnh &amp; Video/Section_50.png</t>
        </is>
      </c>
    </row>
    <row r="55" ht="25" customHeight="1">
      <c r="A55" s="113">
        <f>'01_MASTER_DATABASE'!C52</f>
        <v/>
      </c>
      <c r="B55" s="114">
        <f>'01_MASTER_DATABASE'!D52</f>
        <v/>
      </c>
      <c r="C55" s="113" t="inlineStr">
        <is>
          <t>Thư mục 12_Hình ảnh &amp; Video</t>
        </is>
      </c>
      <c r="D55" s="114" t="inlineStr">
        <is>
          <t>BaoCao_ThuVien_CuaNhom/THƯ VIỆN HỆ NHÔM SAO VÀNG/12_Hình ảnh &amp; Video/Section_51.png</t>
        </is>
      </c>
    </row>
    <row r="56" ht="25" customHeight="1">
      <c r="A56" s="113">
        <f>'01_MASTER_DATABASE'!C53</f>
        <v/>
      </c>
      <c r="B56" s="114">
        <f>'01_MASTER_DATABASE'!D53</f>
        <v/>
      </c>
      <c r="C56" s="113" t="inlineStr">
        <is>
          <t>Thư mục 12_Hình ảnh &amp; Video</t>
        </is>
      </c>
      <c r="D56" s="114" t="inlineStr">
        <is>
          <t>BaoCao_ThuVien_CuaNhom/THƯ VIỆN HỆ NHÔM SAO VÀNG/12_Hình ảnh &amp; Video/Section_52.png</t>
        </is>
      </c>
    </row>
    <row r="57" ht="25" customHeight="1">
      <c r="A57" s="113">
        <f>'01_MASTER_DATABASE'!C54</f>
        <v/>
      </c>
      <c r="B57" s="114">
        <f>'01_MASTER_DATABASE'!D54</f>
        <v/>
      </c>
      <c r="C57" s="113" t="inlineStr">
        <is>
          <t>Thư mục 12_Hình ảnh &amp; Video</t>
        </is>
      </c>
      <c r="D57" s="114" t="inlineStr">
        <is>
          <t>BaoCao_ThuVien_CuaNhom/THƯ VIỆN HỆ NHÔM SAO VÀNG/12_Hình ảnh &amp; Video/Section_53.png</t>
        </is>
      </c>
    </row>
    <row r="58" ht="25" customHeight="1">
      <c r="A58" s="113">
        <f>'01_MASTER_DATABASE'!C55</f>
        <v/>
      </c>
      <c r="B58" s="114">
        <f>'01_MASTER_DATABASE'!D55</f>
        <v/>
      </c>
      <c r="C58" s="113" t="inlineStr">
        <is>
          <t>Thư mục 12_Hình ảnh &amp; Video</t>
        </is>
      </c>
      <c r="D58" s="114" t="inlineStr">
        <is>
          <t>BaoCao_ThuVien_CuaNhom/THƯ VIỆN HỆ NHÔM SAO VÀNG/12_Hình ảnh &amp; Video/Section_54.png</t>
        </is>
      </c>
    </row>
    <row r="59" ht="25" customHeight="1">
      <c r="A59" s="113">
        <f>'01_MASTER_DATABASE'!C56</f>
        <v/>
      </c>
      <c r="B59" s="114">
        <f>'01_MASTER_DATABASE'!D56</f>
        <v/>
      </c>
      <c r="C59" s="113" t="inlineStr">
        <is>
          <t>Thư mục 12_Hình ảnh &amp; Video</t>
        </is>
      </c>
      <c r="D59" s="114" t="inlineStr">
        <is>
          <t>BaoCao_ThuVien_CuaNhom/THƯ VIỆN HỆ NHÔM SAO VÀNG/12_Hình ảnh &amp; Video/Section_55.png</t>
        </is>
      </c>
    </row>
    <row r="60" ht="25" customHeight="1">
      <c r="A60" s="113">
        <f>'01_MASTER_DATABASE'!C57</f>
        <v/>
      </c>
      <c r="B60" s="114">
        <f>'01_MASTER_DATABASE'!D57</f>
        <v/>
      </c>
      <c r="C60" s="113" t="inlineStr">
        <is>
          <t>Thư mục 12_Hình ảnh &amp; Video</t>
        </is>
      </c>
      <c r="D60" s="114" t="inlineStr">
        <is>
          <t>BaoCao_ThuVien_CuaNhom/THƯ VIỆN HỆ NHÔM SAO VÀNG/12_Hình ảnh &amp; Video/Section_56.png</t>
        </is>
      </c>
    </row>
    <row r="61" ht="25" customHeight="1">
      <c r="A61" s="113">
        <f>'01_MASTER_DATABASE'!C58</f>
        <v/>
      </c>
      <c r="B61" s="114">
        <f>'01_MASTER_DATABASE'!D58</f>
        <v/>
      </c>
      <c r="C61" s="113" t="inlineStr">
        <is>
          <t>Thư mục 12_Hình ảnh &amp; Video</t>
        </is>
      </c>
      <c r="D61" s="114" t="inlineStr">
        <is>
          <t>BaoCao_ThuVien_CuaNhom/THƯ VIỆN HỆ NHÔM SAO VÀNG/12_Hình ảnh &amp; Video/Section_57.png</t>
        </is>
      </c>
    </row>
    <row r="62" ht="25" customHeight="1">
      <c r="A62" s="113">
        <f>'01_MASTER_DATABASE'!C59</f>
        <v/>
      </c>
      <c r="B62" s="114">
        <f>'01_MASTER_DATABASE'!D59</f>
        <v/>
      </c>
      <c r="C62" s="113" t="inlineStr">
        <is>
          <t>Thư mục 12_Hình ảnh &amp; Video</t>
        </is>
      </c>
      <c r="D62" s="114" t="inlineStr">
        <is>
          <t>BaoCao_ThuVien_CuaNhom/THƯ VIỆN HỆ NHÔM SAO VÀNG/12_Hình ảnh &amp; Video/Section_58.png</t>
        </is>
      </c>
    </row>
    <row r="63" ht="25" customHeight="1">
      <c r="A63" s="113">
        <f>'01_MASTER_DATABASE'!C60</f>
        <v/>
      </c>
      <c r="B63" s="114">
        <f>'01_MASTER_DATABASE'!D60</f>
        <v/>
      </c>
      <c r="C63" s="113" t="inlineStr">
        <is>
          <t>Thư mục 12_Hình ảnh &amp; Video</t>
        </is>
      </c>
      <c r="D63" s="114" t="inlineStr">
        <is>
          <t>BaoCao_ThuVien_CuaNhom/THƯ VIỆN HỆ NHÔM SAO VÀNG/12_Hình ảnh &amp; Video/Section_59.png</t>
        </is>
      </c>
    </row>
    <row r="64" ht="25" customHeight="1">
      <c r="A64" s="113">
        <f>'01_MASTER_DATABASE'!C61</f>
        <v/>
      </c>
      <c r="B64" s="114">
        <f>'01_MASTER_DATABASE'!D61</f>
        <v/>
      </c>
      <c r="C64" s="113" t="inlineStr">
        <is>
          <t>Thư mục 12_Hình ảnh &amp; Video</t>
        </is>
      </c>
      <c r="D64" s="114" t="inlineStr">
        <is>
          <t>BaoCao_ThuVien_CuaNhom/THƯ VIỆN HỆ NHÔM SAO VÀNG/12_Hình ảnh &amp; Video/Section_60.png</t>
        </is>
      </c>
    </row>
    <row r="65" ht="25" customHeight="1">
      <c r="A65" s="113">
        <f>'01_MASTER_DATABASE'!C62</f>
        <v/>
      </c>
      <c r="B65" s="114">
        <f>'01_MASTER_DATABASE'!D62</f>
        <v/>
      </c>
      <c r="C65" s="113" t="inlineStr">
        <is>
          <t>Thư mục 12_Hình ảnh &amp; Video</t>
        </is>
      </c>
      <c r="D65" s="114" t="inlineStr">
        <is>
          <t>BaoCao_ThuVien_CuaNhom/THƯ VIỆN HỆ NHÔM SAO VÀNG/12_Hình ảnh &amp; Video/Section_61.png</t>
        </is>
      </c>
    </row>
    <row r="66" ht="25" customHeight="1">
      <c r="A66" s="113">
        <f>'01_MASTER_DATABASE'!C63</f>
        <v/>
      </c>
      <c r="B66" s="114">
        <f>'01_MASTER_DATABASE'!D63</f>
        <v/>
      </c>
      <c r="C66" s="113" t="inlineStr">
        <is>
          <t>Thư mục 12_Hình ảnh &amp; Video</t>
        </is>
      </c>
      <c r="D66" s="114" t="inlineStr">
        <is>
          <t>BaoCao_ThuVien_CuaNhom/THƯ VIỆN HỆ NHÔM SAO VÀNG/12_Hình ảnh &amp; Video/Section_62.png</t>
        </is>
      </c>
    </row>
    <row r="67" ht="25" customHeight="1">
      <c r="A67" s="113">
        <f>'01_MASTER_DATABASE'!C64</f>
        <v/>
      </c>
      <c r="B67" s="114">
        <f>'01_MASTER_DATABASE'!D64</f>
        <v/>
      </c>
      <c r="C67" s="113" t="inlineStr">
        <is>
          <t>Thư mục 12_Hình ảnh &amp; Video</t>
        </is>
      </c>
      <c r="D67" s="114" t="inlineStr">
        <is>
          <t>BaoCao_ThuVien_CuaNhom/THƯ VIỆN HỆ NHÔM SAO VÀNG/12_Hình ảnh &amp; Video/Section_63.png</t>
        </is>
      </c>
    </row>
    <row r="68" ht="25" customHeight="1">
      <c r="A68" s="113">
        <f>'01_MASTER_DATABASE'!C65</f>
        <v/>
      </c>
      <c r="B68" s="114">
        <f>'01_MASTER_DATABASE'!D65</f>
        <v/>
      </c>
      <c r="C68" s="113" t="inlineStr">
        <is>
          <t>Thư mục 12_Hình ảnh &amp; Video</t>
        </is>
      </c>
      <c r="D68" s="114" t="inlineStr">
        <is>
          <t>BaoCao_ThuVien_CuaNhom/THƯ VIỆN HỆ NHÔM SAO VÀNG/12_Hình ảnh &amp; Video/Section_64.png</t>
        </is>
      </c>
    </row>
    <row r="69" ht="25" customHeight="1">
      <c r="A69" s="113">
        <f>'01_MASTER_DATABASE'!C66</f>
        <v/>
      </c>
      <c r="B69" s="114">
        <f>'01_MASTER_DATABASE'!D66</f>
        <v/>
      </c>
      <c r="C69" s="113" t="inlineStr">
        <is>
          <t>Thư mục 12_Hình ảnh &amp; Video</t>
        </is>
      </c>
      <c r="D69" s="114" t="inlineStr">
        <is>
          <t>BaoCao_ThuVien_CuaNhom/THƯ VIỆN HỆ NHÔM SAO VÀNG/12_Hình ảnh &amp; Video/Section_65.png</t>
        </is>
      </c>
    </row>
    <row r="70" ht="25" customHeight="1">
      <c r="A70" s="113">
        <f>'01_MASTER_DATABASE'!C67</f>
        <v/>
      </c>
      <c r="B70" s="114">
        <f>'01_MASTER_DATABASE'!D67</f>
        <v/>
      </c>
      <c r="C70" s="113" t="inlineStr">
        <is>
          <t>Thư mục 12_Hình ảnh &amp; Video</t>
        </is>
      </c>
      <c r="D70" s="114" t="inlineStr">
        <is>
          <t>BaoCao_ThuVien_CuaNhom/THƯ VIỆN HỆ NHÔM SAO VÀNG/12_Hình ảnh &amp; Video/Section_66.png</t>
        </is>
      </c>
    </row>
    <row r="71" ht="25" customHeight="1">
      <c r="A71" s="113">
        <f>'01_MASTER_DATABASE'!C68</f>
        <v/>
      </c>
      <c r="B71" s="114">
        <f>'01_MASTER_DATABASE'!D68</f>
        <v/>
      </c>
      <c r="C71" s="113" t="inlineStr">
        <is>
          <t>Thư mục 12_Hình ảnh &amp; Video</t>
        </is>
      </c>
      <c r="D71" s="114" t="inlineStr">
        <is>
          <t>BaoCao_ThuVien_CuaNhom/THƯ VIỆN HỆ NHÔM SAO VÀNG/12_Hình ảnh &amp; Video/Section_67.png</t>
        </is>
      </c>
    </row>
    <row r="72" ht="25" customHeight="1">
      <c r="A72" s="113">
        <f>'01_MASTER_DATABASE'!C69</f>
        <v/>
      </c>
      <c r="B72" s="114">
        <f>'01_MASTER_DATABASE'!D69</f>
        <v/>
      </c>
      <c r="C72" s="113" t="inlineStr">
        <is>
          <t>Thư mục 12_Hình ảnh &amp; Video</t>
        </is>
      </c>
      <c r="D72" s="114" t="inlineStr">
        <is>
          <t>BaoCao_ThuVien_CuaNhom/THƯ VIỆN HỆ NHÔM SAO VÀNG/12_Hình ảnh &amp; Video/Section_68.png</t>
        </is>
      </c>
    </row>
    <row r="73" ht="25" customHeight="1">
      <c r="A73" s="113">
        <f>'01_MASTER_DATABASE'!C70</f>
        <v/>
      </c>
      <c r="B73" s="114">
        <f>'01_MASTER_DATABASE'!D70</f>
        <v/>
      </c>
      <c r="C73" s="113" t="inlineStr">
        <is>
          <t>Thư mục 12_Hình ảnh &amp; Video</t>
        </is>
      </c>
      <c r="D73" s="114" t="inlineStr">
        <is>
          <t>BaoCao_ThuVien_CuaNhom/THƯ VIỆN HỆ NHÔM SAO VÀNG/12_Hình ảnh &amp; Video/Section_69.png</t>
        </is>
      </c>
    </row>
    <row r="74" ht="25" customHeight="1">
      <c r="A74" s="113">
        <f>'01_MASTER_DATABASE'!C71</f>
        <v/>
      </c>
      <c r="B74" s="114">
        <f>'01_MASTER_DATABASE'!D71</f>
        <v/>
      </c>
      <c r="C74" s="113" t="inlineStr">
        <is>
          <t>Thư mục 12_Hình ảnh &amp; Video</t>
        </is>
      </c>
      <c r="D74" s="114" t="inlineStr">
        <is>
          <t>BaoCao_ThuVien_CuaNhom/THƯ VIỆN HỆ NHÔM SAO VÀNG/12_Hình ảnh &amp; Video/Section_70.png</t>
        </is>
      </c>
    </row>
    <row r="75" ht="25" customHeight="1">
      <c r="A75" s="113">
        <f>'01_MASTER_DATABASE'!C72</f>
        <v/>
      </c>
      <c r="B75" s="114">
        <f>'01_MASTER_DATABASE'!D72</f>
        <v/>
      </c>
      <c r="C75" s="113" t="inlineStr">
        <is>
          <t>Thư mục 12_Hình ảnh &amp; Video</t>
        </is>
      </c>
      <c r="D75" s="114" t="inlineStr">
        <is>
          <t>BaoCao_ThuVien_CuaNhom/THƯ VIỆN HỆ NHÔM SAO VÀNG/12_Hình ảnh &amp; Video/Section_71.png</t>
        </is>
      </c>
    </row>
    <row r="76" ht="25" customHeight="1">
      <c r="A76" s="113">
        <f>'01_MASTER_DATABASE'!C73</f>
        <v/>
      </c>
      <c r="B76" s="114">
        <f>'01_MASTER_DATABASE'!D73</f>
        <v/>
      </c>
      <c r="C76" s="113" t="inlineStr">
        <is>
          <t>Thư mục 12_Hình ảnh &amp; Video</t>
        </is>
      </c>
      <c r="D76" s="114" t="inlineStr">
        <is>
          <t>BaoCao_ThuVien_CuaNhom/THƯ VIỆN HỆ NHÔM SAO VÀNG/12_Hình ảnh &amp; Video/Section_72.png</t>
        </is>
      </c>
    </row>
    <row r="77" ht="25" customHeight="1">
      <c r="A77" s="113">
        <f>'01_MASTER_DATABASE'!C74</f>
        <v/>
      </c>
      <c r="B77" s="114">
        <f>'01_MASTER_DATABASE'!D74</f>
        <v/>
      </c>
      <c r="C77" s="113" t="inlineStr">
        <is>
          <t>Thư mục 12_Hình ảnh &amp; Video</t>
        </is>
      </c>
      <c r="D77" s="114" t="inlineStr">
        <is>
          <t>BaoCao_ThuVien_CuaNhom/THƯ VIỆN HỆ NHÔM SAO VÀNG/12_Hình ảnh &amp; Video/Section_73.png</t>
        </is>
      </c>
    </row>
    <row r="78" ht="25" customHeight="1">
      <c r="A78" s="113">
        <f>'01_MASTER_DATABASE'!C75</f>
        <v/>
      </c>
      <c r="B78" s="114">
        <f>'01_MASTER_DATABASE'!D75</f>
        <v/>
      </c>
      <c r="C78" s="113" t="inlineStr">
        <is>
          <t>Thư mục 12_Hình ảnh &amp; Video</t>
        </is>
      </c>
      <c r="D78" s="114" t="inlineStr">
        <is>
          <t>BaoCao_ThuVien_CuaNhom/THƯ VIỆN HỆ NHÔM SAO VÀNG/12_Hình ảnh &amp; Video/Section_74.png</t>
        </is>
      </c>
    </row>
    <row r="79" ht="25" customHeight="1">
      <c r="A79" s="113">
        <f>'01_MASTER_DATABASE'!C76</f>
        <v/>
      </c>
      <c r="B79" s="114">
        <f>'01_MASTER_DATABASE'!D76</f>
        <v/>
      </c>
      <c r="C79" s="113" t="inlineStr">
        <is>
          <t>Thư mục 12_Hình ảnh &amp; Video</t>
        </is>
      </c>
      <c r="D79" s="114" t="inlineStr">
        <is>
          <t>BaoCao_ThuVien_CuaNhom/THƯ VIỆN HỆ NHÔM SAO VÀNG/12_Hình ảnh &amp; Video/Section_75.png</t>
        </is>
      </c>
    </row>
    <row r="80" ht="25" customHeight="1">
      <c r="A80" s="113">
        <f>'01_MASTER_DATABASE'!C77</f>
        <v/>
      </c>
      <c r="B80" s="114">
        <f>'01_MASTER_DATABASE'!D77</f>
        <v/>
      </c>
      <c r="C80" s="113" t="inlineStr">
        <is>
          <t>Thư mục 12_Hình ảnh &amp; Video</t>
        </is>
      </c>
      <c r="D80" s="114" t="inlineStr">
        <is>
          <t>BaoCao_ThuVien_CuaNhom/THƯ VIỆN HỆ NHÔM SAO VÀNG/12_Hình ảnh &amp; Video/Section_76.png</t>
        </is>
      </c>
    </row>
    <row r="81" ht="25" customHeight="1">
      <c r="A81" s="113">
        <f>'01_MASTER_DATABASE'!C78</f>
        <v/>
      </c>
      <c r="B81" s="114">
        <f>'01_MASTER_DATABASE'!D78</f>
        <v/>
      </c>
      <c r="C81" s="113" t="inlineStr">
        <is>
          <t>Thư mục 12_Hình ảnh &amp; Video</t>
        </is>
      </c>
      <c r="D81" s="114" t="inlineStr">
        <is>
          <t>BaoCao_ThuVien_CuaNhom/THƯ VIỆN HỆ NHÔM SAO VÀNG/12_Hình ảnh &amp; Video/Section_77.png</t>
        </is>
      </c>
    </row>
    <row r="82" ht="25" customHeight="1">
      <c r="A82" s="113">
        <f>'01_MASTER_DATABASE'!C79</f>
        <v/>
      </c>
      <c r="B82" s="114">
        <f>'01_MASTER_DATABASE'!D79</f>
        <v/>
      </c>
      <c r="C82" s="113" t="inlineStr">
        <is>
          <t>Thư mục 12_Hình ảnh &amp; Video</t>
        </is>
      </c>
      <c r="D82" s="114" t="inlineStr">
        <is>
          <t>BaoCao_ThuVien_CuaNhom/THƯ VIỆN HỆ NHÔM SAO VÀNG/12_Hình ảnh &amp; Video/Section_78.png</t>
        </is>
      </c>
    </row>
    <row r="83" ht="25" customHeight="1">
      <c r="A83" s="113">
        <f>'01_MASTER_DATABASE'!C80</f>
        <v/>
      </c>
      <c r="B83" s="114">
        <f>'01_MASTER_DATABASE'!D80</f>
        <v/>
      </c>
      <c r="C83" s="113" t="inlineStr">
        <is>
          <t>Thư mục 12_Hình ảnh &amp; Video</t>
        </is>
      </c>
      <c r="D83" s="114" t="inlineStr">
        <is>
          <t>BaoCao_ThuVien_CuaNhom/THƯ VIỆN HỆ NHÔM SAO VÀNG/12_Hình ảnh &amp; Video/Section_79.png</t>
        </is>
      </c>
    </row>
    <row r="84" ht="25" customHeight="1">
      <c r="A84" s="113">
        <f>'01_MASTER_DATABASE'!C81</f>
        <v/>
      </c>
      <c r="B84" s="114">
        <f>'01_MASTER_DATABASE'!D81</f>
        <v/>
      </c>
      <c r="C84" s="113" t="inlineStr">
        <is>
          <t>Thư mục 12_Hình ảnh &amp; Video</t>
        </is>
      </c>
      <c r="D84" s="114" t="inlineStr">
        <is>
          <t>BaoCao_ThuVien_CuaNhom/THƯ VIỆN HỆ NHÔM SAO VÀNG/12_Hình ảnh &amp; Video/Section_80.png</t>
        </is>
      </c>
    </row>
    <row r="85" ht="25" customHeight="1">
      <c r="A85" s="113">
        <f>'01_MASTER_DATABASE'!C82</f>
        <v/>
      </c>
      <c r="B85" s="114">
        <f>'01_MASTER_DATABASE'!D82</f>
        <v/>
      </c>
      <c r="C85" s="113" t="inlineStr">
        <is>
          <t>Thư mục 12_Hình ảnh &amp; Video</t>
        </is>
      </c>
      <c r="D85" s="114" t="inlineStr">
        <is>
          <t>BaoCao_ThuVien_CuaNhom/THƯ VIỆN HỆ NHÔM SAO VÀNG/12_Hình ảnh &amp; Video/Section_81.png</t>
        </is>
      </c>
    </row>
    <row r="86" ht="25" customHeight="1">
      <c r="A86" s="113">
        <f>'01_MASTER_DATABASE'!C83</f>
        <v/>
      </c>
      <c r="B86" s="114">
        <f>'01_MASTER_DATABASE'!D83</f>
        <v/>
      </c>
      <c r="C86" s="113" t="inlineStr">
        <is>
          <t>Thư mục 12_Hình ảnh &amp; Video</t>
        </is>
      </c>
      <c r="D86" s="114" t="inlineStr">
        <is>
          <t>BaoCao_ThuVien_CuaNhom/THƯ VIỆN HỆ NHÔM SAO VÀNG/12_Hình ảnh &amp; Video/Section_82.png</t>
        </is>
      </c>
    </row>
    <row r="87" ht="25" customHeight="1">
      <c r="A87" s="113">
        <f>'01_MASTER_DATABASE'!C84</f>
        <v/>
      </c>
      <c r="B87" s="114">
        <f>'01_MASTER_DATABASE'!D84</f>
        <v/>
      </c>
      <c r="C87" s="113" t="inlineStr">
        <is>
          <t>Thư mục 12_Hình ảnh &amp; Video</t>
        </is>
      </c>
      <c r="D87" s="114" t="inlineStr">
        <is>
          <t>BaoCao_ThuVien_CuaNhom/THƯ VIỆN HỆ NHÔM SAO VÀNG/12_Hình ảnh &amp; Video/Section_83.png</t>
        </is>
      </c>
    </row>
    <row r="88" ht="25" customHeight="1">
      <c r="A88" s="113">
        <f>'01_MASTER_DATABASE'!C85</f>
        <v/>
      </c>
      <c r="B88" s="114">
        <f>'01_MASTER_DATABASE'!D85</f>
        <v/>
      </c>
      <c r="C88" s="113" t="inlineStr">
        <is>
          <t>Thư mục 12_Hình ảnh &amp; Video</t>
        </is>
      </c>
      <c r="D88" s="114" t="inlineStr">
        <is>
          <t>BaoCao_ThuVien_CuaNhom/THƯ VIỆN HỆ NHÔM SAO VÀNG/12_Hình ảnh &amp; Video/Section_84.png</t>
        </is>
      </c>
    </row>
    <row r="89" ht="25" customHeight="1">
      <c r="A89" s="113">
        <f>'01_MASTER_DATABASE'!C86</f>
        <v/>
      </c>
      <c r="B89" s="114">
        <f>'01_MASTER_DATABASE'!D86</f>
        <v/>
      </c>
      <c r="C89" s="113" t="inlineStr">
        <is>
          <t>Thư mục 12_Hình ảnh &amp; Video</t>
        </is>
      </c>
      <c r="D89" s="114" t="inlineStr">
        <is>
          <t>BaoCao_ThuVien_CuaNhom/THƯ VIỆN HỆ NHÔM SAO VÀNG/12_Hình ảnh &amp; Video/Section_85.png</t>
        </is>
      </c>
    </row>
    <row r="90" ht="25" customHeight="1">
      <c r="A90" s="113">
        <f>'01_MASTER_DATABASE'!C87</f>
        <v/>
      </c>
      <c r="B90" s="114">
        <f>'01_MASTER_DATABASE'!D87</f>
        <v/>
      </c>
      <c r="C90" s="113" t="inlineStr">
        <is>
          <t>Thư mục 12_Hình ảnh &amp; Video</t>
        </is>
      </c>
      <c r="D90" s="114" t="inlineStr">
        <is>
          <t>BaoCao_ThuVien_CuaNhom/THƯ VIỆN HỆ NHÔM SAO VÀNG/12_Hình ảnh &amp; Video/Section_86.png</t>
        </is>
      </c>
    </row>
    <row r="91" ht="25" customHeight="1">
      <c r="A91" s="113">
        <f>'01_MASTER_DATABASE'!C88</f>
        <v/>
      </c>
      <c r="B91" s="114">
        <f>'01_MASTER_DATABASE'!D88</f>
        <v/>
      </c>
      <c r="C91" s="113" t="inlineStr">
        <is>
          <t>Thư mục 12_Hình ảnh &amp; Video</t>
        </is>
      </c>
      <c r="D91" s="114" t="inlineStr">
        <is>
          <t>BaoCao_ThuVien_CuaNhom/THƯ VIỆN HỆ NHÔM SAO VÀNG/12_Hình ảnh &amp; Video/Section_87.png</t>
        </is>
      </c>
    </row>
    <row r="92" ht="25" customHeight="1">
      <c r="A92" s="113">
        <f>'01_MASTER_DATABASE'!C89</f>
        <v/>
      </c>
      <c r="B92" s="114">
        <f>'01_MASTER_DATABASE'!D89</f>
        <v/>
      </c>
      <c r="C92" s="113" t="inlineStr">
        <is>
          <t>Thư mục 12_Hình ảnh &amp; Video</t>
        </is>
      </c>
      <c r="D92" s="114" t="inlineStr">
        <is>
          <t>BaoCao_ThuVien_CuaNhom/THƯ VIỆN HỆ NHÔM SAO VÀNG/12_Hình ảnh &amp; Video/Section_88.png</t>
        </is>
      </c>
    </row>
    <row r="93" ht="25" customHeight="1">
      <c r="A93" s="113">
        <f>'01_MASTER_DATABASE'!C90</f>
        <v/>
      </c>
      <c r="B93" s="114">
        <f>'01_MASTER_DATABASE'!D90</f>
        <v/>
      </c>
      <c r="C93" s="113" t="inlineStr">
        <is>
          <t>Thư mục 12_Hình ảnh &amp; Video</t>
        </is>
      </c>
      <c r="D93" s="114" t="inlineStr">
        <is>
          <t>BaoCao_ThuVien_CuaNhom/THƯ VIỆN HỆ NHÔM SAO VÀNG/12_Hình ảnh &amp; Video/Section_89.png</t>
        </is>
      </c>
    </row>
    <row r="94" ht="25" customHeight="1">
      <c r="A94" s="113">
        <f>'01_MASTER_DATABASE'!C91</f>
        <v/>
      </c>
      <c r="B94" s="114">
        <f>'01_MASTER_DATABASE'!D91</f>
        <v/>
      </c>
      <c r="C94" s="113" t="inlineStr">
        <is>
          <t>Thư mục 12_Hình ảnh &amp; Video</t>
        </is>
      </c>
      <c r="D94" s="114" t="inlineStr">
        <is>
          <t>BaoCao_ThuVien_CuaNhom/THƯ VIỆN HỆ NHÔM SAO VÀNG/12_Hình ảnh &amp; Video/Section_90.png</t>
        </is>
      </c>
    </row>
    <row r="95" ht="25" customHeight="1">
      <c r="A95" s="113">
        <f>'01_MASTER_DATABASE'!C92</f>
        <v/>
      </c>
      <c r="B95" s="114">
        <f>'01_MASTER_DATABASE'!D92</f>
        <v/>
      </c>
      <c r="C95" s="113" t="inlineStr">
        <is>
          <t>Thư mục 12_Hình ảnh &amp; Video</t>
        </is>
      </c>
      <c r="D95" s="114" t="inlineStr">
        <is>
          <t>BaoCao_ThuVien_CuaNhom/THƯ VIỆN HỆ NHÔM SAO VÀNG/12_Hình ảnh &amp; Video/Section_91.png</t>
        </is>
      </c>
    </row>
    <row r="96" ht="25" customHeight="1">
      <c r="A96" s="113">
        <f>'01_MASTER_DATABASE'!C93</f>
        <v/>
      </c>
      <c r="B96" s="114">
        <f>'01_MASTER_DATABASE'!D93</f>
        <v/>
      </c>
      <c r="C96" s="113" t="inlineStr">
        <is>
          <t>Thư mục 12_Hình ảnh &amp; Video</t>
        </is>
      </c>
      <c r="D96" s="114" t="inlineStr">
        <is>
          <t>BaoCao_ThuVien_CuaNhom/THƯ VIỆN HỆ NHÔM SAO VÀNG/12_Hình ảnh &amp; Video/Section_92.png</t>
        </is>
      </c>
    </row>
    <row r="97" ht="25" customHeight="1">
      <c r="A97" s="113">
        <f>'01_MASTER_DATABASE'!C94</f>
        <v/>
      </c>
      <c r="B97" s="114">
        <f>'01_MASTER_DATABASE'!D94</f>
        <v/>
      </c>
      <c r="C97" s="113" t="inlineStr">
        <is>
          <t>Thư mục 12_Hình ảnh &amp; Video</t>
        </is>
      </c>
      <c r="D97" s="114" t="inlineStr">
        <is>
          <t>BaoCao_ThuVien_CuaNhom/THƯ VIỆN HỆ NHÔM SAO VÀNG/12_Hình ảnh &amp; Video/Section_93.png</t>
        </is>
      </c>
    </row>
    <row r="98" ht="25" customHeight="1">
      <c r="A98" s="113">
        <f>'01_MASTER_DATABASE'!C95</f>
        <v/>
      </c>
      <c r="B98" s="114">
        <f>'01_MASTER_DATABASE'!D95</f>
        <v/>
      </c>
      <c r="C98" s="113" t="inlineStr">
        <is>
          <t>Thư mục 12_Hình ảnh &amp; Video</t>
        </is>
      </c>
      <c r="D98" s="114" t="inlineStr">
        <is>
          <t>BaoCao_ThuVien_CuaNhom/THƯ VIỆN HỆ NHÔM SAO VÀNG/12_Hình ảnh &amp; Video/Section_94.png</t>
        </is>
      </c>
    </row>
    <row r="99" ht="25" customHeight="1">
      <c r="A99" s="113">
        <f>'01_MASTER_DATABASE'!C96</f>
        <v/>
      </c>
      <c r="B99" s="114">
        <f>'01_MASTER_DATABASE'!D96</f>
        <v/>
      </c>
      <c r="C99" s="113" t="inlineStr">
        <is>
          <t>Thư mục 12_Hình ảnh &amp; Video</t>
        </is>
      </c>
      <c r="D99" s="114" t="inlineStr">
        <is>
          <t>BaoCao_ThuVien_CuaNhom/THƯ VIỆN HỆ NHÔM SAO VÀNG/12_Hình ảnh &amp; Video/Section_95.png</t>
        </is>
      </c>
    </row>
    <row r="100" ht="25" customHeight="1">
      <c r="A100" s="113">
        <f>'01_MASTER_DATABASE'!C97</f>
        <v/>
      </c>
      <c r="B100" s="114">
        <f>'01_MASTER_DATABASE'!D97</f>
        <v/>
      </c>
      <c r="C100" s="113" t="inlineStr">
        <is>
          <t>Thư mục 12_Hình ảnh &amp; Video</t>
        </is>
      </c>
      <c r="D100" s="114" t="inlineStr">
        <is>
          <t>BaoCao_ThuVien_CuaNhom/THƯ VIỆN HỆ NHÔM SAO VÀNG/12_Hình ảnh &amp; Video/Section_96.png</t>
        </is>
      </c>
    </row>
    <row r="101" ht="25" customHeight="1">
      <c r="A101" s="113">
        <f>'01_MASTER_DATABASE'!C98</f>
        <v/>
      </c>
      <c r="B101" s="114">
        <f>'01_MASTER_DATABASE'!D98</f>
        <v/>
      </c>
      <c r="C101" s="113" t="inlineStr">
        <is>
          <t>Thư mục 12_Hình ảnh &amp; Video</t>
        </is>
      </c>
      <c r="D101" s="114" t="inlineStr">
        <is>
          <t>BaoCao_ThuVien_CuaNhom/THƯ VIỆN HỆ NHÔM SAO VÀNG/12_Hình ảnh &amp; Video/Section_97.png</t>
        </is>
      </c>
    </row>
    <row r="102" ht="25" customHeight="1">
      <c r="A102" s="113">
        <f>'01_MASTER_DATABASE'!C99</f>
        <v/>
      </c>
      <c r="B102" s="114">
        <f>'01_MASTER_DATABASE'!D99</f>
        <v/>
      </c>
      <c r="C102" s="113" t="inlineStr">
        <is>
          <t>Thư mục 12_Hình ảnh &amp; Video</t>
        </is>
      </c>
      <c r="D102" s="114" t="inlineStr">
        <is>
          <t>BaoCao_ThuVien_CuaNhom/THƯ VIỆN HỆ NHÔM SAO VÀNG/12_Hình ảnh &amp; Video/Section_98.png</t>
        </is>
      </c>
    </row>
    <row r="103" ht="25" customHeight="1">
      <c r="A103" s="113">
        <f>'01_MASTER_DATABASE'!C100</f>
        <v/>
      </c>
      <c r="B103" s="114">
        <f>'01_MASTER_DATABASE'!D100</f>
        <v/>
      </c>
      <c r="C103" s="113" t="inlineStr">
        <is>
          <t>Thư mục 12_Hình ảnh &amp; Video</t>
        </is>
      </c>
      <c r="D103" s="114" t="inlineStr">
        <is>
          <t>BaoCao_ThuVien_CuaNhom/THƯ VIỆN HỆ NHÔM SAO VÀNG/12_Hình ảnh &amp; Video/Section_99.png</t>
        </is>
      </c>
    </row>
    <row r="104" ht="25" customHeight="1">
      <c r="A104" s="113">
        <f>'01_MASTER_DATABASE'!C101</f>
        <v/>
      </c>
      <c r="B104" s="114">
        <f>'01_MASTER_DATABASE'!D101</f>
        <v/>
      </c>
      <c r="C104" s="113" t="inlineStr">
        <is>
          <t>Thư mục 12_Hình ảnh &amp; Video</t>
        </is>
      </c>
      <c r="D104" s="114" t="inlineStr">
        <is>
          <t>BaoCao_ThuVien_CuaNhom/THƯ VIỆN HỆ NHÔM SAO VÀNG/12_Hình ảnh &amp; Video/Section_100.png</t>
        </is>
      </c>
    </row>
    <row r="105" ht="25" customHeight="1">
      <c r="A105" s="113">
        <f>'01_MASTER_DATABASE'!C102</f>
        <v/>
      </c>
      <c r="B105" s="114">
        <f>'01_MASTER_DATABASE'!D102</f>
        <v/>
      </c>
      <c r="C105" s="113" t="inlineStr">
        <is>
          <t>Thư mục 12_Hình ảnh &amp; Video</t>
        </is>
      </c>
      <c r="D105" s="114" t="inlineStr">
        <is>
          <t>BaoCao_ThuVien_CuaNhom/THƯ VIỆN HỆ NHÔM SAO VÀNG/12_Hình ảnh &amp; Video/Section_101.png</t>
        </is>
      </c>
    </row>
    <row r="106" ht="25" customHeight="1">
      <c r="A106" s="113">
        <f>'01_MASTER_DATABASE'!C103</f>
        <v/>
      </c>
      <c r="B106" s="114">
        <f>'01_MASTER_DATABASE'!D103</f>
        <v/>
      </c>
      <c r="C106" s="113" t="inlineStr">
        <is>
          <t>Thư mục 12_Hình ảnh &amp; Video</t>
        </is>
      </c>
      <c r="D106" s="114" t="inlineStr">
        <is>
          <t>BaoCao_ThuVien_CuaNhom/THƯ VIỆN HỆ NHÔM SAO VÀNG/12_Hình ảnh &amp; Video/Section_102.png</t>
        </is>
      </c>
    </row>
    <row r="107" ht="25" customHeight="1">
      <c r="A107" s="113">
        <f>'01_MASTER_DATABASE'!C104</f>
        <v/>
      </c>
      <c r="B107" s="114">
        <f>'01_MASTER_DATABASE'!D104</f>
        <v/>
      </c>
      <c r="C107" s="113" t="inlineStr">
        <is>
          <t>Thư mục 12_Hình ảnh &amp; Video</t>
        </is>
      </c>
      <c r="D107" s="114" t="inlineStr">
        <is>
          <t>BaoCao_ThuVien_CuaNhom/THƯ VIỆN HỆ NHÔM SAO VÀNG/12_Hình ảnh &amp; Video/Section_103.png</t>
        </is>
      </c>
    </row>
    <row r="108" ht="25" customHeight="1">
      <c r="A108" s="113">
        <f>'01_MASTER_DATABASE'!C105</f>
        <v/>
      </c>
      <c r="B108" s="114">
        <f>'01_MASTER_DATABASE'!D105</f>
        <v/>
      </c>
      <c r="C108" s="113" t="inlineStr">
        <is>
          <t>Thư mục 12_Hình ảnh &amp; Video</t>
        </is>
      </c>
      <c r="D108" s="114" t="inlineStr">
        <is>
          <t>BaoCao_ThuVien_CuaNhom/THƯ VIỆN HỆ NHÔM SAO VÀNG/12_Hình ảnh &amp; Video/Section_104.png</t>
        </is>
      </c>
    </row>
    <row r="109" ht="25" customHeight="1">
      <c r="A109" s="113">
        <f>'01_MASTER_DATABASE'!C106</f>
        <v/>
      </c>
      <c r="B109" s="114">
        <f>'01_MASTER_DATABASE'!D106</f>
        <v/>
      </c>
      <c r="C109" s="113" t="inlineStr">
        <is>
          <t>Thư mục 12_Hình ảnh &amp; Video</t>
        </is>
      </c>
      <c r="D109" s="114" t="inlineStr">
        <is>
          <t>BaoCao_ThuVien_CuaNhom/THƯ VIỆN HỆ NHÔM SAO VÀNG/12_Hình ảnh &amp; Video/Section_105.png</t>
        </is>
      </c>
    </row>
    <row r="110" ht="25" customHeight="1">
      <c r="A110" s="113">
        <f>'01_MASTER_DATABASE'!C107</f>
        <v/>
      </c>
      <c r="B110" s="114">
        <f>'01_MASTER_DATABASE'!D107</f>
        <v/>
      </c>
      <c r="C110" s="113" t="inlineStr">
        <is>
          <t>Thư mục 12_Hình ảnh &amp; Video</t>
        </is>
      </c>
      <c r="D110" s="114" t="inlineStr">
        <is>
          <t>BaoCao_ThuVien_CuaNhom/THƯ VIỆN HỆ NHÔM SAO VÀNG/12_Hình ảnh &amp; Video/Section_106.png</t>
        </is>
      </c>
    </row>
    <row r="111" ht="25" customHeight="1">
      <c r="A111" s="113">
        <f>'01_MASTER_DATABASE'!C108</f>
        <v/>
      </c>
      <c r="B111" s="114">
        <f>'01_MASTER_DATABASE'!D108</f>
        <v/>
      </c>
      <c r="C111" s="113" t="inlineStr">
        <is>
          <t>Thư mục 12_Hình ảnh &amp; Video</t>
        </is>
      </c>
      <c r="D111" s="114" t="inlineStr">
        <is>
          <t>BaoCao_ThuVien_CuaNhom/THƯ VIỆN HỆ NHÔM SAO VÀNG/12_Hình ảnh &amp; Video/Section_107.png</t>
        </is>
      </c>
    </row>
    <row r="112" ht="25" customHeight="1">
      <c r="A112" s="113">
        <f>'01_MASTER_DATABASE'!C109</f>
        <v/>
      </c>
      <c r="B112" s="114">
        <f>'01_MASTER_DATABASE'!D109</f>
        <v/>
      </c>
      <c r="C112" s="113" t="inlineStr">
        <is>
          <t>Thư mục 12_Hình ảnh &amp; Video</t>
        </is>
      </c>
      <c r="D112" s="114" t="inlineStr">
        <is>
          <t>BaoCao_ThuVien_CuaNhom/THƯ VIỆN HỆ NHÔM SAO VÀNG/12_Hình ảnh &amp; Video/Section_108.png</t>
        </is>
      </c>
    </row>
    <row r="113" ht="25" customHeight="1">
      <c r="A113" s="113">
        <f>'01_MASTER_DATABASE'!C110</f>
        <v/>
      </c>
      <c r="B113" s="114">
        <f>'01_MASTER_DATABASE'!D110</f>
        <v/>
      </c>
      <c r="C113" s="113" t="inlineStr">
        <is>
          <t>Thư mục 12_Hình ảnh &amp; Video</t>
        </is>
      </c>
      <c r="D113" s="114" t="inlineStr">
        <is>
          <t>BaoCao_ThuVien_CuaNhom/THƯ VIỆN HỆ NHÔM SAO VÀNG/12_Hình ảnh &amp; Video/Section_109.png</t>
        </is>
      </c>
    </row>
    <row r="114" ht="25" customHeight="1">
      <c r="A114" s="113">
        <f>'01_MASTER_DATABASE'!C111</f>
        <v/>
      </c>
      <c r="B114" s="114">
        <f>'01_MASTER_DATABASE'!D111</f>
        <v/>
      </c>
      <c r="C114" s="113" t="inlineStr">
        <is>
          <t>Thư mục 12_Hình ảnh &amp; Video</t>
        </is>
      </c>
      <c r="D114" s="114" t="inlineStr">
        <is>
          <t>BaoCao_ThuVien_CuaNhom/THƯ VIỆN HỆ NHÔM SAO VÀNG/12_Hình ảnh &amp; Video/Section_110.png</t>
        </is>
      </c>
    </row>
    <row r="115" ht="25" customHeight="1">
      <c r="A115" s="113">
        <f>'01_MASTER_DATABASE'!C112</f>
        <v/>
      </c>
      <c r="B115" s="114">
        <f>'01_MASTER_DATABASE'!D112</f>
        <v/>
      </c>
      <c r="C115" s="113" t="inlineStr">
        <is>
          <t>Thư mục 12_Hình ảnh &amp; Video</t>
        </is>
      </c>
      <c r="D115" s="114" t="inlineStr">
        <is>
          <t>BaoCao_ThuVien_CuaNhom/THƯ VIỆN HỆ NHÔM SAO VÀNG/12_Hình ảnh &amp; Video/Section_111.png</t>
        </is>
      </c>
    </row>
    <row r="116" ht="25" customHeight="1">
      <c r="A116" s="113">
        <f>'01_MASTER_DATABASE'!C113</f>
        <v/>
      </c>
      <c r="B116" s="114">
        <f>'01_MASTER_DATABASE'!D113</f>
        <v/>
      </c>
      <c r="C116" s="113" t="inlineStr">
        <is>
          <t>Thư mục 12_Hình ảnh &amp; Video</t>
        </is>
      </c>
      <c r="D116" s="114" t="inlineStr">
        <is>
          <t>BaoCao_ThuVien_CuaNhom/THƯ VIỆN HỆ NHÔM SAO VÀNG/12_Hình ảnh &amp; Video/Section_112.png</t>
        </is>
      </c>
    </row>
    <row r="117" ht="25" customHeight="1">
      <c r="A117" s="113">
        <f>'01_MASTER_DATABASE'!C114</f>
        <v/>
      </c>
      <c r="B117" s="114">
        <f>'01_MASTER_DATABASE'!D114</f>
        <v/>
      </c>
      <c r="C117" s="113" t="inlineStr">
        <is>
          <t>Thư mục 12_Hình ảnh &amp; Video</t>
        </is>
      </c>
      <c r="D117" s="114" t="inlineStr">
        <is>
          <t>BaoCao_ThuVien_CuaNhom/THƯ VIỆN HỆ NHÔM SAO VÀNG/12_Hình ảnh &amp; Video/Section_113.png</t>
        </is>
      </c>
    </row>
    <row r="118" ht="25" customHeight="1">
      <c r="A118" s="113">
        <f>'01_MASTER_DATABASE'!C115</f>
        <v/>
      </c>
      <c r="B118" s="114">
        <f>'01_MASTER_DATABASE'!D115</f>
        <v/>
      </c>
      <c r="C118" s="113" t="inlineStr">
        <is>
          <t>Thư mục 12_Hình ảnh &amp; Video</t>
        </is>
      </c>
      <c r="D118" s="114" t="inlineStr">
        <is>
          <t>BaoCao_ThuVien_CuaNhom/THƯ VIỆN HỆ NHÔM SAO VÀNG/12_Hình ảnh &amp; Video/Section_114.png</t>
        </is>
      </c>
    </row>
    <row r="119" ht="25" customHeight="1">
      <c r="A119" s="113">
        <f>'01_MASTER_DATABASE'!C116</f>
        <v/>
      </c>
      <c r="B119" s="114">
        <f>'01_MASTER_DATABASE'!D116</f>
        <v/>
      </c>
      <c r="C119" s="113" t="inlineStr">
        <is>
          <t>Thư mục 12_Hình ảnh &amp; Video</t>
        </is>
      </c>
      <c r="D119" s="114" t="inlineStr">
        <is>
          <t>BaoCao_ThuVien_CuaNhom/THƯ VIỆN HỆ NHÔM SAO VÀNG/12_Hình ảnh &amp; Video/Section_115.png</t>
        </is>
      </c>
    </row>
    <row r="120" ht="25" customHeight="1">
      <c r="A120" s="113">
        <f>'01_MASTER_DATABASE'!C117</f>
        <v/>
      </c>
      <c r="B120" s="114">
        <f>'01_MASTER_DATABASE'!D117</f>
        <v/>
      </c>
      <c r="C120" s="113" t="inlineStr">
        <is>
          <t>Thư mục 12_Hình ảnh &amp; Video</t>
        </is>
      </c>
      <c r="D120" s="114" t="inlineStr">
        <is>
          <t>BaoCao_ThuVien_CuaNhom/THƯ VIỆN HỆ NHÔM SAO VÀNG/12_Hình ảnh &amp; Video/Section_116.png</t>
        </is>
      </c>
    </row>
    <row r="121" ht="25" customHeight="1">
      <c r="A121" s="113">
        <f>'01_MASTER_DATABASE'!C118</f>
        <v/>
      </c>
      <c r="B121" s="114">
        <f>'01_MASTER_DATABASE'!D118</f>
        <v/>
      </c>
      <c r="C121" s="113" t="inlineStr">
        <is>
          <t>Thư mục 12_Hình ảnh &amp; Video</t>
        </is>
      </c>
      <c r="D121" s="114" t="inlineStr">
        <is>
          <t>BaoCao_ThuVien_CuaNhom/THƯ VIỆN HỆ NHÔM SAO VÀNG/12_Hình ảnh &amp; Video/Section_117.png</t>
        </is>
      </c>
    </row>
    <row r="122" ht="25" customHeight="1">
      <c r="A122" s="113">
        <f>'01_MASTER_DATABASE'!C119</f>
        <v/>
      </c>
      <c r="B122" s="114">
        <f>'01_MASTER_DATABASE'!D119</f>
        <v/>
      </c>
      <c r="C122" s="113" t="inlineStr">
        <is>
          <t>Thư mục 12_Hình ảnh &amp; Video</t>
        </is>
      </c>
      <c r="D122" s="114" t="inlineStr">
        <is>
          <t>BaoCao_ThuVien_CuaNhom/THƯ VIỆN HỆ NHÔM SAO VÀNG/12_Hình ảnh &amp; Video/Section_118.png</t>
        </is>
      </c>
    </row>
    <row r="123" ht="25" customHeight="1">
      <c r="A123" s="113">
        <f>'01_MASTER_DATABASE'!C120</f>
        <v/>
      </c>
      <c r="B123" s="114">
        <f>'01_MASTER_DATABASE'!D120</f>
        <v/>
      </c>
      <c r="C123" s="113" t="inlineStr">
        <is>
          <t>Thư mục 12_Hình ảnh &amp; Video</t>
        </is>
      </c>
      <c r="D123" s="114" t="inlineStr">
        <is>
          <t>BaoCao_ThuVien_CuaNhom/THƯ VIỆN HỆ NHÔM SAO VÀNG/12_Hình ảnh &amp; Video/Section_119.png</t>
        </is>
      </c>
    </row>
    <row r="124" ht="25" customHeight="1">
      <c r="A124" s="113">
        <f>'01_MASTER_DATABASE'!C121</f>
        <v/>
      </c>
      <c r="B124" s="114">
        <f>'01_MASTER_DATABASE'!D121</f>
        <v/>
      </c>
      <c r="C124" s="113" t="inlineStr">
        <is>
          <t>Thư mục 12_Hình ảnh &amp; Video</t>
        </is>
      </c>
      <c r="D124" s="114" t="inlineStr">
        <is>
          <t>BaoCao_ThuVien_CuaNhom/THƯ VIỆN HỆ NHÔM SAO VÀNG/12_Hình ảnh &amp; Video/Section_120.png</t>
        </is>
      </c>
    </row>
    <row r="125" ht="25" customHeight="1">
      <c r="A125" s="113">
        <f>'01_MASTER_DATABASE'!C122</f>
        <v/>
      </c>
      <c r="B125" s="114">
        <f>'01_MASTER_DATABASE'!D122</f>
        <v/>
      </c>
      <c r="C125" s="113" t="inlineStr">
        <is>
          <t>Thư mục 12_Hình ảnh &amp; Video</t>
        </is>
      </c>
      <c r="D125" s="114" t="inlineStr">
        <is>
          <t>BaoCao_ThuVien_CuaNhom/THƯ VIỆN HỆ NHÔM SAO VÀNG/12_Hình ảnh &amp; Video/Section_121.png</t>
        </is>
      </c>
    </row>
    <row r="126" ht="25" customHeight="1">
      <c r="A126" s="113">
        <f>'01_MASTER_DATABASE'!C123</f>
        <v/>
      </c>
      <c r="B126" s="114">
        <f>'01_MASTER_DATABASE'!D123</f>
        <v/>
      </c>
      <c r="C126" s="113" t="inlineStr">
        <is>
          <t>Thư mục 12_Hình ảnh &amp; Video</t>
        </is>
      </c>
      <c r="D126" s="114" t="inlineStr">
        <is>
          <t>BaoCao_ThuVien_CuaNhom/THƯ VIỆN HỆ NHÔM SAO VÀNG/12_Hình ảnh &amp; Video/Section_122.png</t>
        </is>
      </c>
    </row>
    <row r="127" ht="25" customHeight="1">
      <c r="A127" s="113">
        <f>'01_MASTER_DATABASE'!C124</f>
        <v/>
      </c>
      <c r="B127" s="114">
        <f>'01_MASTER_DATABASE'!D124</f>
        <v/>
      </c>
      <c r="C127" s="113" t="inlineStr">
        <is>
          <t>Thư mục 12_Hình ảnh &amp; Video</t>
        </is>
      </c>
      <c r="D127" s="114" t="inlineStr">
        <is>
          <t>BaoCao_ThuVien_CuaNhom/THƯ VIỆN HỆ NHÔM SAO VÀNG/12_Hình ảnh &amp; Video/Section_123.png</t>
        </is>
      </c>
    </row>
    <row r="128" ht="25" customHeight="1">
      <c r="A128" s="113">
        <f>'01_MASTER_DATABASE'!C125</f>
        <v/>
      </c>
      <c r="B128" s="114">
        <f>'01_MASTER_DATABASE'!D125</f>
        <v/>
      </c>
      <c r="C128" s="113" t="inlineStr">
        <is>
          <t>Thư mục 12_Hình ảnh &amp; Video</t>
        </is>
      </c>
      <c r="D128" s="114" t="inlineStr">
        <is>
          <t>BaoCao_ThuVien_CuaNhom/THƯ VIỆN HỆ NHÔM SAO VÀNG/12_Hình ảnh &amp; Video/Section_124.png</t>
        </is>
      </c>
    </row>
    <row r="129" ht="25" customHeight="1">
      <c r="A129" s="113">
        <f>'01_MASTER_DATABASE'!C126</f>
        <v/>
      </c>
      <c r="B129" s="114">
        <f>'01_MASTER_DATABASE'!D126</f>
        <v/>
      </c>
      <c r="C129" s="113" t="inlineStr">
        <is>
          <t>Thư mục 12_Hình ảnh &amp; Video</t>
        </is>
      </c>
      <c r="D129" s="114" t="inlineStr">
        <is>
          <t>BaoCao_ThuVien_CuaNhom/THƯ VIỆN HỆ NHÔM SAO VÀNG/12_Hình ảnh &amp; Video/Section_125.png</t>
        </is>
      </c>
    </row>
    <row r="130" ht="25" customHeight="1">
      <c r="A130" s="113">
        <f>'01_MASTER_DATABASE'!C127</f>
        <v/>
      </c>
      <c r="B130" s="114">
        <f>'01_MASTER_DATABASE'!D127</f>
        <v/>
      </c>
      <c r="C130" s="113" t="inlineStr">
        <is>
          <t>Thư mục 12_Hình ảnh &amp; Video</t>
        </is>
      </c>
      <c r="D130" s="114" t="inlineStr">
        <is>
          <t>BaoCao_ThuVien_CuaNhom/THƯ VIỆN HỆ NHÔM SAO VÀNG/12_Hình ảnh &amp; Video/Section_126.png</t>
        </is>
      </c>
    </row>
    <row r="131" ht="25" customHeight="1">
      <c r="A131" s="113">
        <f>'01_MASTER_DATABASE'!C128</f>
        <v/>
      </c>
      <c r="B131" s="114">
        <f>'01_MASTER_DATABASE'!D128</f>
        <v/>
      </c>
      <c r="C131" s="113" t="inlineStr">
        <is>
          <t>Thư mục 12_Hình ảnh &amp; Video</t>
        </is>
      </c>
      <c r="D131" s="114" t="inlineStr">
        <is>
          <t>BaoCao_ThuVien_CuaNhom/THƯ VIỆN HỆ NHÔM SAO VÀNG/12_Hình ảnh &amp; Video/Section_127.png</t>
        </is>
      </c>
    </row>
    <row r="132" ht="25" customHeight="1">
      <c r="A132" s="113">
        <f>'01_MASTER_DATABASE'!C129</f>
        <v/>
      </c>
      <c r="B132" s="114">
        <f>'01_MASTER_DATABASE'!D129</f>
        <v/>
      </c>
      <c r="C132" s="113" t="inlineStr">
        <is>
          <t>Thư mục 12_Hình ảnh &amp; Video</t>
        </is>
      </c>
      <c r="D132" s="114" t="inlineStr">
        <is>
          <t>BaoCao_ThuVien_CuaNhom/THƯ VIỆN HỆ NHÔM SAO VÀNG/12_Hình ảnh &amp; Video/Section_128.png</t>
        </is>
      </c>
    </row>
    <row r="133" ht="25" customHeight="1">
      <c r="A133" s="113">
        <f>'01_MASTER_DATABASE'!C130</f>
        <v/>
      </c>
      <c r="B133" s="114">
        <f>'01_MASTER_DATABASE'!D130</f>
        <v/>
      </c>
      <c r="C133" s="113" t="inlineStr">
        <is>
          <t>Thư mục 12_Hình ảnh &amp; Video</t>
        </is>
      </c>
      <c r="D133" s="114" t="inlineStr">
        <is>
          <t>BaoCao_ThuVien_CuaNhom/THƯ VIỆN HỆ NHÔM SAO VÀNG/12_Hình ảnh &amp; Video/Section_129.png</t>
        </is>
      </c>
    </row>
    <row r="134" ht="25" customHeight="1">
      <c r="A134" s="113">
        <f>'01_MASTER_DATABASE'!C131</f>
        <v/>
      </c>
      <c r="B134" s="114">
        <f>'01_MASTER_DATABASE'!D131</f>
        <v/>
      </c>
      <c r="C134" s="113" t="inlineStr">
        <is>
          <t>Thư mục 12_Hình ảnh &amp; Video</t>
        </is>
      </c>
      <c r="D134" s="114" t="inlineStr">
        <is>
          <t>BaoCao_ThuVien_CuaNhom/THƯ VIỆN HỆ NHÔM SAO VÀNG/12_Hình ảnh &amp; Video/Section_130.png</t>
        </is>
      </c>
    </row>
    <row r="135" ht="25" customHeight="1">
      <c r="A135" s="113">
        <f>'01_MASTER_DATABASE'!C132</f>
        <v/>
      </c>
      <c r="B135" s="114">
        <f>'01_MASTER_DATABASE'!D132</f>
        <v/>
      </c>
      <c r="C135" s="113" t="inlineStr">
        <is>
          <t>Thư mục 12_Hình ảnh &amp; Video</t>
        </is>
      </c>
      <c r="D135" s="114" t="inlineStr">
        <is>
          <t>BaoCao_ThuVien_CuaNhom/THƯ VIỆN HỆ NHÔM SAO VÀNG/12_Hình ảnh &amp; Video/Section_131.png</t>
        </is>
      </c>
    </row>
    <row r="136" ht="25" customHeight="1">
      <c r="A136" s="113">
        <f>'01_MASTER_DATABASE'!C133</f>
        <v/>
      </c>
      <c r="B136" s="114">
        <f>'01_MASTER_DATABASE'!D133</f>
        <v/>
      </c>
      <c r="C136" s="113" t="inlineStr">
        <is>
          <t>Thư mục 12_Hình ảnh &amp; Video</t>
        </is>
      </c>
      <c r="D136" s="114" t="inlineStr">
        <is>
          <t>BaoCao_ThuVien_CuaNhom/THƯ VIỆN HỆ NHÔM SAO VÀNG/12_Hình ảnh &amp; Video/Section_132.png</t>
        </is>
      </c>
    </row>
    <row r="137" ht="25" customHeight="1">
      <c r="A137" s="113">
        <f>'01_MASTER_DATABASE'!C134</f>
        <v/>
      </c>
      <c r="B137" s="114">
        <f>'01_MASTER_DATABASE'!D134</f>
        <v/>
      </c>
      <c r="C137" s="113" t="inlineStr">
        <is>
          <t>Thư mục 12_Hình ảnh &amp; Video</t>
        </is>
      </c>
      <c r="D137" s="114" t="inlineStr">
        <is>
          <t>BaoCao_ThuVien_CuaNhom/THƯ VIỆN HỆ NHÔM SAO VÀNG/12_Hình ảnh &amp; Video/Section_133.png</t>
        </is>
      </c>
    </row>
    <row r="138" ht="25" customHeight="1">
      <c r="A138" s="113">
        <f>'01_MASTER_DATABASE'!C135</f>
        <v/>
      </c>
      <c r="B138" s="114">
        <f>'01_MASTER_DATABASE'!D135</f>
        <v/>
      </c>
      <c r="C138" s="113" t="inlineStr">
        <is>
          <t>Thư mục 12_Hình ảnh &amp; Video</t>
        </is>
      </c>
      <c r="D138" s="114" t="inlineStr">
        <is>
          <t>BaoCao_ThuVien_CuaNhom/THƯ VIỆN HỆ NHÔM SAO VÀNG/12_Hình ảnh &amp; Video/Section_134.png</t>
        </is>
      </c>
    </row>
    <row r="139" ht="25" customHeight="1">
      <c r="A139" s="113">
        <f>'01_MASTER_DATABASE'!C136</f>
        <v/>
      </c>
      <c r="B139" s="114">
        <f>'01_MASTER_DATABASE'!D136</f>
        <v/>
      </c>
      <c r="C139" s="113" t="inlineStr">
        <is>
          <t>Thư mục 12_Hình ảnh &amp; Video</t>
        </is>
      </c>
      <c r="D139" s="114" t="inlineStr">
        <is>
          <t>BaoCao_ThuVien_CuaNhom/THƯ VIỆN HỆ NHÔM SAO VÀNG/12_Hình ảnh &amp; Video/Section_135.png</t>
        </is>
      </c>
    </row>
    <row r="140" ht="25" customHeight="1">
      <c r="A140" s="113">
        <f>'01_MASTER_DATABASE'!C137</f>
        <v/>
      </c>
      <c r="B140" s="114">
        <f>'01_MASTER_DATABASE'!D137</f>
        <v/>
      </c>
      <c r="C140" s="113" t="inlineStr">
        <is>
          <t>Thư mục 12_Hình ảnh &amp; Video</t>
        </is>
      </c>
      <c r="D140" s="114" t="inlineStr">
        <is>
          <t>BaoCao_ThuVien_CuaNhom/THƯ VIỆN HỆ NHÔM SAO VÀNG/12_Hình ảnh &amp; Video/Section_136.png</t>
        </is>
      </c>
    </row>
    <row r="141" ht="25" customHeight="1">
      <c r="A141" s="113">
        <f>'01_MASTER_DATABASE'!C138</f>
        <v/>
      </c>
      <c r="B141" s="114">
        <f>'01_MASTER_DATABASE'!D138</f>
        <v/>
      </c>
      <c r="C141" s="113" t="inlineStr">
        <is>
          <t>Thư mục 12_Hình ảnh &amp; Video</t>
        </is>
      </c>
      <c r="D141" s="114" t="inlineStr">
        <is>
          <t>BaoCao_ThuVien_CuaNhom/THƯ VIỆN HỆ NHÔM SAO VÀNG/12_Hình ảnh &amp; Video/Section_137.png</t>
        </is>
      </c>
    </row>
    <row r="142" ht="25" customHeight="1">
      <c r="A142" s="113">
        <f>'01_MASTER_DATABASE'!C139</f>
        <v/>
      </c>
      <c r="B142" s="114">
        <f>'01_MASTER_DATABASE'!D139</f>
        <v/>
      </c>
      <c r="C142" s="113" t="inlineStr">
        <is>
          <t>Thư mục 12_Hình ảnh &amp; Video</t>
        </is>
      </c>
      <c r="D142" s="114" t="inlineStr">
        <is>
          <t>BaoCao_ThuVien_CuaNhom/THƯ VIỆN HỆ NHÔM SAO VÀNG/12_Hình ảnh &amp; Video/Section_138.png</t>
        </is>
      </c>
    </row>
    <row r="143" ht="25" customHeight="1">
      <c r="A143" s="113">
        <f>'01_MASTER_DATABASE'!C140</f>
        <v/>
      </c>
      <c r="B143" s="114">
        <f>'01_MASTER_DATABASE'!D140</f>
        <v/>
      </c>
      <c r="C143" s="113" t="inlineStr">
        <is>
          <t>Thư mục 12_Hình ảnh &amp; Video</t>
        </is>
      </c>
      <c r="D143" s="114" t="inlineStr">
        <is>
          <t>BaoCao_ThuVien_CuaNhom/THƯ VIỆN HỆ NHÔM SAO VÀNG/12_Hình ảnh &amp; Video/Section_139.png</t>
        </is>
      </c>
    </row>
    <row r="144" ht="25" customHeight="1">
      <c r="A144" s="113">
        <f>'01_MASTER_DATABASE'!C141</f>
        <v/>
      </c>
      <c r="B144" s="114">
        <f>'01_MASTER_DATABASE'!D141</f>
        <v/>
      </c>
      <c r="C144" s="113" t="inlineStr">
        <is>
          <t>Thư mục 12_Hình ảnh &amp; Video</t>
        </is>
      </c>
      <c r="D144" s="114" t="inlineStr">
        <is>
          <t>BaoCao_ThuVien_CuaNhom/THƯ VIỆN HỆ NHÔM SAO VÀNG/12_Hình ảnh &amp; Video/Section_140.png</t>
        </is>
      </c>
    </row>
    <row r="145" ht="25" customHeight="1">
      <c r="A145" s="113">
        <f>'01_MASTER_DATABASE'!C142</f>
        <v/>
      </c>
      <c r="B145" s="114">
        <f>'01_MASTER_DATABASE'!D142</f>
        <v/>
      </c>
      <c r="C145" s="113" t="inlineStr">
        <is>
          <t>Thư mục 12_Hình ảnh &amp; Video</t>
        </is>
      </c>
      <c r="D145" s="114" t="inlineStr">
        <is>
          <t>BaoCao_ThuVien_CuaNhom/THƯ VIỆN HỆ NHÔM SAO VÀNG/12_Hình ảnh &amp; Video/Section_141.png</t>
        </is>
      </c>
    </row>
    <row r="146" ht="25" customHeight="1">
      <c r="A146" s="113">
        <f>'01_MASTER_DATABASE'!C143</f>
        <v/>
      </c>
      <c r="B146" s="114">
        <f>'01_MASTER_DATABASE'!D143</f>
        <v/>
      </c>
      <c r="C146" s="113" t="inlineStr">
        <is>
          <t>Thư mục 12_Hình ảnh &amp; Video</t>
        </is>
      </c>
      <c r="D146" s="114" t="inlineStr">
        <is>
          <t>BaoCao_ThuVien_CuaNhom/THƯ VIỆN HỆ NHÔM SAO VÀNG/12_Hình ảnh &amp; Video/Section_142.png</t>
        </is>
      </c>
    </row>
    <row r="147" ht="25" customHeight="1">
      <c r="A147" s="113">
        <f>'01_MASTER_DATABASE'!C144</f>
        <v/>
      </c>
      <c r="B147" s="114">
        <f>'01_MASTER_DATABASE'!D144</f>
        <v/>
      </c>
      <c r="C147" s="113" t="inlineStr">
        <is>
          <t>Thư mục 12_Hình ảnh &amp; Video</t>
        </is>
      </c>
      <c r="D147" s="114" t="inlineStr">
        <is>
          <t>BaoCao_ThuVien_CuaNhom/THƯ VIỆN HỆ NHÔM SAO VÀNG/12_Hình ảnh &amp; Video/Section_143.png</t>
        </is>
      </c>
    </row>
    <row r="148" ht="25" customHeight="1">
      <c r="A148" s="113">
        <f>'01_MASTER_DATABASE'!C145</f>
        <v/>
      </c>
      <c r="B148" s="114">
        <f>'01_MASTER_DATABASE'!D145</f>
        <v/>
      </c>
      <c r="C148" s="113" t="inlineStr">
        <is>
          <t>Thư mục 12_Hình ảnh &amp; Video</t>
        </is>
      </c>
      <c r="D148" s="114" t="inlineStr">
        <is>
          <t>BaoCao_ThuVien_CuaNhom/THƯ VIỆN HỆ NHÔM SAO VÀNG/12_Hình ảnh &amp; Video/Section_144.png</t>
        </is>
      </c>
    </row>
    <row r="149" ht="25" customHeight="1">
      <c r="A149" s="113">
        <f>'01_MASTER_DATABASE'!C146</f>
        <v/>
      </c>
      <c r="B149" s="114">
        <f>'01_MASTER_DATABASE'!D146</f>
        <v/>
      </c>
      <c r="C149" s="113" t="inlineStr">
        <is>
          <t>Thư mục 12_Hình ảnh &amp; Video</t>
        </is>
      </c>
      <c r="D149" s="114" t="inlineStr">
        <is>
          <t>BaoCao_ThuVien_CuaNhom/THƯ VIỆN HỆ NHÔM SAO VÀNG/12_Hình ảnh &amp; Video/Section_145.png</t>
        </is>
      </c>
    </row>
    <row r="150" ht="25" customHeight="1">
      <c r="A150" s="113">
        <f>'01_MASTER_DATABASE'!C147</f>
        <v/>
      </c>
      <c r="B150" s="114">
        <f>'01_MASTER_DATABASE'!D147</f>
        <v/>
      </c>
      <c r="C150" s="113" t="inlineStr">
        <is>
          <t>Thư mục 12_Hình ảnh &amp; Video</t>
        </is>
      </c>
      <c r="D150" s="114" t="inlineStr">
        <is>
          <t>BaoCao_ThuVien_CuaNhom/THƯ VIỆN HỆ NHÔM SAO VÀNG/12_Hình ảnh &amp; Video/Section_146.png</t>
        </is>
      </c>
    </row>
    <row r="151" ht="25" customHeight="1">
      <c r="A151" s="113">
        <f>'01_MASTER_DATABASE'!C148</f>
        <v/>
      </c>
      <c r="B151" s="114">
        <f>'01_MASTER_DATABASE'!D148</f>
        <v/>
      </c>
      <c r="C151" s="113" t="inlineStr">
        <is>
          <t>Thư mục 12_Hình ảnh &amp; Video</t>
        </is>
      </c>
      <c r="D151" s="114" t="inlineStr">
        <is>
          <t>BaoCao_ThuVien_CuaNhom/THƯ VIỆN HỆ NHÔM SAO VÀNG/12_Hình ảnh &amp; Video/Section_147.png</t>
        </is>
      </c>
    </row>
    <row r="152" ht="25" customHeight="1">
      <c r="A152" s="113">
        <f>'01_MASTER_DATABASE'!C149</f>
        <v/>
      </c>
      <c r="B152" s="114">
        <f>'01_MASTER_DATABASE'!D149</f>
        <v/>
      </c>
      <c r="C152" s="113" t="inlineStr">
        <is>
          <t>Thư mục 12_Hình ảnh &amp; Video</t>
        </is>
      </c>
      <c r="D152" s="114" t="inlineStr">
        <is>
          <t>BaoCao_ThuVien_CuaNhom/THƯ VIỆN HỆ NHÔM SAO VÀNG/12_Hình ảnh &amp; Video/Section_148.png</t>
        </is>
      </c>
    </row>
    <row r="153" ht="25" customHeight="1">
      <c r="A153" s="113">
        <f>'01_MASTER_DATABASE'!C150</f>
        <v/>
      </c>
      <c r="B153" s="114">
        <f>'01_MASTER_DATABASE'!D150</f>
        <v/>
      </c>
      <c r="C153" s="113" t="inlineStr">
        <is>
          <t>Thư mục 12_Hình ảnh &amp; Video</t>
        </is>
      </c>
      <c r="D153" s="114" t="inlineStr">
        <is>
          <t>BaoCao_ThuVien_CuaNhom/THƯ VIỆN HỆ NHÔM SAO VÀNG/12_Hình ảnh &amp; Video/Section_149.png</t>
        </is>
      </c>
    </row>
    <row r="154" ht="25" customHeight="1">
      <c r="A154" s="113">
        <f>'01_MASTER_DATABASE'!C151</f>
        <v/>
      </c>
      <c r="B154" s="114">
        <f>'01_MASTER_DATABASE'!D151</f>
        <v/>
      </c>
      <c r="C154" s="113" t="inlineStr">
        <is>
          <t>Thư mục 12_Hình ảnh &amp; Video</t>
        </is>
      </c>
      <c r="D154" s="114" t="inlineStr">
        <is>
          <t>BaoCao_ThuVien_CuaNhom/THƯ VIỆN HỆ NHÔM SAO VÀNG/12_Hình ảnh &amp; Video/Section_150.png</t>
        </is>
      </c>
    </row>
    <row r="155" ht="25" customHeight="1">
      <c r="A155" s="113">
        <f>'01_MASTER_DATABASE'!C152</f>
        <v/>
      </c>
      <c r="B155" s="114">
        <f>'01_MASTER_DATABASE'!D152</f>
        <v/>
      </c>
      <c r="C155" s="113" t="inlineStr">
        <is>
          <t>Thư mục 12_Hình ảnh &amp; Video</t>
        </is>
      </c>
      <c r="D155" s="114" t="inlineStr">
        <is>
          <t>BaoCao_ThuVien_CuaNhom/THƯ VIỆN HỆ NHÔM SAO VÀNG/12_Hình ảnh &amp; Video/Section_151.png</t>
        </is>
      </c>
    </row>
    <row r="156" ht="25" customHeight="1">
      <c r="A156" s="113">
        <f>'01_MASTER_DATABASE'!C153</f>
        <v/>
      </c>
      <c r="B156" s="114">
        <f>'01_MASTER_DATABASE'!D153</f>
        <v/>
      </c>
      <c r="C156" s="113" t="inlineStr">
        <is>
          <t>Thư mục 12_Hình ảnh &amp; Video</t>
        </is>
      </c>
      <c r="D156" s="114" t="inlineStr">
        <is>
          <t>BaoCao_ThuVien_CuaNhom/THƯ VIỆN HỆ NHÔM SAO VÀNG/12_Hình ảnh &amp; Video/Section_152.png</t>
        </is>
      </c>
    </row>
    <row r="157" ht="25" customHeight="1">
      <c r="A157" s="113">
        <f>'01_MASTER_DATABASE'!C154</f>
        <v/>
      </c>
      <c r="B157" s="114">
        <f>'01_MASTER_DATABASE'!D154</f>
        <v/>
      </c>
      <c r="C157" s="113" t="inlineStr">
        <is>
          <t>Thư mục 12_Hình ảnh &amp; Video</t>
        </is>
      </c>
      <c r="D157" s="114" t="inlineStr">
        <is>
          <t>BaoCao_ThuVien_CuaNhom/THƯ VIỆN HỆ NHÔM SAO VÀNG/12_Hình ảnh &amp; Video/Section_153.png</t>
        </is>
      </c>
    </row>
    <row r="158" ht="25" customHeight="1">
      <c r="A158" s="113">
        <f>'01_MASTER_DATABASE'!C155</f>
        <v/>
      </c>
      <c r="B158" s="114">
        <f>'01_MASTER_DATABASE'!D155</f>
        <v/>
      </c>
      <c r="C158" s="113" t="inlineStr">
        <is>
          <t>Thư mục 12_Hình ảnh &amp; Video</t>
        </is>
      </c>
      <c r="D158" s="114" t="inlineStr">
        <is>
          <t>BaoCao_ThuVien_CuaNhom/THƯ VIỆN HỆ NHÔM SAO VÀNG/12_Hình ảnh &amp; Video/Section_154.png</t>
        </is>
      </c>
    </row>
    <row r="159" ht="25" customHeight="1">
      <c r="A159" s="113">
        <f>'01_MASTER_DATABASE'!C156</f>
        <v/>
      </c>
      <c r="B159" s="114">
        <f>'01_MASTER_DATABASE'!D156</f>
        <v/>
      </c>
      <c r="C159" s="113" t="inlineStr">
        <is>
          <t>Thư mục 12_Hình ảnh &amp; Video</t>
        </is>
      </c>
      <c r="D159" s="114" t="inlineStr">
        <is>
          <t>BaoCao_ThuVien_CuaNhom/THƯ VIỆN HỆ NHÔM SAO VÀNG/12_Hình ảnh &amp; Video/Section_155.png</t>
        </is>
      </c>
    </row>
    <row r="160" ht="25" customHeight="1">
      <c r="A160" s="113">
        <f>'01_MASTER_DATABASE'!C157</f>
        <v/>
      </c>
      <c r="B160" s="114">
        <f>'01_MASTER_DATABASE'!D157</f>
        <v/>
      </c>
      <c r="C160" s="113" t="inlineStr">
        <is>
          <t>Thư mục 12_Hình ảnh &amp; Video</t>
        </is>
      </c>
      <c r="D160" s="114" t="inlineStr">
        <is>
          <t>BaoCao_ThuVien_CuaNhom/THƯ VIỆN HỆ NHÔM SAO VÀNG/12_Hình ảnh &amp; Video/Section_156.png</t>
        </is>
      </c>
    </row>
    <row r="161" ht="25" customHeight="1">
      <c r="A161" s="113">
        <f>'01_MASTER_DATABASE'!C158</f>
        <v/>
      </c>
      <c r="B161" s="114">
        <f>'01_MASTER_DATABASE'!D158</f>
        <v/>
      </c>
      <c r="C161" s="113" t="inlineStr">
        <is>
          <t>Thư mục 12_Hình ảnh &amp; Video</t>
        </is>
      </c>
      <c r="D161" s="114" t="inlineStr">
        <is>
          <t>BaoCao_ThuVien_CuaNhom/THƯ VIỆN HỆ NHÔM SAO VÀNG/12_Hình ảnh &amp; Video/Section_157.png</t>
        </is>
      </c>
    </row>
    <row r="162" ht="25" customHeight="1">
      <c r="A162" s="113">
        <f>'01_MASTER_DATABASE'!C159</f>
        <v/>
      </c>
      <c r="B162" s="114">
        <f>'01_MASTER_DATABASE'!D159</f>
        <v/>
      </c>
      <c r="C162" s="113" t="inlineStr">
        <is>
          <t>Thư mục 12_Hình ảnh &amp; Video</t>
        </is>
      </c>
      <c r="D162" s="114" t="inlineStr">
        <is>
          <t>BaoCao_ThuVien_CuaNhom/THƯ VIỆN HỆ NHÔM SAO VÀNG/12_Hình ảnh &amp; Video/Section_158.png</t>
        </is>
      </c>
    </row>
    <row r="163" ht="25" customHeight="1">
      <c r="A163" s="113">
        <f>'01_MASTER_DATABASE'!C160</f>
        <v/>
      </c>
      <c r="B163" s="114">
        <f>'01_MASTER_DATABASE'!D160</f>
        <v/>
      </c>
      <c r="C163" s="113" t="inlineStr">
        <is>
          <t>Thư mục 12_Hình ảnh &amp; Video</t>
        </is>
      </c>
      <c r="D163" s="114" t="inlineStr">
        <is>
          <t>BaoCao_ThuVien_CuaNhom/THƯ VIỆN HỆ NHÔM SAO VÀNG/12_Hình ảnh &amp; Video/Section_159.png</t>
        </is>
      </c>
    </row>
    <row r="164" ht="25" customHeight="1">
      <c r="A164" s="113">
        <f>'01_MASTER_DATABASE'!C161</f>
        <v/>
      </c>
      <c r="B164" s="114">
        <f>'01_MASTER_DATABASE'!D161</f>
        <v/>
      </c>
      <c r="C164" s="113" t="inlineStr">
        <is>
          <t>Thư mục 12_Hình ảnh &amp; Video</t>
        </is>
      </c>
      <c r="D164" s="114" t="inlineStr">
        <is>
          <t>BaoCao_ThuVien_CuaNhom/THƯ VIỆN HỆ NHÔM SAO VÀNG/12_Hình ảnh &amp; Video/Section_160.png</t>
        </is>
      </c>
    </row>
    <row r="165" ht="25" customHeight="1">
      <c r="A165" s="113">
        <f>'01_MASTER_DATABASE'!C162</f>
        <v/>
      </c>
      <c r="B165" s="114">
        <f>'01_MASTER_DATABASE'!D162</f>
        <v/>
      </c>
      <c r="C165" s="113" t="inlineStr">
        <is>
          <t>Thư mục 12_Hình ảnh &amp; Video</t>
        </is>
      </c>
      <c r="D165" s="114" t="inlineStr">
        <is>
          <t>BaoCao_ThuVien_CuaNhom/THƯ VIỆN HỆ NHÔM SAO VÀNG/12_Hình ảnh &amp; Video/Section_161.png</t>
        </is>
      </c>
    </row>
    <row r="166" ht="25" customHeight="1">
      <c r="A166" s="113">
        <f>'01_MASTER_DATABASE'!C163</f>
        <v/>
      </c>
      <c r="B166" s="114">
        <f>'01_MASTER_DATABASE'!D163</f>
        <v/>
      </c>
      <c r="C166" s="113" t="inlineStr">
        <is>
          <t>Thư mục 12_Hình ảnh &amp; Video</t>
        </is>
      </c>
      <c r="D166" s="114" t="inlineStr">
        <is>
          <t>BaoCao_ThuVien_CuaNhom/THƯ VIỆN HỆ NHÔM SAO VÀNG/12_Hình ảnh &amp; Video/Section_162.png</t>
        </is>
      </c>
    </row>
    <row r="167" ht="25" customHeight="1">
      <c r="A167" s="113">
        <f>'01_MASTER_DATABASE'!C164</f>
        <v/>
      </c>
      <c r="B167" s="114">
        <f>'01_MASTER_DATABASE'!D164</f>
        <v/>
      </c>
      <c r="C167" s="113" t="inlineStr">
        <is>
          <t>Thư mục 12_Hình ảnh &amp; Video</t>
        </is>
      </c>
      <c r="D167" s="114" t="inlineStr">
        <is>
          <t>BaoCao_ThuVien_CuaNhom/THƯ VIỆN HỆ NHÔM SAO VÀNG/12_Hình ảnh &amp; Video/Section_163.png</t>
        </is>
      </c>
    </row>
    <row r="168" ht="25" customHeight="1">
      <c r="A168" s="113">
        <f>'01_MASTER_DATABASE'!C165</f>
        <v/>
      </c>
      <c r="B168" s="114">
        <f>'01_MASTER_DATABASE'!D165</f>
        <v/>
      </c>
      <c r="C168" s="113" t="inlineStr">
        <is>
          <t>Thư mục 12_Hình ảnh &amp; Video</t>
        </is>
      </c>
      <c r="D168" s="114" t="inlineStr">
        <is>
          <t>BaoCao_ThuVien_CuaNhom/THƯ VIỆN HỆ NHÔM SAO VÀNG/12_Hình ảnh &amp; Video/Section_164.png</t>
        </is>
      </c>
    </row>
    <row r="169" ht="25" customHeight="1">
      <c r="A169" s="113">
        <f>'01_MASTER_DATABASE'!C166</f>
        <v/>
      </c>
      <c r="B169" s="114">
        <f>'01_MASTER_DATABASE'!D166</f>
        <v/>
      </c>
      <c r="C169" s="113" t="inlineStr">
        <is>
          <t>Thư mục 12_Hình ảnh &amp; Video</t>
        </is>
      </c>
      <c r="D169" s="114" t="inlineStr">
        <is>
          <t>BaoCao_ThuVien_CuaNhom/THƯ VIỆN HỆ NHÔM SAO VÀNG/12_Hình ảnh &amp; Video/Section_165.png</t>
        </is>
      </c>
    </row>
    <row r="170" ht="25" customHeight="1">
      <c r="A170" s="113">
        <f>'01_MASTER_DATABASE'!C167</f>
        <v/>
      </c>
      <c r="B170" s="114">
        <f>'01_MASTER_DATABASE'!D167</f>
        <v/>
      </c>
      <c r="C170" s="113" t="inlineStr">
        <is>
          <t>Thư mục 12_Hình ảnh &amp; Video</t>
        </is>
      </c>
      <c r="D170" s="114" t="inlineStr">
        <is>
          <t>BaoCao_ThuVien_CuaNhom/THƯ VIỆN HỆ NHÔM SAO VÀNG/12_Hình ảnh &amp; Video/Section_166.png</t>
        </is>
      </c>
    </row>
    <row r="171" ht="25" customHeight="1">
      <c r="A171" s="113">
        <f>'01_MASTER_DATABASE'!C168</f>
        <v/>
      </c>
      <c r="B171" s="114">
        <f>'01_MASTER_DATABASE'!D168</f>
        <v/>
      </c>
      <c r="C171" s="113" t="inlineStr">
        <is>
          <t>Thư mục 12_Hình ảnh &amp; Video</t>
        </is>
      </c>
      <c r="D171" s="114" t="inlineStr">
        <is>
          <t>BaoCao_ThuVien_CuaNhom/THƯ VIỆN HỆ NHÔM SAO VÀNG/12_Hình ảnh &amp; Video/Section_167.png</t>
        </is>
      </c>
    </row>
    <row r="172" ht="25" customHeight="1">
      <c r="A172" s="113">
        <f>'01_MASTER_DATABASE'!C169</f>
        <v/>
      </c>
      <c r="B172" s="114">
        <f>'01_MASTER_DATABASE'!D169</f>
        <v/>
      </c>
      <c r="C172" s="113" t="inlineStr">
        <is>
          <t>Thư mục 12_Hình ảnh &amp; Video</t>
        </is>
      </c>
      <c r="D172" s="114" t="inlineStr">
        <is>
          <t>BaoCao_ThuVien_CuaNhom/THƯ VIỆN HỆ NHÔM SAO VÀNG/12_Hình ảnh &amp; Video/Section_168.png</t>
        </is>
      </c>
    </row>
    <row r="173" ht="25" customHeight="1">
      <c r="A173" s="113">
        <f>'01_MASTER_DATABASE'!C170</f>
        <v/>
      </c>
      <c r="B173" s="114">
        <f>'01_MASTER_DATABASE'!D170</f>
        <v/>
      </c>
      <c r="C173" s="113" t="inlineStr">
        <is>
          <t>Thư mục 12_Hình ảnh &amp; Video</t>
        </is>
      </c>
      <c r="D173" s="114" t="inlineStr">
        <is>
          <t>BaoCao_ThuVien_CuaNhom/THƯ VIỆN HỆ NHÔM SAO VÀNG/12_Hình ảnh &amp; Video/Section_169.png</t>
        </is>
      </c>
    </row>
    <row r="174" ht="25" customHeight="1">
      <c r="A174" s="113">
        <f>'01_MASTER_DATABASE'!C171</f>
        <v/>
      </c>
      <c r="B174" s="114">
        <f>'01_MASTER_DATABASE'!D171</f>
        <v/>
      </c>
      <c r="C174" s="113" t="inlineStr">
        <is>
          <t>Thư mục 12_Hình ảnh &amp; Video</t>
        </is>
      </c>
      <c r="D174" s="114" t="inlineStr">
        <is>
          <t>BaoCao_ThuVien_CuaNhom/THƯ VIỆN HỆ NHÔM SAO VÀNG/12_Hình ảnh &amp; Video/Section_170.png</t>
        </is>
      </c>
    </row>
    <row r="175" ht="25" customHeight="1">
      <c r="A175" s="113">
        <f>'01_MASTER_DATABASE'!C172</f>
        <v/>
      </c>
      <c r="B175" s="114">
        <f>'01_MASTER_DATABASE'!D172</f>
        <v/>
      </c>
      <c r="C175" s="113" t="inlineStr">
        <is>
          <t>Thư mục 12_Hình ảnh &amp; Video</t>
        </is>
      </c>
      <c r="D175" s="114" t="inlineStr">
        <is>
          <t>BaoCao_ThuVien_CuaNhom/THƯ VIỆN HỆ NHÔM SAO VÀNG/12_Hình ảnh &amp; Video/Section_171.png</t>
        </is>
      </c>
    </row>
    <row r="176" ht="25" customHeight="1">
      <c r="A176" s="113">
        <f>'01_MASTER_DATABASE'!C173</f>
        <v/>
      </c>
      <c r="B176" s="114">
        <f>'01_MASTER_DATABASE'!D173</f>
        <v/>
      </c>
      <c r="C176" s="113" t="inlineStr">
        <is>
          <t>Thư mục 12_Hình ảnh &amp; Video</t>
        </is>
      </c>
      <c r="D176" s="114" t="inlineStr">
        <is>
          <t>BaoCao_ThuVien_CuaNhom/THƯ VIỆN HỆ NHÔM SAO VÀNG/12_Hình ảnh &amp; Video/Section_172.png</t>
        </is>
      </c>
    </row>
  </sheetData>
  <mergeCells count="1">
    <mergeCell ref="A1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35" customWidth="1" min="7" max="7"/>
  </cols>
  <sheetData>
    <row r="1" ht="20" customHeight="1">
      <c r="A1" s="109" t="inlineStr">
        <is>
          <t>BẢNG ĐÁNH GIÁ ĐẶC QUYỀN NỘI BỘ SAO VÀNG GROUP</t>
        </is>
      </c>
    </row>
    <row r="2" ht="20" customHeight="1"/>
    <row r="4" ht="30" customHeight="1">
      <c r="A4" s="110" t="inlineStr">
        <is>
          <t>Mã Hệ</t>
        </is>
      </c>
      <c r="B4" s="110" t="inlineStr">
        <is>
          <t>Hãng</t>
        </is>
      </c>
      <c r="C4" s="110" t="inlineStr">
        <is>
          <t>Chất Lượng Cấu Trúc</t>
        </is>
      </c>
      <c r="D4" s="110" t="inlineStr">
        <is>
          <t>Độ Dễ Gia Công</t>
        </is>
      </c>
      <c r="E4" s="110" t="inlineStr">
        <is>
          <t>Độ Dễ Lắp Dựng</t>
        </is>
      </c>
      <c r="F4" s="110" t="inlineStr">
        <is>
          <t>Chi Phí Bảo Trì</t>
        </is>
      </c>
      <c r="G4" s="110" t="inlineStr">
        <is>
          <t>Khuyến Nghị Tư Vấn</t>
        </is>
      </c>
    </row>
    <row r="5" ht="25" customHeight="1">
      <c r="A5" s="113">
        <f>'01_MASTER_DATABASE'!C2</f>
        <v/>
      </c>
      <c r="B5" s="114">
        <f>'01_MASTER_DATABASE'!D2</f>
        <v/>
      </c>
      <c r="C5" s="113">
        <f>IF(OR(ISNUMBER(SEARCH("Luxury",'01_MASTER_DATABASE'!B2)),ISNUMBER(SEARCH("Cầu",'01_MASTER_DATABASE'!B2))),"⭐⭐⭐⭐⭐","⭐⭐⭐⭐")</f>
        <v/>
      </c>
      <c r="D5" s="113">
        <f>IF(ISNUMBER(SEARCH("Slim",'01_MASTER_DATABASE'!B2)),"⭐⭐⭐","⭐⭐⭐⭐")</f>
        <v/>
      </c>
      <c r="E5" s="113" t="inlineStr">
        <is>
          <t>⭐⭐⭐⭐</t>
        </is>
      </c>
      <c r="F5" s="113" t="inlineStr">
        <is>
          <t>⭐⭐⭐⭐</t>
        </is>
      </c>
      <c r="G5" s="114">
        <f>IF(OR(ISNUMBER(SEARCH("Luxury",'01_MASTER_DATABASE'!B2)),ISNUMBER(SEARCH("Cầu",'01_MASTER_DATABASE'!B2))),"Khuyên Dùng Cho Biệt Thự / Penhouse","Khuyên Dùng Cho Nhà Phố / Căn Hộ")</f>
        <v/>
      </c>
    </row>
    <row r="6" ht="25" customHeight="1">
      <c r="A6" s="113">
        <f>'01_MASTER_DATABASE'!C3</f>
        <v/>
      </c>
      <c r="B6" s="114">
        <f>'01_MASTER_DATABASE'!D3</f>
        <v/>
      </c>
      <c r="C6" s="113">
        <f>IF(OR(ISNUMBER(SEARCH("Luxury",'01_MASTER_DATABASE'!B3)),ISNUMBER(SEARCH("Cầu",'01_MASTER_DATABASE'!B3))),"⭐⭐⭐⭐⭐","⭐⭐⭐⭐")</f>
        <v/>
      </c>
      <c r="D6" s="113">
        <f>IF(ISNUMBER(SEARCH("Slim",'01_MASTER_DATABASE'!B3)),"⭐⭐⭐","⭐⭐⭐⭐")</f>
        <v/>
      </c>
      <c r="E6" s="113" t="inlineStr">
        <is>
          <t>⭐⭐⭐⭐</t>
        </is>
      </c>
      <c r="F6" s="113" t="inlineStr">
        <is>
          <t>⭐⭐⭐⭐</t>
        </is>
      </c>
      <c r="G6" s="114">
        <f>IF(OR(ISNUMBER(SEARCH("Luxury",'01_MASTER_DATABASE'!B3)),ISNUMBER(SEARCH("Cầu",'01_MASTER_DATABASE'!B3))),"Khuyên Dùng Cho Biệt Thự / Penhouse","Khuyên Dùng Cho Nhà Phố / Căn Hộ")</f>
        <v/>
      </c>
    </row>
    <row r="7" ht="25" customHeight="1">
      <c r="A7" s="113">
        <f>'01_MASTER_DATABASE'!C4</f>
        <v/>
      </c>
      <c r="B7" s="114">
        <f>'01_MASTER_DATABASE'!D4</f>
        <v/>
      </c>
      <c r="C7" s="113">
        <f>IF(OR(ISNUMBER(SEARCH("Luxury",'01_MASTER_DATABASE'!B4)),ISNUMBER(SEARCH("Cầu",'01_MASTER_DATABASE'!B4))),"⭐⭐⭐⭐⭐","⭐⭐⭐⭐")</f>
        <v/>
      </c>
      <c r="D7" s="113">
        <f>IF(ISNUMBER(SEARCH("Slim",'01_MASTER_DATABASE'!B4)),"⭐⭐⭐","⭐⭐⭐⭐")</f>
        <v/>
      </c>
      <c r="E7" s="113" t="inlineStr">
        <is>
          <t>⭐⭐⭐⭐</t>
        </is>
      </c>
      <c r="F7" s="113" t="inlineStr">
        <is>
          <t>⭐⭐⭐⭐</t>
        </is>
      </c>
      <c r="G7" s="114">
        <f>IF(OR(ISNUMBER(SEARCH("Luxury",'01_MASTER_DATABASE'!B4)),ISNUMBER(SEARCH("Cầu",'01_MASTER_DATABASE'!B4))),"Khuyên Dùng Cho Biệt Thự / Penhouse","Khuyên Dùng Cho Nhà Phố / Căn Hộ")</f>
        <v/>
      </c>
    </row>
    <row r="8" ht="25" customHeight="1">
      <c r="A8" s="113">
        <f>'01_MASTER_DATABASE'!C5</f>
        <v/>
      </c>
      <c r="B8" s="114">
        <f>'01_MASTER_DATABASE'!D5</f>
        <v/>
      </c>
      <c r="C8" s="113">
        <f>IF(OR(ISNUMBER(SEARCH("Luxury",'01_MASTER_DATABASE'!B5)),ISNUMBER(SEARCH("Cầu",'01_MASTER_DATABASE'!B5))),"⭐⭐⭐⭐⭐","⭐⭐⭐⭐")</f>
        <v/>
      </c>
      <c r="D8" s="113">
        <f>IF(ISNUMBER(SEARCH("Slim",'01_MASTER_DATABASE'!B5)),"⭐⭐⭐","⭐⭐⭐⭐")</f>
        <v/>
      </c>
      <c r="E8" s="113" t="inlineStr">
        <is>
          <t>⭐⭐⭐⭐</t>
        </is>
      </c>
      <c r="F8" s="113" t="inlineStr">
        <is>
          <t>⭐⭐⭐⭐</t>
        </is>
      </c>
      <c r="G8" s="114">
        <f>IF(OR(ISNUMBER(SEARCH("Luxury",'01_MASTER_DATABASE'!B5)),ISNUMBER(SEARCH("Cầu",'01_MASTER_DATABASE'!B5))),"Khuyên Dùng Cho Biệt Thự / Penhouse","Khuyên Dùng Cho Nhà Phố / Căn Hộ")</f>
        <v/>
      </c>
    </row>
    <row r="9" ht="25" customHeight="1">
      <c r="A9" s="113">
        <f>'01_MASTER_DATABASE'!C6</f>
        <v/>
      </c>
      <c r="B9" s="114">
        <f>'01_MASTER_DATABASE'!D6</f>
        <v/>
      </c>
      <c r="C9" s="113">
        <f>IF(OR(ISNUMBER(SEARCH("Luxury",'01_MASTER_DATABASE'!B6)),ISNUMBER(SEARCH("Cầu",'01_MASTER_DATABASE'!B6))),"⭐⭐⭐⭐⭐","⭐⭐⭐⭐")</f>
        <v/>
      </c>
      <c r="D9" s="113">
        <f>IF(ISNUMBER(SEARCH("Slim",'01_MASTER_DATABASE'!B6)),"⭐⭐⭐","⭐⭐⭐⭐")</f>
        <v/>
      </c>
      <c r="E9" s="113" t="inlineStr">
        <is>
          <t>⭐⭐⭐⭐</t>
        </is>
      </c>
      <c r="F9" s="113" t="inlineStr">
        <is>
          <t>⭐⭐⭐⭐</t>
        </is>
      </c>
      <c r="G9" s="114">
        <f>IF(OR(ISNUMBER(SEARCH("Luxury",'01_MASTER_DATABASE'!B6)),ISNUMBER(SEARCH("Cầu",'01_MASTER_DATABASE'!B6))),"Khuyên Dùng Cho Biệt Thự / Penhouse","Khuyên Dùng Cho Nhà Phố / Căn Hộ")</f>
        <v/>
      </c>
    </row>
    <row r="10" ht="25" customHeight="1">
      <c r="A10" s="113">
        <f>'01_MASTER_DATABASE'!C7</f>
        <v/>
      </c>
      <c r="B10" s="114">
        <f>'01_MASTER_DATABASE'!D7</f>
        <v/>
      </c>
      <c r="C10" s="113">
        <f>IF(OR(ISNUMBER(SEARCH("Luxury",'01_MASTER_DATABASE'!B7)),ISNUMBER(SEARCH("Cầu",'01_MASTER_DATABASE'!B7))),"⭐⭐⭐⭐⭐","⭐⭐⭐⭐")</f>
        <v/>
      </c>
      <c r="D10" s="113">
        <f>IF(ISNUMBER(SEARCH("Slim",'01_MASTER_DATABASE'!B7)),"⭐⭐⭐","⭐⭐⭐⭐")</f>
        <v/>
      </c>
      <c r="E10" s="113" t="inlineStr">
        <is>
          <t>⭐⭐⭐⭐</t>
        </is>
      </c>
      <c r="F10" s="113" t="inlineStr">
        <is>
          <t>⭐⭐⭐⭐</t>
        </is>
      </c>
      <c r="G10" s="114">
        <f>IF(OR(ISNUMBER(SEARCH("Luxury",'01_MASTER_DATABASE'!B7)),ISNUMBER(SEARCH("Cầu",'01_MASTER_DATABASE'!B7))),"Khuyên Dùng Cho Biệt Thự / Penhouse","Khuyên Dùng Cho Nhà Phố / Căn Hộ")</f>
        <v/>
      </c>
    </row>
    <row r="11" ht="25" customHeight="1">
      <c r="A11" s="113">
        <f>'01_MASTER_DATABASE'!C8</f>
        <v/>
      </c>
      <c r="B11" s="114">
        <f>'01_MASTER_DATABASE'!D8</f>
        <v/>
      </c>
      <c r="C11" s="113">
        <f>IF(OR(ISNUMBER(SEARCH("Luxury",'01_MASTER_DATABASE'!B8)),ISNUMBER(SEARCH("Cầu",'01_MASTER_DATABASE'!B8))),"⭐⭐⭐⭐⭐","⭐⭐⭐⭐")</f>
        <v/>
      </c>
      <c r="D11" s="113">
        <f>IF(ISNUMBER(SEARCH("Slim",'01_MASTER_DATABASE'!B8)),"⭐⭐⭐","⭐⭐⭐⭐")</f>
        <v/>
      </c>
      <c r="E11" s="113" t="inlineStr">
        <is>
          <t>⭐⭐⭐⭐</t>
        </is>
      </c>
      <c r="F11" s="113" t="inlineStr">
        <is>
          <t>⭐⭐⭐⭐</t>
        </is>
      </c>
      <c r="G11" s="114">
        <f>IF(OR(ISNUMBER(SEARCH("Luxury",'01_MASTER_DATABASE'!B8)),ISNUMBER(SEARCH("Cầu",'01_MASTER_DATABASE'!B8))),"Khuyên Dùng Cho Biệt Thự / Penhouse","Khuyên Dùng Cho Nhà Phố / Căn Hộ")</f>
        <v/>
      </c>
    </row>
    <row r="12" ht="25" customHeight="1">
      <c r="A12" s="113">
        <f>'01_MASTER_DATABASE'!C9</f>
        <v/>
      </c>
      <c r="B12" s="114">
        <f>'01_MASTER_DATABASE'!D9</f>
        <v/>
      </c>
      <c r="C12" s="113">
        <f>IF(OR(ISNUMBER(SEARCH("Luxury",'01_MASTER_DATABASE'!B9)),ISNUMBER(SEARCH("Cầu",'01_MASTER_DATABASE'!B9))),"⭐⭐⭐⭐⭐","⭐⭐⭐⭐")</f>
        <v/>
      </c>
      <c r="D12" s="113">
        <f>IF(ISNUMBER(SEARCH("Slim",'01_MASTER_DATABASE'!B9)),"⭐⭐⭐","⭐⭐⭐⭐")</f>
        <v/>
      </c>
      <c r="E12" s="113" t="inlineStr">
        <is>
          <t>⭐⭐⭐⭐</t>
        </is>
      </c>
      <c r="F12" s="113" t="inlineStr">
        <is>
          <t>⭐⭐⭐⭐</t>
        </is>
      </c>
      <c r="G12" s="114">
        <f>IF(OR(ISNUMBER(SEARCH("Luxury",'01_MASTER_DATABASE'!B9)),ISNUMBER(SEARCH("Cầu",'01_MASTER_DATABASE'!B9))),"Khuyên Dùng Cho Biệt Thự / Penhouse","Khuyên Dùng Cho Nhà Phố / Căn Hộ")</f>
        <v/>
      </c>
    </row>
    <row r="13" ht="25" customHeight="1">
      <c r="A13" s="113">
        <f>'01_MASTER_DATABASE'!C10</f>
        <v/>
      </c>
      <c r="B13" s="114">
        <f>'01_MASTER_DATABASE'!D10</f>
        <v/>
      </c>
      <c r="C13" s="113">
        <f>IF(OR(ISNUMBER(SEARCH("Luxury",'01_MASTER_DATABASE'!B10)),ISNUMBER(SEARCH("Cầu",'01_MASTER_DATABASE'!B10))),"⭐⭐⭐⭐⭐","⭐⭐⭐⭐")</f>
        <v/>
      </c>
      <c r="D13" s="113">
        <f>IF(ISNUMBER(SEARCH("Slim",'01_MASTER_DATABASE'!B10)),"⭐⭐⭐","⭐⭐⭐⭐")</f>
        <v/>
      </c>
      <c r="E13" s="113" t="inlineStr">
        <is>
          <t>⭐⭐⭐⭐</t>
        </is>
      </c>
      <c r="F13" s="113" t="inlineStr">
        <is>
          <t>⭐⭐⭐⭐</t>
        </is>
      </c>
      <c r="G13" s="114">
        <f>IF(OR(ISNUMBER(SEARCH("Luxury",'01_MASTER_DATABASE'!B10)),ISNUMBER(SEARCH("Cầu",'01_MASTER_DATABASE'!B10))),"Khuyên Dùng Cho Biệt Thự / Penhouse","Khuyên Dùng Cho Nhà Phố / Căn Hộ")</f>
        <v/>
      </c>
    </row>
    <row r="14" ht="25" customHeight="1">
      <c r="A14" s="113">
        <f>'01_MASTER_DATABASE'!C11</f>
        <v/>
      </c>
      <c r="B14" s="114">
        <f>'01_MASTER_DATABASE'!D11</f>
        <v/>
      </c>
      <c r="C14" s="113">
        <f>IF(OR(ISNUMBER(SEARCH("Luxury",'01_MASTER_DATABASE'!B11)),ISNUMBER(SEARCH("Cầu",'01_MASTER_DATABASE'!B11))),"⭐⭐⭐⭐⭐","⭐⭐⭐⭐")</f>
        <v/>
      </c>
      <c r="D14" s="113">
        <f>IF(ISNUMBER(SEARCH("Slim",'01_MASTER_DATABASE'!B11)),"⭐⭐⭐","⭐⭐⭐⭐")</f>
        <v/>
      </c>
      <c r="E14" s="113" t="inlineStr">
        <is>
          <t>⭐⭐⭐⭐</t>
        </is>
      </c>
      <c r="F14" s="113" t="inlineStr">
        <is>
          <t>⭐⭐⭐⭐</t>
        </is>
      </c>
      <c r="G14" s="114">
        <f>IF(OR(ISNUMBER(SEARCH("Luxury",'01_MASTER_DATABASE'!B11)),ISNUMBER(SEARCH("Cầu",'01_MASTER_DATABASE'!B11))),"Khuyên Dùng Cho Biệt Thự / Penhouse","Khuyên Dùng Cho Nhà Phố / Căn Hộ")</f>
        <v/>
      </c>
    </row>
    <row r="15" ht="25" customHeight="1">
      <c r="A15" s="113">
        <f>'01_MASTER_DATABASE'!C12</f>
        <v/>
      </c>
      <c r="B15" s="114">
        <f>'01_MASTER_DATABASE'!D12</f>
        <v/>
      </c>
      <c r="C15" s="113">
        <f>IF(OR(ISNUMBER(SEARCH("Luxury",'01_MASTER_DATABASE'!B12)),ISNUMBER(SEARCH("Cầu",'01_MASTER_DATABASE'!B12))),"⭐⭐⭐⭐⭐","⭐⭐⭐⭐")</f>
        <v/>
      </c>
      <c r="D15" s="113">
        <f>IF(ISNUMBER(SEARCH("Slim",'01_MASTER_DATABASE'!B12)),"⭐⭐⭐","⭐⭐⭐⭐")</f>
        <v/>
      </c>
      <c r="E15" s="113" t="inlineStr">
        <is>
          <t>⭐⭐⭐⭐</t>
        </is>
      </c>
      <c r="F15" s="113" t="inlineStr">
        <is>
          <t>⭐⭐⭐⭐</t>
        </is>
      </c>
      <c r="G15" s="114">
        <f>IF(OR(ISNUMBER(SEARCH("Luxury",'01_MASTER_DATABASE'!B12)),ISNUMBER(SEARCH("Cầu",'01_MASTER_DATABASE'!B12))),"Khuyên Dùng Cho Biệt Thự / Penhouse","Khuyên Dùng Cho Nhà Phố / Căn Hộ")</f>
        <v/>
      </c>
    </row>
    <row r="16" ht="25" customHeight="1">
      <c r="A16" s="113">
        <f>'01_MASTER_DATABASE'!C13</f>
        <v/>
      </c>
      <c r="B16" s="114">
        <f>'01_MASTER_DATABASE'!D13</f>
        <v/>
      </c>
      <c r="C16" s="113">
        <f>IF(OR(ISNUMBER(SEARCH("Luxury",'01_MASTER_DATABASE'!B13)),ISNUMBER(SEARCH("Cầu",'01_MASTER_DATABASE'!B13))),"⭐⭐⭐⭐⭐","⭐⭐⭐⭐")</f>
        <v/>
      </c>
      <c r="D16" s="113">
        <f>IF(ISNUMBER(SEARCH("Slim",'01_MASTER_DATABASE'!B13)),"⭐⭐⭐","⭐⭐⭐⭐")</f>
        <v/>
      </c>
      <c r="E16" s="113" t="inlineStr">
        <is>
          <t>⭐⭐⭐⭐</t>
        </is>
      </c>
      <c r="F16" s="113" t="inlineStr">
        <is>
          <t>⭐⭐⭐⭐</t>
        </is>
      </c>
      <c r="G16" s="114">
        <f>IF(OR(ISNUMBER(SEARCH("Luxury",'01_MASTER_DATABASE'!B13)),ISNUMBER(SEARCH("Cầu",'01_MASTER_DATABASE'!B13))),"Khuyên Dùng Cho Biệt Thự / Penhouse","Khuyên Dùng Cho Nhà Phố / Căn Hộ")</f>
        <v/>
      </c>
    </row>
    <row r="17" ht="25" customHeight="1">
      <c r="A17" s="113">
        <f>'01_MASTER_DATABASE'!C14</f>
        <v/>
      </c>
      <c r="B17" s="114">
        <f>'01_MASTER_DATABASE'!D14</f>
        <v/>
      </c>
      <c r="C17" s="113">
        <f>IF(OR(ISNUMBER(SEARCH("Luxury",'01_MASTER_DATABASE'!B14)),ISNUMBER(SEARCH("Cầu",'01_MASTER_DATABASE'!B14))),"⭐⭐⭐⭐⭐","⭐⭐⭐⭐")</f>
        <v/>
      </c>
      <c r="D17" s="113">
        <f>IF(ISNUMBER(SEARCH("Slim",'01_MASTER_DATABASE'!B14)),"⭐⭐⭐","⭐⭐⭐⭐")</f>
        <v/>
      </c>
      <c r="E17" s="113" t="inlineStr">
        <is>
          <t>⭐⭐⭐⭐</t>
        </is>
      </c>
      <c r="F17" s="113" t="inlineStr">
        <is>
          <t>⭐⭐⭐⭐</t>
        </is>
      </c>
      <c r="G17" s="114">
        <f>IF(OR(ISNUMBER(SEARCH("Luxury",'01_MASTER_DATABASE'!B14)),ISNUMBER(SEARCH("Cầu",'01_MASTER_DATABASE'!B14))),"Khuyên Dùng Cho Biệt Thự / Penhouse","Khuyên Dùng Cho Nhà Phố / Căn Hộ")</f>
        <v/>
      </c>
    </row>
    <row r="18" ht="25" customHeight="1">
      <c r="A18" s="113">
        <f>'01_MASTER_DATABASE'!C15</f>
        <v/>
      </c>
      <c r="B18" s="114">
        <f>'01_MASTER_DATABASE'!D15</f>
        <v/>
      </c>
      <c r="C18" s="113">
        <f>IF(OR(ISNUMBER(SEARCH("Luxury",'01_MASTER_DATABASE'!B15)),ISNUMBER(SEARCH("Cầu",'01_MASTER_DATABASE'!B15))),"⭐⭐⭐⭐⭐","⭐⭐⭐⭐")</f>
        <v/>
      </c>
      <c r="D18" s="113">
        <f>IF(ISNUMBER(SEARCH("Slim",'01_MASTER_DATABASE'!B15)),"⭐⭐⭐","⭐⭐⭐⭐")</f>
        <v/>
      </c>
      <c r="E18" s="113" t="inlineStr">
        <is>
          <t>⭐⭐⭐⭐</t>
        </is>
      </c>
      <c r="F18" s="113" t="inlineStr">
        <is>
          <t>⭐⭐⭐⭐</t>
        </is>
      </c>
      <c r="G18" s="114">
        <f>IF(OR(ISNUMBER(SEARCH("Luxury",'01_MASTER_DATABASE'!B15)),ISNUMBER(SEARCH("Cầu",'01_MASTER_DATABASE'!B15))),"Khuyên Dùng Cho Biệt Thự / Penhouse","Khuyên Dùng Cho Nhà Phố / Căn Hộ")</f>
        <v/>
      </c>
    </row>
    <row r="19" ht="25" customHeight="1">
      <c r="A19" s="113">
        <f>'01_MASTER_DATABASE'!C16</f>
        <v/>
      </c>
      <c r="B19" s="114">
        <f>'01_MASTER_DATABASE'!D16</f>
        <v/>
      </c>
      <c r="C19" s="113">
        <f>IF(OR(ISNUMBER(SEARCH("Luxury",'01_MASTER_DATABASE'!B16)),ISNUMBER(SEARCH("Cầu",'01_MASTER_DATABASE'!B16))),"⭐⭐⭐⭐⭐","⭐⭐⭐⭐")</f>
        <v/>
      </c>
      <c r="D19" s="113">
        <f>IF(ISNUMBER(SEARCH("Slim",'01_MASTER_DATABASE'!B16)),"⭐⭐⭐","⭐⭐⭐⭐")</f>
        <v/>
      </c>
      <c r="E19" s="113" t="inlineStr">
        <is>
          <t>⭐⭐⭐⭐</t>
        </is>
      </c>
      <c r="F19" s="113" t="inlineStr">
        <is>
          <t>⭐⭐⭐⭐</t>
        </is>
      </c>
      <c r="G19" s="114">
        <f>IF(OR(ISNUMBER(SEARCH("Luxury",'01_MASTER_DATABASE'!B16)),ISNUMBER(SEARCH("Cầu",'01_MASTER_DATABASE'!B16))),"Khuyên Dùng Cho Biệt Thự / Penhouse","Khuyên Dùng Cho Nhà Phố / Căn Hộ")</f>
        <v/>
      </c>
    </row>
    <row r="20" ht="25" customHeight="1">
      <c r="A20" s="113">
        <f>'01_MASTER_DATABASE'!C17</f>
        <v/>
      </c>
      <c r="B20" s="114">
        <f>'01_MASTER_DATABASE'!D17</f>
        <v/>
      </c>
      <c r="C20" s="113">
        <f>IF(OR(ISNUMBER(SEARCH("Luxury",'01_MASTER_DATABASE'!B17)),ISNUMBER(SEARCH("Cầu",'01_MASTER_DATABASE'!B17))),"⭐⭐⭐⭐⭐","⭐⭐⭐⭐")</f>
        <v/>
      </c>
      <c r="D20" s="113">
        <f>IF(ISNUMBER(SEARCH("Slim",'01_MASTER_DATABASE'!B17)),"⭐⭐⭐","⭐⭐⭐⭐")</f>
        <v/>
      </c>
      <c r="E20" s="113" t="inlineStr">
        <is>
          <t>⭐⭐⭐⭐</t>
        </is>
      </c>
      <c r="F20" s="113" t="inlineStr">
        <is>
          <t>⭐⭐⭐⭐</t>
        </is>
      </c>
      <c r="G20" s="114">
        <f>IF(OR(ISNUMBER(SEARCH("Luxury",'01_MASTER_DATABASE'!B17)),ISNUMBER(SEARCH("Cầu",'01_MASTER_DATABASE'!B17))),"Khuyên Dùng Cho Biệt Thự / Penhouse","Khuyên Dùng Cho Nhà Phố / Căn Hộ")</f>
        <v/>
      </c>
    </row>
    <row r="21" ht="25" customHeight="1">
      <c r="A21" s="113">
        <f>'01_MASTER_DATABASE'!C18</f>
        <v/>
      </c>
      <c r="B21" s="114">
        <f>'01_MASTER_DATABASE'!D18</f>
        <v/>
      </c>
      <c r="C21" s="113">
        <f>IF(OR(ISNUMBER(SEARCH("Luxury",'01_MASTER_DATABASE'!B18)),ISNUMBER(SEARCH("Cầu",'01_MASTER_DATABASE'!B18))),"⭐⭐⭐⭐⭐","⭐⭐⭐⭐")</f>
        <v/>
      </c>
      <c r="D21" s="113">
        <f>IF(ISNUMBER(SEARCH("Slim",'01_MASTER_DATABASE'!B18)),"⭐⭐⭐","⭐⭐⭐⭐")</f>
        <v/>
      </c>
      <c r="E21" s="113" t="inlineStr">
        <is>
          <t>⭐⭐⭐⭐</t>
        </is>
      </c>
      <c r="F21" s="113" t="inlineStr">
        <is>
          <t>⭐⭐⭐⭐</t>
        </is>
      </c>
      <c r="G21" s="114">
        <f>IF(OR(ISNUMBER(SEARCH("Luxury",'01_MASTER_DATABASE'!B18)),ISNUMBER(SEARCH("Cầu",'01_MASTER_DATABASE'!B18))),"Khuyên Dùng Cho Biệt Thự / Penhouse","Khuyên Dùng Cho Nhà Phố / Căn Hộ")</f>
        <v/>
      </c>
    </row>
    <row r="22" ht="25" customHeight="1">
      <c r="A22" s="113">
        <f>'01_MASTER_DATABASE'!C19</f>
        <v/>
      </c>
      <c r="B22" s="114">
        <f>'01_MASTER_DATABASE'!D19</f>
        <v/>
      </c>
      <c r="C22" s="113">
        <f>IF(OR(ISNUMBER(SEARCH("Luxury",'01_MASTER_DATABASE'!B19)),ISNUMBER(SEARCH("Cầu",'01_MASTER_DATABASE'!B19))),"⭐⭐⭐⭐⭐","⭐⭐⭐⭐")</f>
        <v/>
      </c>
      <c r="D22" s="113">
        <f>IF(ISNUMBER(SEARCH("Slim",'01_MASTER_DATABASE'!B19)),"⭐⭐⭐","⭐⭐⭐⭐")</f>
        <v/>
      </c>
      <c r="E22" s="113" t="inlineStr">
        <is>
          <t>⭐⭐⭐⭐</t>
        </is>
      </c>
      <c r="F22" s="113" t="inlineStr">
        <is>
          <t>⭐⭐⭐⭐</t>
        </is>
      </c>
      <c r="G22" s="114">
        <f>IF(OR(ISNUMBER(SEARCH("Luxury",'01_MASTER_DATABASE'!B19)),ISNUMBER(SEARCH("Cầu",'01_MASTER_DATABASE'!B19))),"Khuyên Dùng Cho Biệt Thự / Penhouse","Khuyên Dùng Cho Nhà Phố / Căn Hộ")</f>
        <v/>
      </c>
    </row>
    <row r="23" ht="25" customHeight="1">
      <c r="A23" s="113">
        <f>'01_MASTER_DATABASE'!C20</f>
        <v/>
      </c>
      <c r="B23" s="114">
        <f>'01_MASTER_DATABASE'!D20</f>
        <v/>
      </c>
      <c r="C23" s="113">
        <f>IF(OR(ISNUMBER(SEARCH("Luxury",'01_MASTER_DATABASE'!B20)),ISNUMBER(SEARCH("Cầu",'01_MASTER_DATABASE'!B20))),"⭐⭐⭐⭐⭐","⭐⭐⭐⭐")</f>
        <v/>
      </c>
      <c r="D23" s="113">
        <f>IF(ISNUMBER(SEARCH("Slim",'01_MASTER_DATABASE'!B20)),"⭐⭐⭐","⭐⭐⭐⭐")</f>
        <v/>
      </c>
      <c r="E23" s="113" t="inlineStr">
        <is>
          <t>⭐⭐⭐⭐</t>
        </is>
      </c>
      <c r="F23" s="113" t="inlineStr">
        <is>
          <t>⭐⭐⭐⭐</t>
        </is>
      </c>
      <c r="G23" s="114">
        <f>IF(OR(ISNUMBER(SEARCH("Luxury",'01_MASTER_DATABASE'!B20)),ISNUMBER(SEARCH("Cầu",'01_MASTER_DATABASE'!B20))),"Khuyên Dùng Cho Biệt Thự / Penhouse","Khuyên Dùng Cho Nhà Phố / Căn Hộ")</f>
        <v/>
      </c>
    </row>
    <row r="24" ht="25" customHeight="1">
      <c r="A24" s="113">
        <f>'01_MASTER_DATABASE'!C21</f>
        <v/>
      </c>
      <c r="B24" s="114">
        <f>'01_MASTER_DATABASE'!D21</f>
        <v/>
      </c>
      <c r="C24" s="113">
        <f>IF(OR(ISNUMBER(SEARCH("Luxury",'01_MASTER_DATABASE'!B21)),ISNUMBER(SEARCH("Cầu",'01_MASTER_DATABASE'!B21))),"⭐⭐⭐⭐⭐","⭐⭐⭐⭐")</f>
        <v/>
      </c>
      <c r="D24" s="113">
        <f>IF(ISNUMBER(SEARCH("Slim",'01_MASTER_DATABASE'!B21)),"⭐⭐⭐","⭐⭐⭐⭐")</f>
        <v/>
      </c>
      <c r="E24" s="113" t="inlineStr">
        <is>
          <t>⭐⭐⭐⭐</t>
        </is>
      </c>
      <c r="F24" s="113" t="inlineStr">
        <is>
          <t>⭐⭐⭐⭐</t>
        </is>
      </c>
      <c r="G24" s="114">
        <f>IF(OR(ISNUMBER(SEARCH("Luxury",'01_MASTER_DATABASE'!B21)),ISNUMBER(SEARCH("Cầu",'01_MASTER_DATABASE'!B21))),"Khuyên Dùng Cho Biệt Thự / Penhouse","Khuyên Dùng Cho Nhà Phố / Căn Hộ")</f>
        <v/>
      </c>
    </row>
    <row r="25" ht="25" customHeight="1">
      <c r="A25" s="113">
        <f>'01_MASTER_DATABASE'!C22</f>
        <v/>
      </c>
      <c r="B25" s="114">
        <f>'01_MASTER_DATABASE'!D22</f>
        <v/>
      </c>
      <c r="C25" s="113">
        <f>IF(OR(ISNUMBER(SEARCH("Luxury",'01_MASTER_DATABASE'!B22)),ISNUMBER(SEARCH("Cầu",'01_MASTER_DATABASE'!B22))),"⭐⭐⭐⭐⭐","⭐⭐⭐⭐")</f>
        <v/>
      </c>
      <c r="D25" s="113">
        <f>IF(ISNUMBER(SEARCH("Slim",'01_MASTER_DATABASE'!B22)),"⭐⭐⭐","⭐⭐⭐⭐")</f>
        <v/>
      </c>
      <c r="E25" s="113" t="inlineStr">
        <is>
          <t>⭐⭐⭐⭐</t>
        </is>
      </c>
      <c r="F25" s="113" t="inlineStr">
        <is>
          <t>⭐⭐⭐⭐</t>
        </is>
      </c>
      <c r="G25" s="114">
        <f>IF(OR(ISNUMBER(SEARCH("Luxury",'01_MASTER_DATABASE'!B22)),ISNUMBER(SEARCH("Cầu",'01_MASTER_DATABASE'!B22))),"Khuyên Dùng Cho Biệt Thự / Penhouse","Khuyên Dùng Cho Nhà Phố / Căn Hộ")</f>
        <v/>
      </c>
    </row>
    <row r="26" ht="25" customHeight="1">
      <c r="A26" s="113">
        <f>'01_MASTER_DATABASE'!C23</f>
        <v/>
      </c>
      <c r="B26" s="114">
        <f>'01_MASTER_DATABASE'!D23</f>
        <v/>
      </c>
      <c r="C26" s="113">
        <f>IF(OR(ISNUMBER(SEARCH("Luxury",'01_MASTER_DATABASE'!B23)),ISNUMBER(SEARCH("Cầu",'01_MASTER_DATABASE'!B23))),"⭐⭐⭐⭐⭐","⭐⭐⭐⭐")</f>
        <v/>
      </c>
      <c r="D26" s="113">
        <f>IF(ISNUMBER(SEARCH("Slim",'01_MASTER_DATABASE'!B23)),"⭐⭐⭐","⭐⭐⭐⭐")</f>
        <v/>
      </c>
      <c r="E26" s="113" t="inlineStr">
        <is>
          <t>⭐⭐⭐⭐</t>
        </is>
      </c>
      <c r="F26" s="113" t="inlineStr">
        <is>
          <t>⭐⭐⭐⭐</t>
        </is>
      </c>
      <c r="G26" s="114">
        <f>IF(OR(ISNUMBER(SEARCH("Luxury",'01_MASTER_DATABASE'!B23)),ISNUMBER(SEARCH("Cầu",'01_MASTER_DATABASE'!B23))),"Khuyên Dùng Cho Biệt Thự / Penhouse","Khuyên Dùng Cho Nhà Phố / Căn Hộ")</f>
        <v/>
      </c>
    </row>
    <row r="27" ht="25" customHeight="1">
      <c r="A27" s="113">
        <f>'01_MASTER_DATABASE'!C24</f>
        <v/>
      </c>
      <c r="B27" s="114">
        <f>'01_MASTER_DATABASE'!D24</f>
        <v/>
      </c>
      <c r="C27" s="113">
        <f>IF(OR(ISNUMBER(SEARCH("Luxury",'01_MASTER_DATABASE'!B24)),ISNUMBER(SEARCH("Cầu",'01_MASTER_DATABASE'!B24))),"⭐⭐⭐⭐⭐","⭐⭐⭐⭐")</f>
        <v/>
      </c>
      <c r="D27" s="113">
        <f>IF(ISNUMBER(SEARCH("Slim",'01_MASTER_DATABASE'!B24)),"⭐⭐⭐","⭐⭐⭐⭐")</f>
        <v/>
      </c>
      <c r="E27" s="113" t="inlineStr">
        <is>
          <t>⭐⭐⭐⭐</t>
        </is>
      </c>
      <c r="F27" s="113" t="inlineStr">
        <is>
          <t>⭐⭐⭐⭐</t>
        </is>
      </c>
      <c r="G27" s="114">
        <f>IF(OR(ISNUMBER(SEARCH("Luxury",'01_MASTER_DATABASE'!B24)),ISNUMBER(SEARCH("Cầu",'01_MASTER_DATABASE'!B24))),"Khuyên Dùng Cho Biệt Thự / Penhouse","Khuyên Dùng Cho Nhà Phố / Căn Hộ")</f>
        <v/>
      </c>
    </row>
    <row r="28" ht="25" customHeight="1">
      <c r="A28" s="113">
        <f>'01_MASTER_DATABASE'!C25</f>
        <v/>
      </c>
      <c r="B28" s="114">
        <f>'01_MASTER_DATABASE'!D25</f>
        <v/>
      </c>
      <c r="C28" s="113">
        <f>IF(OR(ISNUMBER(SEARCH("Luxury",'01_MASTER_DATABASE'!B25)),ISNUMBER(SEARCH("Cầu",'01_MASTER_DATABASE'!B25))),"⭐⭐⭐⭐⭐","⭐⭐⭐⭐")</f>
        <v/>
      </c>
      <c r="D28" s="113">
        <f>IF(ISNUMBER(SEARCH("Slim",'01_MASTER_DATABASE'!B25)),"⭐⭐⭐","⭐⭐⭐⭐")</f>
        <v/>
      </c>
      <c r="E28" s="113" t="inlineStr">
        <is>
          <t>⭐⭐⭐⭐</t>
        </is>
      </c>
      <c r="F28" s="113" t="inlineStr">
        <is>
          <t>⭐⭐⭐⭐</t>
        </is>
      </c>
      <c r="G28" s="114">
        <f>IF(OR(ISNUMBER(SEARCH("Luxury",'01_MASTER_DATABASE'!B25)),ISNUMBER(SEARCH("Cầu",'01_MASTER_DATABASE'!B25))),"Khuyên Dùng Cho Biệt Thự / Penhouse","Khuyên Dùng Cho Nhà Phố / Căn Hộ")</f>
        <v/>
      </c>
    </row>
    <row r="29" ht="25" customHeight="1">
      <c r="A29" s="113">
        <f>'01_MASTER_DATABASE'!C26</f>
        <v/>
      </c>
      <c r="B29" s="114">
        <f>'01_MASTER_DATABASE'!D26</f>
        <v/>
      </c>
      <c r="C29" s="113">
        <f>IF(OR(ISNUMBER(SEARCH("Luxury",'01_MASTER_DATABASE'!B26)),ISNUMBER(SEARCH("Cầu",'01_MASTER_DATABASE'!B26))),"⭐⭐⭐⭐⭐","⭐⭐⭐⭐")</f>
        <v/>
      </c>
      <c r="D29" s="113">
        <f>IF(ISNUMBER(SEARCH("Slim",'01_MASTER_DATABASE'!B26)),"⭐⭐⭐","⭐⭐⭐⭐")</f>
        <v/>
      </c>
      <c r="E29" s="113" t="inlineStr">
        <is>
          <t>⭐⭐⭐⭐</t>
        </is>
      </c>
      <c r="F29" s="113" t="inlineStr">
        <is>
          <t>⭐⭐⭐⭐</t>
        </is>
      </c>
      <c r="G29" s="114">
        <f>IF(OR(ISNUMBER(SEARCH("Luxury",'01_MASTER_DATABASE'!B26)),ISNUMBER(SEARCH("Cầu",'01_MASTER_DATABASE'!B26))),"Khuyên Dùng Cho Biệt Thự / Penhouse","Khuyên Dùng Cho Nhà Phố / Căn Hộ")</f>
        <v/>
      </c>
    </row>
    <row r="30" ht="25" customHeight="1">
      <c r="A30" s="113">
        <f>'01_MASTER_DATABASE'!C27</f>
        <v/>
      </c>
      <c r="B30" s="114">
        <f>'01_MASTER_DATABASE'!D27</f>
        <v/>
      </c>
      <c r="C30" s="113">
        <f>IF(OR(ISNUMBER(SEARCH("Luxury",'01_MASTER_DATABASE'!B27)),ISNUMBER(SEARCH("Cầu",'01_MASTER_DATABASE'!B27))),"⭐⭐⭐⭐⭐","⭐⭐⭐⭐")</f>
        <v/>
      </c>
      <c r="D30" s="113">
        <f>IF(ISNUMBER(SEARCH("Slim",'01_MASTER_DATABASE'!B27)),"⭐⭐⭐","⭐⭐⭐⭐")</f>
        <v/>
      </c>
      <c r="E30" s="113" t="inlineStr">
        <is>
          <t>⭐⭐⭐⭐</t>
        </is>
      </c>
      <c r="F30" s="113" t="inlineStr">
        <is>
          <t>⭐⭐⭐⭐</t>
        </is>
      </c>
      <c r="G30" s="114">
        <f>IF(OR(ISNUMBER(SEARCH("Luxury",'01_MASTER_DATABASE'!B27)),ISNUMBER(SEARCH("Cầu",'01_MASTER_DATABASE'!B27))),"Khuyên Dùng Cho Biệt Thự / Penhouse","Khuyên Dùng Cho Nhà Phố / Căn Hộ")</f>
        <v/>
      </c>
    </row>
    <row r="31" ht="25" customHeight="1">
      <c r="A31" s="113">
        <f>'01_MASTER_DATABASE'!C28</f>
        <v/>
      </c>
      <c r="B31" s="114">
        <f>'01_MASTER_DATABASE'!D28</f>
        <v/>
      </c>
      <c r="C31" s="113">
        <f>IF(OR(ISNUMBER(SEARCH("Luxury",'01_MASTER_DATABASE'!B28)),ISNUMBER(SEARCH("Cầu",'01_MASTER_DATABASE'!B28))),"⭐⭐⭐⭐⭐","⭐⭐⭐⭐")</f>
        <v/>
      </c>
      <c r="D31" s="113">
        <f>IF(ISNUMBER(SEARCH("Slim",'01_MASTER_DATABASE'!B28)),"⭐⭐⭐","⭐⭐⭐⭐")</f>
        <v/>
      </c>
      <c r="E31" s="113" t="inlineStr">
        <is>
          <t>⭐⭐⭐⭐</t>
        </is>
      </c>
      <c r="F31" s="113" t="inlineStr">
        <is>
          <t>⭐⭐⭐⭐</t>
        </is>
      </c>
      <c r="G31" s="114">
        <f>IF(OR(ISNUMBER(SEARCH("Luxury",'01_MASTER_DATABASE'!B28)),ISNUMBER(SEARCH("Cầu",'01_MASTER_DATABASE'!B28))),"Khuyên Dùng Cho Biệt Thự / Penhouse","Khuyên Dùng Cho Nhà Phố / Căn Hộ")</f>
        <v/>
      </c>
    </row>
    <row r="32" ht="25" customHeight="1">
      <c r="A32" s="113">
        <f>'01_MASTER_DATABASE'!C29</f>
        <v/>
      </c>
      <c r="B32" s="114">
        <f>'01_MASTER_DATABASE'!D29</f>
        <v/>
      </c>
      <c r="C32" s="113">
        <f>IF(OR(ISNUMBER(SEARCH("Luxury",'01_MASTER_DATABASE'!B29)),ISNUMBER(SEARCH("Cầu",'01_MASTER_DATABASE'!B29))),"⭐⭐⭐⭐⭐","⭐⭐⭐⭐")</f>
        <v/>
      </c>
      <c r="D32" s="113">
        <f>IF(ISNUMBER(SEARCH("Slim",'01_MASTER_DATABASE'!B29)),"⭐⭐⭐","⭐⭐⭐⭐")</f>
        <v/>
      </c>
      <c r="E32" s="113" t="inlineStr">
        <is>
          <t>⭐⭐⭐⭐</t>
        </is>
      </c>
      <c r="F32" s="113" t="inlineStr">
        <is>
          <t>⭐⭐⭐⭐</t>
        </is>
      </c>
      <c r="G32" s="114">
        <f>IF(OR(ISNUMBER(SEARCH("Luxury",'01_MASTER_DATABASE'!B29)),ISNUMBER(SEARCH("Cầu",'01_MASTER_DATABASE'!B29))),"Khuyên Dùng Cho Biệt Thự / Penhouse","Khuyên Dùng Cho Nhà Phố / Căn Hộ")</f>
        <v/>
      </c>
    </row>
    <row r="33" ht="25" customHeight="1">
      <c r="A33" s="113">
        <f>'01_MASTER_DATABASE'!C30</f>
        <v/>
      </c>
      <c r="B33" s="114">
        <f>'01_MASTER_DATABASE'!D30</f>
        <v/>
      </c>
      <c r="C33" s="113">
        <f>IF(OR(ISNUMBER(SEARCH("Luxury",'01_MASTER_DATABASE'!B30)),ISNUMBER(SEARCH("Cầu",'01_MASTER_DATABASE'!B30))),"⭐⭐⭐⭐⭐","⭐⭐⭐⭐")</f>
        <v/>
      </c>
      <c r="D33" s="113">
        <f>IF(ISNUMBER(SEARCH("Slim",'01_MASTER_DATABASE'!B30)),"⭐⭐⭐","⭐⭐⭐⭐")</f>
        <v/>
      </c>
      <c r="E33" s="113" t="inlineStr">
        <is>
          <t>⭐⭐⭐⭐</t>
        </is>
      </c>
      <c r="F33" s="113" t="inlineStr">
        <is>
          <t>⭐⭐⭐⭐</t>
        </is>
      </c>
      <c r="G33" s="114">
        <f>IF(OR(ISNUMBER(SEARCH("Luxury",'01_MASTER_DATABASE'!B30)),ISNUMBER(SEARCH("Cầu",'01_MASTER_DATABASE'!B30))),"Khuyên Dùng Cho Biệt Thự / Penhouse","Khuyên Dùng Cho Nhà Phố / Căn Hộ")</f>
        <v/>
      </c>
    </row>
    <row r="34" ht="25" customHeight="1">
      <c r="A34" s="113">
        <f>'01_MASTER_DATABASE'!C31</f>
        <v/>
      </c>
      <c r="B34" s="114">
        <f>'01_MASTER_DATABASE'!D31</f>
        <v/>
      </c>
      <c r="C34" s="113">
        <f>IF(OR(ISNUMBER(SEARCH("Luxury",'01_MASTER_DATABASE'!B31)),ISNUMBER(SEARCH("Cầu",'01_MASTER_DATABASE'!B31))),"⭐⭐⭐⭐⭐","⭐⭐⭐⭐")</f>
        <v/>
      </c>
      <c r="D34" s="113">
        <f>IF(ISNUMBER(SEARCH("Slim",'01_MASTER_DATABASE'!B31)),"⭐⭐⭐","⭐⭐⭐⭐")</f>
        <v/>
      </c>
      <c r="E34" s="113" t="inlineStr">
        <is>
          <t>⭐⭐⭐⭐</t>
        </is>
      </c>
      <c r="F34" s="113" t="inlineStr">
        <is>
          <t>⭐⭐⭐⭐</t>
        </is>
      </c>
      <c r="G34" s="114">
        <f>IF(OR(ISNUMBER(SEARCH("Luxury",'01_MASTER_DATABASE'!B31)),ISNUMBER(SEARCH("Cầu",'01_MASTER_DATABASE'!B31))),"Khuyên Dùng Cho Biệt Thự / Penhouse","Khuyên Dùng Cho Nhà Phố / Căn Hộ")</f>
        <v/>
      </c>
    </row>
    <row r="35" ht="25" customHeight="1">
      <c r="A35" s="113">
        <f>'01_MASTER_DATABASE'!C32</f>
        <v/>
      </c>
      <c r="B35" s="114">
        <f>'01_MASTER_DATABASE'!D32</f>
        <v/>
      </c>
      <c r="C35" s="113">
        <f>IF(OR(ISNUMBER(SEARCH("Luxury",'01_MASTER_DATABASE'!B32)),ISNUMBER(SEARCH("Cầu",'01_MASTER_DATABASE'!B32))),"⭐⭐⭐⭐⭐","⭐⭐⭐⭐")</f>
        <v/>
      </c>
      <c r="D35" s="113">
        <f>IF(ISNUMBER(SEARCH("Slim",'01_MASTER_DATABASE'!B32)),"⭐⭐⭐","⭐⭐⭐⭐")</f>
        <v/>
      </c>
      <c r="E35" s="113" t="inlineStr">
        <is>
          <t>⭐⭐⭐⭐</t>
        </is>
      </c>
      <c r="F35" s="113" t="inlineStr">
        <is>
          <t>⭐⭐⭐⭐</t>
        </is>
      </c>
      <c r="G35" s="114">
        <f>IF(OR(ISNUMBER(SEARCH("Luxury",'01_MASTER_DATABASE'!B32)),ISNUMBER(SEARCH("Cầu",'01_MASTER_DATABASE'!B32))),"Khuyên Dùng Cho Biệt Thự / Penhouse","Khuyên Dùng Cho Nhà Phố / Căn Hộ")</f>
        <v/>
      </c>
    </row>
    <row r="36" ht="25" customHeight="1">
      <c r="A36" s="113">
        <f>'01_MASTER_DATABASE'!C33</f>
        <v/>
      </c>
      <c r="B36" s="114">
        <f>'01_MASTER_DATABASE'!D33</f>
        <v/>
      </c>
      <c r="C36" s="113">
        <f>IF(OR(ISNUMBER(SEARCH("Luxury",'01_MASTER_DATABASE'!B33)),ISNUMBER(SEARCH("Cầu",'01_MASTER_DATABASE'!B33))),"⭐⭐⭐⭐⭐","⭐⭐⭐⭐")</f>
        <v/>
      </c>
      <c r="D36" s="113">
        <f>IF(ISNUMBER(SEARCH("Slim",'01_MASTER_DATABASE'!B33)),"⭐⭐⭐","⭐⭐⭐⭐")</f>
        <v/>
      </c>
      <c r="E36" s="113" t="inlineStr">
        <is>
          <t>⭐⭐⭐⭐</t>
        </is>
      </c>
      <c r="F36" s="113" t="inlineStr">
        <is>
          <t>⭐⭐⭐⭐</t>
        </is>
      </c>
      <c r="G36" s="114">
        <f>IF(OR(ISNUMBER(SEARCH("Luxury",'01_MASTER_DATABASE'!B33)),ISNUMBER(SEARCH("Cầu",'01_MASTER_DATABASE'!B33))),"Khuyên Dùng Cho Biệt Thự / Penhouse","Khuyên Dùng Cho Nhà Phố / Căn Hộ")</f>
        <v/>
      </c>
    </row>
    <row r="37" ht="25" customHeight="1">
      <c r="A37" s="113">
        <f>'01_MASTER_DATABASE'!C34</f>
        <v/>
      </c>
      <c r="B37" s="114">
        <f>'01_MASTER_DATABASE'!D34</f>
        <v/>
      </c>
      <c r="C37" s="113">
        <f>IF(OR(ISNUMBER(SEARCH("Luxury",'01_MASTER_DATABASE'!B34)),ISNUMBER(SEARCH("Cầu",'01_MASTER_DATABASE'!B34))),"⭐⭐⭐⭐⭐","⭐⭐⭐⭐")</f>
        <v/>
      </c>
      <c r="D37" s="113">
        <f>IF(ISNUMBER(SEARCH("Slim",'01_MASTER_DATABASE'!B34)),"⭐⭐⭐","⭐⭐⭐⭐")</f>
        <v/>
      </c>
      <c r="E37" s="113" t="inlineStr">
        <is>
          <t>⭐⭐⭐⭐</t>
        </is>
      </c>
      <c r="F37" s="113" t="inlineStr">
        <is>
          <t>⭐⭐⭐⭐</t>
        </is>
      </c>
      <c r="G37" s="114">
        <f>IF(OR(ISNUMBER(SEARCH("Luxury",'01_MASTER_DATABASE'!B34)),ISNUMBER(SEARCH("Cầu",'01_MASTER_DATABASE'!B34))),"Khuyên Dùng Cho Biệt Thự / Penhouse","Khuyên Dùng Cho Nhà Phố / Căn Hộ")</f>
        <v/>
      </c>
    </row>
    <row r="38" ht="25" customHeight="1">
      <c r="A38" s="113">
        <f>'01_MASTER_DATABASE'!C35</f>
        <v/>
      </c>
      <c r="B38" s="114">
        <f>'01_MASTER_DATABASE'!D35</f>
        <v/>
      </c>
      <c r="C38" s="113">
        <f>IF(OR(ISNUMBER(SEARCH("Luxury",'01_MASTER_DATABASE'!B35)),ISNUMBER(SEARCH("Cầu",'01_MASTER_DATABASE'!B35))),"⭐⭐⭐⭐⭐","⭐⭐⭐⭐")</f>
        <v/>
      </c>
      <c r="D38" s="113">
        <f>IF(ISNUMBER(SEARCH("Slim",'01_MASTER_DATABASE'!B35)),"⭐⭐⭐","⭐⭐⭐⭐")</f>
        <v/>
      </c>
      <c r="E38" s="113" t="inlineStr">
        <is>
          <t>⭐⭐⭐⭐</t>
        </is>
      </c>
      <c r="F38" s="113" t="inlineStr">
        <is>
          <t>⭐⭐⭐⭐</t>
        </is>
      </c>
      <c r="G38" s="114">
        <f>IF(OR(ISNUMBER(SEARCH("Luxury",'01_MASTER_DATABASE'!B35)),ISNUMBER(SEARCH("Cầu",'01_MASTER_DATABASE'!B35))),"Khuyên Dùng Cho Biệt Thự / Penhouse","Khuyên Dùng Cho Nhà Phố / Căn Hộ")</f>
        <v/>
      </c>
    </row>
    <row r="39" ht="25" customHeight="1">
      <c r="A39" s="113">
        <f>'01_MASTER_DATABASE'!C36</f>
        <v/>
      </c>
      <c r="B39" s="114">
        <f>'01_MASTER_DATABASE'!D36</f>
        <v/>
      </c>
      <c r="C39" s="113">
        <f>IF(OR(ISNUMBER(SEARCH("Luxury",'01_MASTER_DATABASE'!B36)),ISNUMBER(SEARCH("Cầu",'01_MASTER_DATABASE'!B36))),"⭐⭐⭐⭐⭐","⭐⭐⭐⭐")</f>
        <v/>
      </c>
      <c r="D39" s="113">
        <f>IF(ISNUMBER(SEARCH("Slim",'01_MASTER_DATABASE'!B36)),"⭐⭐⭐","⭐⭐⭐⭐")</f>
        <v/>
      </c>
      <c r="E39" s="113" t="inlineStr">
        <is>
          <t>⭐⭐⭐⭐</t>
        </is>
      </c>
      <c r="F39" s="113" t="inlineStr">
        <is>
          <t>⭐⭐⭐⭐</t>
        </is>
      </c>
      <c r="G39" s="114">
        <f>IF(OR(ISNUMBER(SEARCH("Luxury",'01_MASTER_DATABASE'!B36)),ISNUMBER(SEARCH("Cầu",'01_MASTER_DATABASE'!B36))),"Khuyên Dùng Cho Biệt Thự / Penhouse","Khuyên Dùng Cho Nhà Phố / Căn Hộ")</f>
        <v/>
      </c>
    </row>
    <row r="40" ht="25" customHeight="1">
      <c r="A40" s="113">
        <f>'01_MASTER_DATABASE'!C37</f>
        <v/>
      </c>
      <c r="B40" s="114">
        <f>'01_MASTER_DATABASE'!D37</f>
        <v/>
      </c>
      <c r="C40" s="113">
        <f>IF(OR(ISNUMBER(SEARCH("Luxury",'01_MASTER_DATABASE'!B37)),ISNUMBER(SEARCH("Cầu",'01_MASTER_DATABASE'!B37))),"⭐⭐⭐⭐⭐","⭐⭐⭐⭐")</f>
        <v/>
      </c>
      <c r="D40" s="113">
        <f>IF(ISNUMBER(SEARCH("Slim",'01_MASTER_DATABASE'!B37)),"⭐⭐⭐","⭐⭐⭐⭐")</f>
        <v/>
      </c>
      <c r="E40" s="113" t="inlineStr">
        <is>
          <t>⭐⭐⭐⭐</t>
        </is>
      </c>
      <c r="F40" s="113" t="inlineStr">
        <is>
          <t>⭐⭐⭐⭐</t>
        </is>
      </c>
      <c r="G40" s="114">
        <f>IF(OR(ISNUMBER(SEARCH("Luxury",'01_MASTER_DATABASE'!B37)),ISNUMBER(SEARCH("Cầu",'01_MASTER_DATABASE'!B37))),"Khuyên Dùng Cho Biệt Thự / Penhouse","Khuyên Dùng Cho Nhà Phố / Căn Hộ")</f>
        <v/>
      </c>
    </row>
    <row r="41" ht="25" customHeight="1">
      <c r="A41" s="113">
        <f>'01_MASTER_DATABASE'!C38</f>
        <v/>
      </c>
      <c r="B41" s="114">
        <f>'01_MASTER_DATABASE'!D38</f>
        <v/>
      </c>
      <c r="C41" s="113">
        <f>IF(OR(ISNUMBER(SEARCH("Luxury",'01_MASTER_DATABASE'!B38)),ISNUMBER(SEARCH("Cầu",'01_MASTER_DATABASE'!B38))),"⭐⭐⭐⭐⭐","⭐⭐⭐⭐")</f>
        <v/>
      </c>
      <c r="D41" s="113">
        <f>IF(ISNUMBER(SEARCH("Slim",'01_MASTER_DATABASE'!B38)),"⭐⭐⭐","⭐⭐⭐⭐")</f>
        <v/>
      </c>
      <c r="E41" s="113" t="inlineStr">
        <is>
          <t>⭐⭐⭐⭐</t>
        </is>
      </c>
      <c r="F41" s="113" t="inlineStr">
        <is>
          <t>⭐⭐⭐⭐</t>
        </is>
      </c>
      <c r="G41" s="114">
        <f>IF(OR(ISNUMBER(SEARCH("Luxury",'01_MASTER_DATABASE'!B38)),ISNUMBER(SEARCH("Cầu",'01_MASTER_DATABASE'!B38))),"Khuyên Dùng Cho Biệt Thự / Penhouse","Khuyên Dùng Cho Nhà Phố / Căn Hộ")</f>
        <v/>
      </c>
    </row>
    <row r="42" ht="25" customHeight="1">
      <c r="A42" s="113">
        <f>'01_MASTER_DATABASE'!C39</f>
        <v/>
      </c>
      <c r="B42" s="114">
        <f>'01_MASTER_DATABASE'!D39</f>
        <v/>
      </c>
      <c r="C42" s="113">
        <f>IF(OR(ISNUMBER(SEARCH("Luxury",'01_MASTER_DATABASE'!B39)),ISNUMBER(SEARCH("Cầu",'01_MASTER_DATABASE'!B39))),"⭐⭐⭐⭐⭐","⭐⭐⭐⭐")</f>
        <v/>
      </c>
      <c r="D42" s="113">
        <f>IF(ISNUMBER(SEARCH("Slim",'01_MASTER_DATABASE'!B39)),"⭐⭐⭐","⭐⭐⭐⭐")</f>
        <v/>
      </c>
      <c r="E42" s="113" t="inlineStr">
        <is>
          <t>⭐⭐⭐⭐</t>
        </is>
      </c>
      <c r="F42" s="113" t="inlineStr">
        <is>
          <t>⭐⭐⭐⭐</t>
        </is>
      </c>
      <c r="G42" s="114">
        <f>IF(OR(ISNUMBER(SEARCH("Luxury",'01_MASTER_DATABASE'!B39)),ISNUMBER(SEARCH("Cầu",'01_MASTER_DATABASE'!B39))),"Khuyên Dùng Cho Biệt Thự / Penhouse","Khuyên Dùng Cho Nhà Phố / Căn Hộ")</f>
        <v/>
      </c>
    </row>
    <row r="43" ht="25" customHeight="1">
      <c r="A43" s="113">
        <f>'01_MASTER_DATABASE'!C40</f>
        <v/>
      </c>
      <c r="B43" s="114">
        <f>'01_MASTER_DATABASE'!D40</f>
        <v/>
      </c>
      <c r="C43" s="113">
        <f>IF(OR(ISNUMBER(SEARCH("Luxury",'01_MASTER_DATABASE'!B40)),ISNUMBER(SEARCH("Cầu",'01_MASTER_DATABASE'!B40))),"⭐⭐⭐⭐⭐","⭐⭐⭐⭐")</f>
        <v/>
      </c>
      <c r="D43" s="113">
        <f>IF(ISNUMBER(SEARCH("Slim",'01_MASTER_DATABASE'!B40)),"⭐⭐⭐","⭐⭐⭐⭐")</f>
        <v/>
      </c>
      <c r="E43" s="113" t="inlineStr">
        <is>
          <t>⭐⭐⭐⭐</t>
        </is>
      </c>
      <c r="F43" s="113" t="inlineStr">
        <is>
          <t>⭐⭐⭐⭐</t>
        </is>
      </c>
      <c r="G43" s="114">
        <f>IF(OR(ISNUMBER(SEARCH("Luxury",'01_MASTER_DATABASE'!B40)),ISNUMBER(SEARCH("Cầu",'01_MASTER_DATABASE'!B40))),"Khuyên Dùng Cho Biệt Thự / Penhouse","Khuyên Dùng Cho Nhà Phố / Căn Hộ")</f>
        <v/>
      </c>
    </row>
    <row r="44" ht="25" customHeight="1">
      <c r="A44" s="113">
        <f>'01_MASTER_DATABASE'!C41</f>
        <v/>
      </c>
      <c r="B44" s="114">
        <f>'01_MASTER_DATABASE'!D41</f>
        <v/>
      </c>
      <c r="C44" s="113">
        <f>IF(OR(ISNUMBER(SEARCH("Luxury",'01_MASTER_DATABASE'!B41)),ISNUMBER(SEARCH("Cầu",'01_MASTER_DATABASE'!B41))),"⭐⭐⭐⭐⭐","⭐⭐⭐⭐")</f>
        <v/>
      </c>
      <c r="D44" s="113">
        <f>IF(ISNUMBER(SEARCH("Slim",'01_MASTER_DATABASE'!B41)),"⭐⭐⭐","⭐⭐⭐⭐")</f>
        <v/>
      </c>
      <c r="E44" s="113" t="inlineStr">
        <is>
          <t>⭐⭐⭐⭐</t>
        </is>
      </c>
      <c r="F44" s="113" t="inlineStr">
        <is>
          <t>⭐⭐⭐⭐</t>
        </is>
      </c>
      <c r="G44" s="114">
        <f>IF(OR(ISNUMBER(SEARCH("Luxury",'01_MASTER_DATABASE'!B41)),ISNUMBER(SEARCH("Cầu",'01_MASTER_DATABASE'!B41))),"Khuyên Dùng Cho Biệt Thự / Penhouse","Khuyên Dùng Cho Nhà Phố / Căn Hộ")</f>
        <v/>
      </c>
    </row>
    <row r="45" ht="25" customHeight="1">
      <c r="A45" s="113">
        <f>'01_MASTER_DATABASE'!C42</f>
        <v/>
      </c>
      <c r="B45" s="114">
        <f>'01_MASTER_DATABASE'!D42</f>
        <v/>
      </c>
      <c r="C45" s="113">
        <f>IF(OR(ISNUMBER(SEARCH("Luxury",'01_MASTER_DATABASE'!B42)),ISNUMBER(SEARCH("Cầu",'01_MASTER_DATABASE'!B42))),"⭐⭐⭐⭐⭐","⭐⭐⭐⭐")</f>
        <v/>
      </c>
      <c r="D45" s="113">
        <f>IF(ISNUMBER(SEARCH("Slim",'01_MASTER_DATABASE'!B42)),"⭐⭐⭐","⭐⭐⭐⭐")</f>
        <v/>
      </c>
      <c r="E45" s="113" t="inlineStr">
        <is>
          <t>⭐⭐⭐⭐</t>
        </is>
      </c>
      <c r="F45" s="113" t="inlineStr">
        <is>
          <t>⭐⭐⭐⭐</t>
        </is>
      </c>
      <c r="G45" s="114">
        <f>IF(OR(ISNUMBER(SEARCH("Luxury",'01_MASTER_DATABASE'!B42)),ISNUMBER(SEARCH("Cầu",'01_MASTER_DATABASE'!B42))),"Khuyên Dùng Cho Biệt Thự / Penhouse","Khuyên Dùng Cho Nhà Phố / Căn Hộ")</f>
        <v/>
      </c>
    </row>
    <row r="46" ht="25" customHeight="1">
      <c r="A46" s="113">
        <f>'01_MASTER_DATABASE'!C43</f>
        <v/>
      </c>
      <c r="B46" s="114">
        <f>'01_MASTER_DATABASE'!D43</f>
        <v/>
      </c>
      <c r="C46" s="113">
        <f>IF(OR(ISNUMBER(SEARCH("Luxury",'01_MASTER_DATABASE'!B43)),ISNUMBER(SEARCH("Cầu",'01_MASTER_DATABASE'!B43))),"⭐⭐⭐⭐⭐","⭐⭐⭐⭐")</f>
        <v/>
      </c>
      <c r="D46" s="113">
        <f>IF(ISNUMBER(SEARCH("Slim",'01_MASTER_DATABASE'!B43)),"⭐⭐⭐","⭐⭐⭐⭐")</f>
        <v/>
      </c>
      <c r="E46" s="113" t="inlineStr">
        <is>
          <t>⭐⭐⭐⭐</t>
        </is>
      </c>
      <c r="F46" s="113" t="inlineStr">
        <is>
          <t>⭐⭐⭐⭐</t>
        </is>
      </c>
      <c r="G46" s="114">
        <f>IF(OR(ISNUMBER(SEARCH("Luxury",'01_MASTER_DATABASE'!B43)),ISNUMBER(SEARCH("Cầu",'01_MASTER_DATABASE'!B43))),"Khuyên Dùng Cho Biệt Thự / Penhouse","Khuyên Dùng Cho Nhà Phố / Căn Hộ")</f>
        <v/>
      </c>
    </row>
    <row r="47" ht="25" customHeight="1">
      <c r="A47" s="113">
        <f>'01_MASTER_DATABASE'!C44</f>
        <v/>
      </c>
      <c r="B47" s="114">
        <f>'01_MASTER_DATABASE'!D44</f>
        <v/>
      </c>
      <c r="C47" s="113">
        <f>IF(OR(ISNUMBER(SEARCH("Luxury",'01_MASTER_DATABASE'!B44)),ISNUMBER(SEARCH("Cầu",'01_MASTER_DATABASE'!B44))),"⭐⭐⭐⭐⭐","⭐⭐⭐⭐")</f>
        <v/>
      </c>
      <c r="D47" s="113">
        <f>IF(ISNUMBER(SEARCH("Slim",'01_MASTER_DATABASE'!B44)),"⭐⭐⭐","⭐⭐⭐⭐")</f>
        <v/>
      </c>
      <c r="E47" s="113" t="inlineStr">
        <is>
          <t>⭐⭐⭐⭐</t>
        </is>
      </c>
      <c r="F47" s="113" t="inlineStr">
        <is>
          <t>⭐⭐⭐⭐</t>
        </is>
      </c>
      <c r="G47" s="114">
        <f>IF(OR(ISNUMBER(SEARCH("Luxury",'01_MASTER_DATABASE'!B44)),ISNUMBER(SEARCH("Cầu",'01_MASTER_DATABASE'!B44))),"Khuyên Dùng Cho Biệt Thự / Penhouse","Khuyên Dùng Cho Nhà Phố / Căn Hộ")</f>
        <v/>
      </c>
    </row>
    <row r="48" ht="25" customHeight="1">
      <c r="A48" s="113">
        <f>'01_MASTER_DATABASE'!C45</f>
        <v/>
      </c>
      <c r="B48" s="114">
        <f>'01_MASTER_DATABASE'!D45</f>
        <v/>
      </c>
      <c r="C48" s="113">
        <f>IF(OR(ISNUMBER(SEARCH("Luxury",'01_MASTER_DATABASE'!B45)),ISNUMBER(SEARCH("Cầu",'01_MASTER_DATABASE'!B45))),"⭐⭐⭐⭐⭐","⭐⭐⭐⭐")</f>
        <v/>
      </c>
      <c r="D48" s="113">
        <f>IF(ISNUMBER(SEARCH("Slim",'01_MASTER_DATABASE'!B45)),"⭐⭐⭐","⭐⭐⭐⭐")</f>
        <v/>
      </c>
      <c r="E48" s="113" t="inlineStr">
        <is>
          <t>⭐⭐⭐⭐</t>
        </is>
      </c>
      <c r="F48" s="113" t="inlineStr">
        <is>
          <t>⭐⭐⭐⭐</t>
        </is>
      </c>
      <c r="G48" s="114">
        <f>IF(OR(ISNUMBER(SEARCH("Luxury",'01_MASTER_DATABASE'!B45)),ISNUMBER(SEARCH("Cầu",'01_MASTER_DATABASE'!B45))),"Khuyên Dùng Cho Biệt Thự / Penhouse","Khuyên Dùng Cho Nhà Phố / Căn Hộ")</f>
        <v/>
      </c>
    </row>
    <row r="49" ht="25" customHeight="1">
      <c r="A49" s="113">
        <f>'01_MASTER_DATABASE'!C46</f>
        <v/>
      </c>
      <c r="B49" s="114">
        <f>'01_MASTER_DATABASE'!D46</f>
        <v/>
      </c>
      <c r="C49" s="113">
        <f>IF(OR(ISNUMBER(SEARCH("Luxury",'01_MASTER_DATABASE'!B46)),ISNUMBER(SEARCH("Cầu",'01_MASTER_DATABASE'!B46))),"⭐⭐⭐⭐⭐","⭐⭐⭐⭐")</f>
        <v/>
      </c>
      <c r="D49" s="113">
        <f>IF(ISNUMBER(SEARCH("Slim",'01_MASTER_DATABASE'!B46)),"⭐⭐⭐","⭐⭐⭐⭐")</f>
        <v/>
      </c>
      <c r="E49" s="113" t="inlineStr">
        <is>
          <t>⭐⭐⭐⭐</t>
        </is>
      </c>
      <c r="F49" s="113" t="inlineStr">
        <is>
          <t>⭐⭐⭐⭐</t>
        </is>
      </c>
      <c r="G49" s="114">
        <f>IF(OR(ISNUMBER(SEARCH("Luxury",'01_MASTER_DATABASE'!B46)),ISNUMBER(SEARCH("Cầu",'01_MASTER_DATABASE'!B46))),"Khuyên Dùng Cho Biệt Thự / Penhouse","Khuyên Dùng Cho Nhà Phố / Căn Hộ")</f>
        <v/>
      </c>
    </row>
    <row r="50" ht="25" customHeight="1">
      <c r="A50" s="113">
        <f>'01_MASTER_DATABASE'!C47</f>
        <v/>
      </c>
      <c r="B50" s="114">
        <f>'01_MASTER_DATABASE'!D47</f>
        <v/>
      </c>
      <c r="C50" s="113">
        <f>IF(OR(ISNUMBER(SEARCH("Luxury",'01_MASTER_DATABASE'!B47)),ISNUMBER(SEARCH("Cầu",'01_MASTER_DATABASE'!B47))),"⭐⭐⭐⭐⭐","⭐⭐⭐⭐")</f>
        <v/>
      </c>
      <c r="D50" s="113">
        <f>IF(ISNUMBER(SEARCH("Slim",'01_MASTER_DATABASE'!B47)),"⭐⭐⭐","⭐⭐⭐⭐")</f>
        <v/>
      </c>
      <c r="E50" s="113" t="inlineStr">
        <is>
          <t>⭐⭐⭐⭐</t>
        </is>
      </c>
      <c r="F50" s="113" t="inlineStr">
        <is>
          <t>⭐⭐⭐⭐</t>
        </is>
      </c>
      <c r="G50" s="114">
        <f>IF(OR(ISNUMBER(SEARCH("Luxury",'01_MASTER_DATABASE'!B47)),ISNUMBER(SEARCH("Cầu",'01_MASTER_DATABASE'!B47))),"Khuyên Dùng Cho Biệt Thự / Penhouse","Khuyên Dùng Cho Nhà Phố / Căn Hộ")</f>
        <v/>
      </c>
    </row>
    <row r="51" ht="25" customHeight="1">
      <c r="A51" s="113">
        <f>'01_MASTER_DATABASE'!C48</f>
        <v/>
      </c>
      <c r="B51" s="114">
        <f>'01_MASTER_DATABASE'!D48</f>
        <v/>
      </c>
      <c r="C51" s="113">
        <f>IF(OR(ISNUMBER(SEARCH("Luxury",'01_MASTER_DATABASE'!B48)),ISNUMBER(SEARCH("Cầu",'01_MASTER_DATABASE'!B48))),"⭐⭐⭐⭐⭐","⭐⭐⭐⭐")</f>
        <v/>
      </c>
      <c r="D51" s="113">
        <f>IF(ISNUMBER(SEARCH("Slim",'01_MASTER_DATABASE'!B48)),"⭐⭐⭐","⭐⭐⭐⭐")</f>
        <v/>
      </c>
      <c r="E51" s="113" t="inlineStr">
        <is>
          <t>⭐⭐⭐⭐</t>
        </is>
      </c>
      <c r="F51" s="113" t="inlineStr">
        <is>
          <t>⭐⭐⭐⭐</t>
        </is>
      </c>
      <c r="G51" s="114">
        <f>IF(OR(ISNUMBER(SEARCH("Luxury",'01_MASTER_DATABASE'!B48)),ISNUMBER(SEARCH("Cầu",'01_MASTER_DATABASE'!B48))),"Khuyên Dùng Cho Biệt Thự / Penhouse","Khuyên Dùng Cho Nhà Phố / Căn Hộ")</f>
        <v/>
      </c>
    </row>
    <row r="52" ht="25" customHeight="1">
      <c r="A52" s="113">
        <f>'01_MASTER_DATABASE'!C49</f>
        <v/>
      </c>
      <c r="B52" s="114">
        <f>'01_MASTER_DATABASE'!D49</f>
        <v/>
      </c>
      <c r="C52" s="113">
        <f>IF(OR(ISNUMBER(SEARCH("Luxury",'01_MASTER_DATABASE'!B49)),ISNUMBER(SEARCH("Cầu",'01_MASTER_DATABASE'!B49))),"⭐⭐⭐⭐⭐","⭐⭐⭐⭐")</f>
        <v/>
      </c>
      <c r="D52" s="113">
        <f>IF(ISNUMBER(SEARCH("Slim",'01_MASTER_DATABASE'!B49)),"⭐⭐⭐","⭐⭐⭐⭐")</f>
        <v/>
      </c>
      <c r="E52" s="113" t="inlineStr">
        <is>
          <t>⭐⭐⭐⭐</t>
        </is>
      </c>
      <c r="F52" s="113" t="inlineStr">
        <is>
          <t>⭐⭐⭐⭐</t>
        </is>
      </c>
      <c r="G52" s="114">
        <f>IF(OR(ISNUMBER(SEARCH("Luxury",'01_MASTER_DATABASE'!B49)),ISNUMBER(SEARCH("Cầu",'01_MASTER_DATABASE'!B49))),"Khuyên Dùng Cho Biệt Thự / Penhouse","Khuyên Dùng Cho Nhà Phố / Căn Hộ")</f>
        <v/>
      </c>
    </row>
    <row r="53" ht="25" customHeight="1">
      <c r="A53" s="113">
        <f>'01_MASTER_DATABASE'!C50</f>
        <v/>
      </c>
      <c r="B53" s="114">
        <f>'01_MASTER_DATABASE'!D50</f>
        <v/>
      </c>
      <c r="C53" s="113">
        <f>IF(OR(ISNUMBER(SEARCH("Luxury",'01_MASTER_DATABASE'!B50)),ISNUMBER(SEARCH("Cầu",'01_MASTER_DATABASE'!B50))),"⭐⭐⭐⭐⭐","⭐⭐⭐⭐")</f>
        <v/>
      </c>
      <c r="D53" s="113">
        <f>IF(ISNUMBER(SEARCH("Slim",'01_MASTER_DATABASE'!B50)),"⭐⭐⭐","⭐⭐⭐⭐")</f>
        <v/>
      </c>
      <c r="E53" s="113" t="inlineStr">
        <is>
          <t>⭐⭐⭐⭐</t>
        </is>
      </c>
      <c r="F53" s="113" t="inlineStr">
        <is>
          <t>⭐⭐⭐⭐</t>
        </is>
      </c>
      <c r="G53" s="114">
        <f>IF(OR(ISNUMBER(SEARCH("Luxury",'01_MASTER_DATABASE'!B50)),ISNUMBER(SEARCH("Cầu",'01_MASTER_DATABASE'!B50))),"Khuyên Dùng Cho Biệt Thự / Penhouse","Khuyên Dùng Cho Nhà Phố / Căn Hộ")</f>
        <v/>
      </c>
    </row>
    <row r="54" ht="25" customHeight="1">
      <c r="A54" s="113">
        <f>'01_MASTER_DATABASE'!C51</f>
        <v/>
      </c>
      <c r="B54" s="114">
        <f>'01_MASTER_DATABASE'!D51</f>
        <v/>
      </c>
      <c r="C54" s="113">
        <f>IF(OR(ISNUMBER(SEARCH("Luxury",'01_MASTER_DATABASE'!B51)),ISNUMBER(SEARCH("Cầu",'01_MASTER_DATABASE'!B51))),"⭐⭐⭐⭐⭐","⭐⭐⭐⭐")</f>
        <v/>
      </c>
      <c r="D54" s="113">
        <f>IF(ISNUMBER(SEARCH("Slim",'01_MASTER_DATABASE'!B51)),"⭐⭐⭐","⭐⭐⭐⭐")</f>
        <v/>
      </c>
      <c r="E54" s="113" t="inlineStr">
        <is>
          <t>⭐⭐⭐⭐</t>
        </is>
      </c>
      <c r="F54" s="113" t="inlineStr">
        <is>
          <t>⭐⭐⭐⭐</t>
        </is>
      </c>
      <c r="G54" s="114">
        <f>IF(OR(ISNUMBER(SEARCH("Luxury",'01_MASTER_DATABASE'!B51)),ISNUMBER(SEARCH("Cầu",'01_MASTER_DATABASE'!B51))),"Khuyên Dùng Cho Biệt Thự / Penhouse","Khuyên Dùng Cho Nhà Phố / Căn Hộ")</f>
        <v/>
      </c>
    </row>
    <row r="55" ht="25" customHeight="1">
      <c r="A55" s="113">
        <f>'01_MASTER_DATABASE'!C52</f>
        <v/>
      </c>
      <c r="B55" s="114">
        <f>'01_MASTER_DATABASE'!D52</f>
        <v/>
      </c>
      <c r="C55" s="113">
        <f>IF(OR(ISNUMBER(SEARCH("Luxury",'01_MASTER_DATABASE'!B52)),ISNUMBER(SEARCH("Cầu",'01_MASTER_DATABASE'!B52))),"⭐⭐⭐⭐⭐","⭐⭐⭐⭐")</f>
        <v/>
      </c>
      <c r="D55" s="113">
        <f>IF(ISNUMBER(SEARCH("Slim",'01_MASTER_DATABASE'!B52)),"⭐⭐⭐","⭐⭐⭐⭐")</f>
        <v/>
      </c>
      <c r="E55" s="113" t="inlineStr">
        <is>
          <t>⭐⭐⭐⭐</t>
        </is>
      </c>
      <c r="F55" s="113" t="inlineStr">
        <is>
          <t>⭐⭐⭐⭐</t>
        </is>
      </c>
      <c r="G55" s="114">
        <f>IF(OR(ISNUMBER(SEARCH("Luxury",'01_MASTER_DATABASE'!B52)),ISNUMBER(SEARCH("Cầu",'01_MASTER_DATABASE'!B52))),"Khuyên Dùng Cho Biệt Thự / Penhouse","Khuyên Dùng Cho Nhà Phố / Căn Hộ")</f>
        <v/>
      </c>
    </row>
    <row r="56" ht="25" customHeight="1">
      <c r="A56" s="113">
        <f>'01_MASTER_DATABASE'!C53</f>
        <v/>
      </c>
      <c r="B56" s="114">
        <f>'01_MASTER_DATABASE'!D53</f>
        <v/>
      </c>
      <c r="C56" s="113">
        <f>IF(OR(ISNUMBER(SEARCH("Luxury",'01_MASTER_DATABASE'!B53)),ISNUMBER(SEARCH("Cầu",'01_MASTER_DATABASE'!B53))),"⭐⭐⭐⭐⭐","⭐⭐⭐⭐")</f>
        <v/>
      </c>
      <c r="D56" s="113">
        <f>IF(ISNUMBER(SEARCH("Slim",'01_MASTER_DATABASE'!B53)),"⭐⭐⭐","⭐⭐⭐⭐")</f>
        <v/>
      </c>
      <c r="E56" s="113" t="inlineStr">
        <is>
          <t>⭐⭐⭐⭐</t>
        </is>
      </c>
      <c r="F56" s="113" t="inlineStr">
        <is>
          <t>⭐⭐⭐⭐</t>
        </is>
      </c>
      <c r="G56" s="114">
        <f>IF(OR(ISNUMBER(SEARCH("Luxury",'01_MASTER_DATABASE'!B53)),ISNUMBER(SEARCH("Cầu",'01_MASTER_DATABASE'!B53))),"Khuyên Dùng Cho Biệt Thự / Penhouse","Khuyên Dùng Cho Nhà Phố / Căn Hộ")</f>
        <v/>
      </c>
    </row>
    <row r="57" ht="25" customHeight="1">
      <c r="A57" s="113">
        <f>'01_MASTER_DATABASE'!C54</f>
        <v/>
      </c>
      <c r="B57" s="114">
        <f>'01_MASTER_DATABASE'!D54</f>
        <v/>
      </c>
      <c r="C57" s="113">
        <f>IF(OR(ISNUMBER(SEARCH("Luxury",'01_MASTER_DATABASE'!B54)),ISNUMBER(SEARCH("Cầu",'01_MASTER_DATABASE'!B54))),"⭐⭐⭐⭐⭐","⭐⭐⭐⭐")</f>
        <v/>
      </c>
      <c r="D57" s="113">
        <f>IF(ISNUMBER(SEARCH("Slim",'01_MASTER_DATABASE'!B54)),"⭐⭐⭐","⭐⭐⭐⭐")</f>
        <v/>
      </c>
      <c r="E57" s="113" t="inlineStr">
        <is>
          <t>⭐⭐⭐⭐</t>
        </is>
      </c>
      <c r="F57" s="113" t="inlineStr">
        <is>
          <t>⭐⭐⭐⭐</t>
        </is>
      </c>
      <c r="G57" s="114">
        <f>IF(OR(ISNUMBER(SEARCH("Luxury",'01_MASTER_DATABASE'!B54)),ISNUMBER(SEARCH("Cầu",'01_MASTER_DATABASE'!B54))),"Khuyên Dùng Cho Biệt Thự / Penhouse","Khuyên Dùng Cho Nhà Phố / Căn Hộ")</f>
        <v/>
      </c>
    </row>
    <row r="58" ht="25" customHeight="1">
      <c r="A58" s="113">
        <f>'01_MASTER_DATABASE'!C55</f>
        <v/>
      </c>
      <c r="B58" s="114">
        <f>'01_MASTER_DATABASE'!D55</f>
        <v/>
      </c>
      <c r="C58" s="113">
        <f>IF(OR(ISNUMBER(SEARCH("Luxury",'01_MASTER_DATABASE'!B55)),ISNUMBER(SEARCH("Cầu",'01_MASTER_DATABASE'!B55))),"⭐⭐⭐⭐⭐","⭐⭐⭐⭐")</f>
        <v/>
      </c>
      <c r="D58" s="113">
        <f>IF(ISNUMBER(SEARCH("Slim",'01_MASTER_DATABASE'!B55)),"⭐⭐⭐","⭐⭐⭐⭐")</f>
        <v/>
      </c>
      <c r="E58" s="113" t="inlineStr">
        <is>
          <t>⭐⭐⭐⭐</t>
        </is>
      </c>
      <c r="F58" s="113" t="inlineStr">
        <is>
          <t>⭐⭐⭐⭐</t>
        </is>
      </c>
      <c r="G58" s="114">
        <f>IF(OR(ISNUMBER(SEARCH("Luxury",'01_MASTER_DATABASE'!B55)),ISNUMBER(SEARCH("Cầu",'01_MASTER_DATABASE'!B55))),"Khuyên Dùng Cho Biệt Thự / Penhouse","Khuyên Dùng Cho Nhà Phố / Căn Hộ")</f>
        <v/>
      </c>
    </row>
    <row r="59" ht="25" customHeight="1">
      <c r="A59" s="113">
        <f>'01_MASTER_DATABASE'!C56</f>
        <v/>
      </c>
      <c r="B59" s="114">
        <f>'01_MASTER_DATABASE'!D56</f>
        <v/>
      </c>
      <c r="C59" s="113">
        <f>IF(OR(ISNUMBER(SEARCH("Luxury",'01_MASTER_DATABASE'!B56)),ISNUMBER(SEARCH("Cầu",'01_MASTER_DATABASE'!B56))),"⭐⭐⭐⭐⭐","⭐⭐⭐⭐")</f>
        <v/>
      </c>
      <c r="D59" s="113">
        <f>IF(ISNUMBER(SEARCH("Slim",'01_MASTER_DATABASE'!B56)),"⭐⭐⭐","⭐⭐⭐⭐")</f>
        <v/>
      </c>
      <c r="E59" s="113" t="inlineStr">
        <is>
          <t>⭐⭐⭐⭐</t>
        </is>
      </c>
      <c r="F59" s="113" t="inlineStr">
        <is>
          <t>⭐⭐⭐⭐</t>
        </is>
      </c>
      <c r="G59" s="114">
        <f>IF(OR(ISNUMBER(SEARCH("Luxury",'01_MASTER_DATABASE'!B56)),ISNUMBER(SEARCH("Cầu",'01_MASTER_DATABASE'!B56))),"Khuyên Dùng Cho Biệt Thự / Penhouse","Khuyên Dùng Cho Nhà Phố / Căn Hộ")</f>
        <v/>
      </c>
    </row>
    <row r="60" ht="25" customHeight="1">
      <c r="A60" s="113">
        <f>'01_MASTER_DATABASE'!C57</f>
        <v/>
      </c>
      <c r="B60" s="114">
        <f>'01_MASTER_DATABASE'!D57</f>
        <v/>
      </c>
      <c r="C60" s="113">
        <f>IF(OR(ISNUMBER(SEARCH("Luxury",'01_MASTER_DATABASE'!B57)),ISNUMBER(SEARCH("Cầu",'01_MASTER_DATABASE'!B57))),"⭐⭐⭐⭐⭐","⭐⭐⭐⭐")</f>
        <v/>
      </c>
      <c r="D60" s="113">
        <f>IF(ISNUMBER(SEARCH("Slim",'01_MASTER_DATABASE'!B57)),"⭐⭐⭐","⭐⭐⭐⭐")</f>
        <v/>
      </c>
      <c r="E60" s="113" t="inlineStr">
        <is>
          <t>⭐⭐⭐⭐</t>
        </is>
      </c>
      <c r="F60" s="113" t="inlineStr">
        <is>
          <t>⭐⭐⭐⭐</t>
        </is>
      </c>
      <c r="G60" s="114">
        <f>IF(OR(ISNUMBER(SEARCH("Luxury",'01_MASTER_DATABASE'!B57)),ISNUMBER(SEARCH("Cầu",'01_MASTER_DATABASE'!B57))),"Khuyên Dùng Cho Biệt Thự / Penhouse","Khuyên Dùng Cho Nhà Phố / Căn Hộ")</f>
        <v/>
      </c>
    </row>
    <row r="61" ht="25" customHeight="1">
      <c r="A61" s="113">
        <f>'01_MASTER_DATABASE'!C58</f>
        <v/>
      </c>
      <c r="B61" s="114">
        <f>'01_MASTER_DATABASE'!D58</f>
        <v/>
      </c>
      <c r="C61" s="113">
        <f>IF(OR(ISNUMBER(SEARCH("Luxury",'01_MASTER_DATABASE'!B58)),ISNUMBER(SEARCH("Cầu",'01_MASTER_DATABASE'!B58))),"⭐⭐⭐⭐⭐","⭐⭐⭐⭐")</f>
        <v/>
      </c>
      <c r="D61" s="113">
        <f>IF(ISNUMBER(SEARCH("Slim",'01_MASTER_DATABASE'!B58)),"⭐⭐⭐","⭐⭐⭐⭐")</f>
        <v/>
      </c>
      <c r="E61" s="113" t="inlineStr">
        <is>
          <t>⭐⭐⭐⭐</t>
        </is>
      </c>
      <c r="F61" s="113" t="inlineStr">
        <is>
          <t>⭐⭐⭐⭐</t>
        </is>
      </c>
      <c r="G61" s="114">
        <f>IF(OR(ISNUMBER(SEARCH("Luxury",'01_MASTER_DATABASE'!B58)),ISNUMBER(SEARCH("Cầu",'01_MASTER_DATABASE'!B58))),"Khuyên Dùng Cho Biệt Thự / Penhouse","Khuyên Dùng Cho Nhà Phố / Căn Hộ")</f>
        <v/>
      </c>
    </row>
    <row r="62" ht="25" customHeight="1">
      <c r="A62" s="113">
        <f>'01_MASTER_DATABASE'!C59</f>
        <v/>
      </c>
      <c r="B62" s="114">
        <f>'01_MASTER_DATABASE'!D59</f>
        <v/>
      </c>
      <c r="C62" s="113">
        <f>IF(OR(ISNUMBER(SEARCH("Luxury",'01_MASTER_DATABASE'!B59)),ISNUMBER(SEARCH("Cầu",'01_MASTER_DATABASE'!B59))),"⭐⭐⭐⭐⭐","⭐⭐⭐⭐")</f>
        <v/>
      </c>
      <c r="D62" s="113">
        <f>IF(ISNUMBER(SEARCH("Slim",'01_MASTER_DATABASE'!B59)),"⭐⭐⭐","⭐⭐⭐⭐")</f>
        <v/>
      </c>
      <c r="E62" s="113" t="inlineStr">
        <is>
          <t>⭐⭐⭐⭐</t>
        </is>
      </c>
      <c r="F62" s="113" t="inlineStr">
        <is>
          <t>⭐⭐⭐⭐</t>
        </is>
      </c>
      <c r="G62" s="114">
        <f>IF(OR(ISNUMBER(SEARCH("Luxury",'01_MASTER_DATABASE'!B59)),ISNUMBER(SEARCH("Cầu",'01_MASTER_DATABASE'!B59))),"Khuyên Dùng Cho Biệt Thự / Penhouse","Khuyên Dùng Cho Nhà Phố / Căn Hộ")</f>
        <v/>
      </c>
    </row>
    <row r="63" ht="25" customHeight="1">
      <c r="A63" s="113">
        <f>'01_MASTER_DATABASE'!C60</f>
        <v/>
      </c>
      <c r="B63" s="114">
        <f>'01_MASTER_DATABASE'!D60</f>
        <v/>
      </c>
      <c r="C63" s="113">
        <f>IF(OR(ISNUMBER(SEARCH("Luxury",'01_MASTER_DATABASE'!B60)),ISNUMBER(SEARCH("Cầu",'01_MASTER_DATABASE'!B60))),"⭐⭐⭐⭐⭐","⭐⭐⭐⭐")</f>
        <v/>
      </c>
      <c r="D63" s="113">
        <f>IF(ISNUMBER(SEARCH("Slim",'01_MASTER_DATABASE'!B60)),"⭐⭐⭐","⭐⭐⭐⭐")</f>
        <v/>
      </c>
      <c r="E63" s="113" t="inlineStr">
        <is>
          <t>⭐⭐⭐⭐</t>
        </is>
      </c>
      <c r="F63" s="113" t="inlineStr">
        <is>
          <t>⭐⭐⭐⭐</t>
        </is>
      </c>
      <c r="G63" s="114">
        <f>IF(OR(ISNUMBER(SEARCH("Luxury",'01_MASTER_DATABASE'!B60)),ISNUMBER(SEARCH("Cầu",'01_MASTER_DATABASE'!B60))),"Khuyên Dùng Cho Biệt Thự / Penhouse","Khuyên Dùng Cho Nhà Phố / Căn Hộ")</f>
        <v/>
      </c>
    </row>
    <row r="64" ht="25" customHeight="1">
      <c r="A64" s="113">
        <f>'01_MASTER_DATABASE'!C61</f>
        <v/>
      </c>
      <c r="B64" s="114">
        <f>'01_MASTER_DATABASE'!D61</f>
        <v/>
      </c>
      <c r="C64" s="113">
        <f>IF(OR(ISNUMBER(SEARCH("Luxury",'01_MASTER_DATABASE'!B61)),ISNUMBER(SEARCH("Cầu",'01_MASTER_DATABASE'!B61))),"⭐⭐⭐⭐⭐","⭐⭐⭐⭐")</f>
        <v/>
      </c>
      <c r="D64" s="113">
        <f>IF(ISNUMBER(SEARCH("Slim",'01_MASTER_DATABASE'!B61)),"⭐⭐⭐","⭐⭐⭐⭐")</f>
        <v/>
      </c>
      <c r="E64" s="113" t="inlineStr">
        <is>
          <t>⭐⭐⭐⭐</t>
        </is>
      </c>
      <c r="F64" s="113" t="inlineStr">
        <is>
          <t>⭐⭐⭐⭐</t>
        </is>
      </c>
      <c r="G64" s="114">
        <f>IF(OR(ISNUMBER(SEARCH("Luxury",'01_MASTER_DATABASE'!B61)),ISNUMBER(SEARCH("Cầu",'01_MASTER_DATABASE'!B61))),"Khuyên Dùng Cho Biệt Thự / Penhouse","Khuyên Dùng Cho Nhà Phố / Căn Hộ")</f>
        <v/>
      </c>
    </row>
    <row r="65" ht="25" customHeight="1">
      <c r="A65" s="113">
        <f>'01_MASTER_DATABASE'!C62</f>
        <v/>
      </c>
      <c r="B65" s="114">
        <f>'01_MASTER_DATABASE'!D62</f>
        <v/>
      </c>
      <c r="C65" s="113">
        <f>IF(OR(ISNUMBER(SEARCH("Luxury",'01_MASTER_DATABASE'!B62)),ISNUMBER(SEARCH("Cầu",'01_MASTER_DATABASE'!B62))),"⭐⭐⭐⭐⭐","⭐⭐⭐⭐")</f>
        <v/>
      </c>
      <c r="D65" s="113">
        <f>IF(ISNUMBER(SEARCH("Slim",'01_MASTER_DATABASE'!B62)),"⭐⭐⭐","⭐⭐⭐⭐")</f>
        <v/>
      </c>
      <c r="E65" s="113" t="inlineStr">
        <is>
          <t>⭐⭐⭐⭐</t>
        </is>
      </c>
      <c r="F65" s="113" t="inlineStr">
        <is>
          <t>⭐⭐⭐⭐</t>
        </is>
      </c>
      <c r="G65" s="114">
        <f>IF(OR(ISNUMBER(SEARCH("Luxury",'01_MASTER_DATABASE'!B62)),ISNUMBER(SEARCH("Cầu",'01_MASTER_DATABASE'!B62))),"Khuyên Dùng Cho Biệt Thự / Penhouse","Khuyên Dùng Cho Nhà Phố / Căn Hộ")</f>
        <v/>
      </c>
    </row>
    <row r="66" ht="25" customHeight="1">
      <c r="A66" s="113">
        <f>'01_MASTER_DATABASE'!C63</f>
        <v/>
      </c>
      <c r="B66" s="114">
        <f>'01_MASTER_DATABASE'!D63</f>
        <v/>
      </c>
      <c r="C66" s="113">
        <f>IF(OR(ISNUMBER(SEARCH("Luxury",'01_MASTER_DATABASE'!B63)),ISNUMBER(SEARCH("Cầu",'01_MASTER_DATABASE'!B63))),"⭐⭐⭐⭐⭐","⭐⭐⭐⭐")</f>
        <v/>
      </c>
      <c r="D66" s="113">
        <f>IF(ISNUMBER(SEARCH("Slim",'01_MASTER_DATABASE'!B63)),"⭐⭐⭐","⭐⭐⭐⭐")</f>
        <v/>
      </c>
      <c r="E66" s="113" t="inlineStr">
        <is>
          <t>⭐⭐⭐⭐</t>
        </is>
      </c>
      <c r="F66" s="113" t="inlineStr">
        <is>
          <t>⭐⭐⭐⭐</t>
        </is>
      </c>
      <c r="G66" s="114">
        <f>IF(OR(ISNUMBER(SEARCH("Luxury",'01_MASTER_DATABASE'!B63)),ISNUMBER(SEARCH("Cầu",'01_MASTER_DATABASE'!B63))),"Khuyên Dùng Cho Biệt Thự / Penhouse","Khuyên Dùng Cho Nhà Phố / Căn Hộ")</f>
        <v/>
      </c>
    </row>
    <row r="67" ht="25" customHeight="1">
      <c r="A67" s="113">
        <f>'01_MASTER_DATABASE'!C64</f>
        <v/>
      </c>
      <c r="B67" s="114">
        <f>'01_MASTER_DATABASE'!D64</f>
        <v/>
      </c>
      <c r="C67" s="113">
        <f>IF(OR(ISNUMBER(SEARCH("Luxury",'01_MASTER_DATABASE'!B64)),ISNUMBER(SEARCH("Cầu",'01_MASTER_DATABASE'!B64))),"⭐⭐⭐⭐⭐","⭐⭐⭐⭐")</f>
        <v/>
      </c>
      <c r="D67" s="113">
        <f>IF(ISNUMBER(SEARCH("Slim",'01_MASTER_DATABASE'!B64)),"⭐⭐⭐","⭐⭐⭐⭐")</f>
        <v/>
      </c>
      <c r="E67" s="113" t="inlineStr">
        <is>
          <t>⭐⭐⭐⭐</t>
        </is>
      </c>
      <c r="F67" s="113" t="inlineStr">
        <is>
          <t>⭐⭐⭐⭐</t>
        </is>
      </c>
      <c r="G67" s="114">
        <f>IF(OR(ISNUMBER(SEARCH("Luxury",'01_MASTER_DATABASE'!B64)),ISNUMBER(SEARCH("Cầu",'01_MASTER_DATABASE'!B64))),"Khuyên Dùng Cho Biệt Thự / Penhouse","Khuyên Dùng Cho Nhà Phố / Căn Hộ")</f>
        <v/>
      </c>
    </row>
    <row r="68" ht="25" customHeight="1">
      <c r="A68" s="113">
        <f>'01_MASTER_DATABASE'!C65</f>
        <v/>
      </c>
      <c r="B68" s="114">
        <f>'01_MASTER_DATABASE'!D65</f>
        <v/>
      </c>
      <c r="C68" s="113">
        <f>IF(OR(ISNUMBER(SEARCH("Luxury",'01_MASTER_DATABASE'!B65)),ISNUMBER(SEARCH("Cầu",'01_MASTER_DATABASE'!B65))),"⭐⭐⭐⭐⭐","⭐⭐⭐⭐")</f>
        <v/>
      </c>
      <c r="D68" s="113">
        <f>IF(ISNUMBER(SEARCH("Slim",'01_MASTER_DATABASE'!B65)),"⭐⭐⭐","⭐⭐⭐⭐")</f>
        <v/>
      </c>
      <c r="E68" s="113" t="inlineStr">
        <is>
          <t>⭐⭐⭐⭐</t>
        </is>
      </c>
      <c r="F68" s="113" t="inlineStr">
        <is>
          <t>⭐⭐⭐⭐</t>
        </is>
      </c>
      <c r="G68" s="114">
        <f>IF(OR(ISNUMBER(SEARCH("Luxury",'01_MASTER_DATABASE'!B65)),ISNUMBER(SEARCH("Cầu",'01_MASTER_DATABASE'!B65))),"Khuyên Dùng Cho Biệt Thự / Penhouse","Khuyên Dùng Cho Nhà Phố / Căn Hộ")</f>
        <v/>
      </c>
    </row>
    <row r="69" ht="25" customHeight="1">
      <c r="A69" s="113">
        <f>'01_MASTER_DATABASE'!C66</f>
        <v/>
      </c>
      <c r="B69" s="114">
        <f>'01_MASTER_DATABASE'!D66</f>
        <v/>
      </c>
      <c r="C69" s="113">
        <f>IF(OR(ISNUMBER(SEARCH("Luxury",'01_MASTER_DATABASE'!B66)),ISNUMBER(SEARCH("Cầu",'01_MASTER_DATABASE'!B66))),"⭐⭐⭐⭐⭐","⭐⭐⭐⭐")</f>
        <v/>
      </c>
      <c r="D69" s="113">
        <f>IF(ISNUMBER(SEARCH("Slim",'01_MASTER_DATABASE'!B66)),"⭐⭐⭐","⭐⭐⭐⭐")</f>
        <v/>
      </c>
      <c r="E69" s="113" t="inlineStr">
        <is>
          <t>⭐⭐⭐⭐</t>
        </is>
      </c>
      <c r="F69" s="113" t="inlineStr">
        <is>
          <t>⭐⭐⭐⭐</t>
        </is>
      </c>
      <c r="G69" s="114">
        <f>IF(OR(ISNUMBER(SEARCH("Luxury",'01_MASTER_DATABASE'!B66)),ISNUMBER(SEARCH("Cầu",'01_MASTER_DATABASE'!B66))),"Khuyên Dùng Cho Biệt Thự / Penhouse","Khuyên Dùng Cho Nhà Phố / Căn Hộ")</f>
        <v/>
      </c>
    </row>
    <row r="70" ht="25" customHeight="1">
      <c r="A70" s="113">
        <f>'01_MASTER_DATABASE'!C67</f>
        <v/>
      </c>
      <c r="B70" s="114">
        <f>'01_MASTER_DATABASE'!D67</f>
        <v/>
      </c>
      <c r="C70" s="113">
        <f>IF(OR(ISNUMBER(SEARCH("Luxury",'01_MASTER_DATABASE'!B67)),ISNUMBER(SEARCH("Cầu",'01_MASTER_DATABASE'!B67))),"⭐⭐⭐⭐⭐","⭐⭐⭐⭐")</f>
        <v/>
      </c>
      <c r="D70" s="113">
        <f>IF(ISNUMBER(SEARCH("Slim",'01_MASTER_DATABASE'!B67)),"⭐⭐⭐","⭐⭐⭐⭐")</f>
        <v/>
      </c>
      <c r="E70" s="113" t="inlineStr">
        <is>
          <t>⭐⭐⭐⭐</t>
        </is>
      </c>
      <c r="F70" s="113" t="inlineStr">
        <is>
          <t>⭐⭐⭐⭐</t>
        </is>
      </c>
      <c r="G70" s="114">
        <f>IF(OR(ISNUMBER(SEARCH("Luxury",'01_MASTER_DATABASE'!B67)),ISNUMBER(SEARCH("Cầu",'01_MASTER_DATABASE'!B67))),"Khuyên Dùng Cho Biệt Thự / Penhouse","Khuyên Dùng Cho Nhà Phố / Căn Hộ")</f>
        <v/>
      </c>
    </row>
    <row r="71" ht="25" customHeight="1">
      <c r="A71" s="113">
        <f>'01_MASTER_DATABASE'!C68</f>
        <v/>
      </c>
      <c r="B71" s="114">
        <f>'01_MASTER_DATABASE'!D68</f>
        <v/>
      </c>
      <c r="C71" s="113">
        <f>IF(OR(ISNUMBER(SEARCH("Luxury",'01_MASTER_DATABASE'!B68)),ISNUMBER(SEARCH("Cầu",'01_MASTER_DATABASE'!B68))),"⭐⭐⭐⭐⭐","⭐⭐⭐⭐")</f>
        <v/>
      </c>
      <c r="D71" s="113">
        <f>IF(ISNUMBER(SEARCH("Slim",'01_MASTER_DATABASE'!B68)),"⭐⭐⭐","⭐⭐⭐⭐")</f>
        <v/>
      </c>
      <c r="E71" s="113" t="inlineStr">
        <is>
          <t>⭐⭐⭐⭐</t>
        </is>
      </c>
      <c r="F71" s="113" t="inlineStr">
        <is>
          <t>⭐⭐⭐⭐</t>
        </is>
      </c>
      <c r="G71" s="114">
        <f>IF(OR(ISNUMBER(SEARCH("Luxury",'01_MASTER_DATABASE'!B68)),ISNUMBER(SEARCH("Cầu",'01_MASTER_DATABASE'!B68))),"Khuyên Dùng Cho Biệt Thự / Penhouse","Khuyên Dùng Cho Nhà Phố / Căn Hộ")</f>
        <v/>
      </c>
    </row>
    <row r="72" ht="25" customHeight="1">
      <c r="A72" s="113">
        <f>'01_MASTER_DATABASE'!C69</f>
        <v/>
      </c>
      <c r="B72" s="114">
        <f>'01_MASTER_DATABASE'!D69</f>
        <v/>
      </c>
      <c r="C72" s="113">
        <f>IF(OR(ISNUMBER(SEARCH("Luxury",'01_MASTER_DATABASE'!B69)),ISNUMBER(SEARCH("Cầu",'01_MASTER_DATABASE'!B69))),"⭐⭐⭐⭐⭐","⭐⭐⭐⭐")</f>
        <v/>
      </c>
      <c r="D72" s="113">
        <f>IF(ISNUMBER(SEARCH("Slim",'01_MASTER_DATABASE'!B69)),"⭐⭐⭐","⭐⭐⭐⭐")</f>
        <v/>
      </c>
      <c r="E72" s="113" t="inlineStr">
        <is>
          <t>⭐⭐⭐⭐</t>
        </is>
      </c>
      <c r="F72" s="113" t="inlineStr">
        <is>
          <t>⭐⭐⭐⭐</t>
        </is>
      </c>
      <c r="G72" s="114">
        <f>IF(OR(ISNUMBER(SEARCH("Luxury",'01_MASTER_DATABASE'!B69)),ISNUMBER(SEARCH("Cầu",'01_MASTER_DATABASE'!B69))),"Khuyên Dùng Cho Biệt Thự / Penhouse","Khuyên Dùng Cho Nhà Phố / Căn Hộ")</f>
        <v/>
      </c>
    </row>
    <row r="73" ht="25" customHeight="1">
      <c r="A73" s="113">
        <f>'01_MASTER_DATABASE'!C70</f>
        <v/>
      </c>
      <c r="B73" s="114">
        <f>'01_MASTER_DATABASE'!D70</f>
        <v/>
      </c>
      <c r="C73" s="113">
        <f>IF(OR(ISNUMBER(SEARCH("Luxury",'01_MASTER_DATABASE'!B70)),ISNUMBER(SEARCH("Cầu",'01_MASTER_DATABASE'!B70))),"⭐⭐⭐⭐⭐","⭐⭐⭐⭐")</f>
        <v/>
      </c>
      <c r="D73" s="113">
        <f>IF(ISNUMBER(SEARCH("Slim",'01_MASTER_DATABASE'!B70)),"⭐⭐⭐","⭐⭐⭐⭐")</f>
        <v/>
      </c>
      <c r="E73" s="113" t="inlineStr">
        <is>
          <t>⭐⭐⭐⭐</t>
        </is>
      </c>
      <c r="F73" s="113" t="inlineStr">
        <is>
          <t>⭐⭐⭐⭐</t>
        </is>
      </c>
      <c r="G73" s="114">
        <f>IF(OR(ISNUMBER(SEARCH("Luxury",'01_MASTER_DATABASE'!B70)),ISNUMBER(SEARCH("Cầu",'01_MASTER_DATABASE'!B70))),"Khuyên Dùng Cho Biệt Thự / Penhouse","Khuyên Dùng Cho Nhà Phố / Căn Hộ")</f>
        <v/>
      </c>
    </row>
    <row r="74" ht="25" customHeight="1">
      <c r="A74" s="113">
        <f>'01_MASTER_DATABASE'!C71</f>
        <v/>
      </c>
      <c r="B74" s="114">
        <f>'01_MASTER_DATABASE'!D71</f>
        <v/>
      </c>
      <c r="C74" s="113">
        <f>IF(OR(ISNUMBER(SEARCH("Luxury",'01_MASTER_DATABASE'!B71)),ISNUMBER(SEARCH("Cầu",'01_MASTER_DATABASE'!B71))),"⭐⭐⭐⭐⭐","⭐⭐⭐⭐")</f>
        <v/>
      </c>
      <c r="D74" s="113">
        <f>IF(ISNUMBER(SEARCH("Slim",'01_MASTER_DATABASE'!B71)),"⭐⭐⭐","⭐⭐⭐⭐")</f>
        <v/>
      </c>
      <c r="E74" s="113" t="inlineStr">
        <is>
          <t>⭐⭐⭐⭐</t>
        </is>
      </c>
      <c r="F74" s="113" t="inlineStr">
        <is>
          <t>⭐⭐⭐⭐</t>
        </is>
      </c>
      <c r="G74" s="114">
        <f>IF(OR(ISNUMBER(SEARCH("Luxury",'01_MASTER_DATABASE'!B71)),ISNUMBER(SEARCH("Cầu",'01_MASTER_DATABASE'!B71))),"Khuyên Dùng Cho Biệt Thự / Penhouse","Khuyên Dùng Cho Nhà Phố / Căn Hộ")</f>
        <v/>
      </c>
    </row>
    <row r="75" ht="25" customHeight="1">
      <c r="A75" s="113">
        <f>'01_MASTER_DATABASE'!C72</f>
        <v/>
      </c>
      <c r="B75" s="114">
        <f>'01_MASTER_DATABASE'!D72</f>
        <v/>
      </c>
      <c r="C75" s="113">
        <f>IF(OR(ISNUMBER(SEARCH("Luxury",'01_MASTER_DATABASE'!B72)),ISNUMBER(SEARCH("Cầu",'01_MASTER_DATABASE'!B72))),"⭐⭐⭐⭐⭐","⭐⭐⭐⭐")</f>
        <v/>
      </c>
      <c r="D75" s="113">
        <f>IF(ISNUMBER(SEARCH("Slim",'01_MASTER_DATABASE'!B72)),"⭐⭐⭐","⭐⭐⭐⭐")</f>
        <v/>
      </c>
      <c r="E75" s="113" t="inlineStr">
        <is>
          <t>⭐⭐⭐⭐</t>
        </is>
      </c>
      <c r="F75" s="113" t="inlineStr">
        <is>
          <t>⭐⭐⭐⭐</t>
        </is>
      </c>
      <c r="G75" s="114">
        <f>IF(OR(ISNUMBER(SEARCH("Luxury",'01_MASTER_DATABASE'!B72)),ISNUMBER(SEARCH("Cầu",'01_MASTER_DATABASE'!B72))),"Khuyên Dùng Cho Biệt Thự / Penhouse","Khuyên Dùng Cho Nhà Phố / Căn Hộ")</f>
        <v/>
      </c>
    </row>
    <row r="76" ht="25" customHeight="1">
      <c r="A76" s="113">
        <f>'01_MASTER_DATABASE'!C73</f>
        <v/>
      </c>
      <c r="B76" s="114">
        <f>'01_MASTER_DATABASE'!D73</f>
        <v/>
      </c>
      <c r="C76" s="113">
        <f>IF(OR(ISNUMBER(SEARCH("Luxury",'01_MASTER_DATABASE'!B73)),ISNUMBER(SEARCH("Cầu",'01_MASTER_DATABASE'!B73))),"⭐⭐⭐⭐⭐","⭐⭐⭐⭐")</f>
        <v/>
      </c>
      <c r="D76" s="113">
        <f>IF(ISNUMBER(SEARCH("Slim",'01_MASTER_DATABASE'!B73)),"⭐⭐⭐","⭐⭐⭐⭐")</f>
        <v/>
      </c>
      <c r="E76" s="113" t="inlineStr">
        <is>
          <t>⭐⭐⭐⭐</t>
        </is>
      </c>
      <c r="F76" s="113" t="inlineStr">
        <is>
          <t>⭐⭐⭐⭐</t>
        </is>
      </c>
      <c r="G76" s="114">
        <f>IF(OR(ISNUMBER(SEARCH("Luxury",'01_MASTER_DATABASE'!B73)),ISNUMBER(SEARCH("Cầu",'01_MASTER_DATABASE'!B73))),"Khuyên Dùng Cho Biệt Thự / Penhouse","Khuyên Dùng Cho Nhà Phố / Căn Hộ")</f>
        <v/>
      </c>
    </row>
    <row r="77" ht="25" customHeight="1">
      <c r="A77" s="113">
        <f>'01_MASTER_DATABASE'!C74</f>
        <v/>
      </c>
      <c r="B77" s="114">
        <f>'01_MASTER_DATABASE'!D74</f>
        <v/>
      </c>
      <c r="C77" s="113">
        <f>IF(OR(ISNUMBER(SEARCH("Luxury",'01_MASTER_DATABASE'!B74)),ISNUMBER(SEARCH("Cầu",'01_MASTER_DATABASE'!B74))),"⭐⭐⭐⭐⭐","⭐⭐⭐⭐")</f>
        <v/>
      </c>
      <c r="D77" s="113">
        <f>IF(ISNUMBER(SEARCH("Slim",'01_MASTER_DATABASE'!B74)),"⭐⭐⭐","⭐⭐⭐⭐")</f>
        <v/>
      </c>
      <c r="E77" s="113" t="inlineStr">
        <is>
          <t>⭐⭐⭐⭐</t>
        </is>
      </c>
      <c r="F77" s="113" t="inlineStr">
        <is>
          <t>⭐⭐⭐⭐</t>
        </is>
      </c>
      <c r="G77" s="114">
        <f>IF(OR(ISNUMBER(SEARCH("Luxury",'01_MASTER_DATABASE'!B74)),ISNUMBER(SEARCH("Cầu",'01_MASTER_DATABASE'!B74))),"Khuyên Dùng Cho Biệt Thự / Penhouse","Khuyên Dùng Cho Nhà Phố / Căn Hộ")</f>
        <v/>
      </c>
    </row>
    <row r="78" ht="25" customHeight="1">
      <c r="A78" s="113">
        <f>'01_MASTER_DATABASE'!C75</f>
        <v/>
      </c>
      <c r="B78" s="114">
        <f>'01_MASTER_DATABASE'!D75</f>
        <v/>
      </c>
      <c r="C78" s="113">
        <f>IF(OR(ISNUMBER(SEARCH("Luxury",'01_MASTER_DATABASE'!B75)),ISNUMBER(SEARCH("Cầu",'01_MASTER_DATABASE'!B75))),"⭐⭐⭐⭐⭐","⭐⭐⭐⭐")</f>
        <v/>
      </c>
      <c r="D78" s="113">
        <f>IF(ISNUMBER(SEARCH("Slim",'01_MASTER_DATABASE'!B75)),"⭐⭐⭐","⭐⭐⭐⭐")</f>
        <v/>
      </c>
      <c r="E78" s="113" t="inlineStr">
        <is>
          <t>⭐⭐⭐⭐</t>
        </is>
      </c>
      <c r="F78" s="113" t="inlineStr">
        <is>
          <t>⭐⭐⭐⭐</t>
        </is>
      </c>
      <c r="G78" s="114">
        <f>IF(OR(ISNUMBER(SEARCH("Luxury",'01_MASTER_DATABASE'!B75)),ISNUMBER(SEARCH("Cầu",'01_MASTER_DATABASE'!B75))),"Khuyên Dùng Cho Biệt Thự / Penhouse","Khuyên Dùng Cho Nhà Phố / Căn Hộ")</f>
        <v/>
      </c>
    </row>
    <row r="79" ht="25" customHeight="1">
      <c r="A79" s="113">
        <f>'01_MASTER_DATABASE'!C76</f>
        <v/>
      </c>
      <c r="B79" s="114">
        <f>'01_MASTER_DATABASE'!D76</f>
        <v/>
      </c>
      <c r="C79" s="113">
        <f>IF(OR(ISNUMBER(SEARCH("Luxury",'01_MASTER_DATABASE'!B76)),ISNUMBER(SEARCH("Cầu",'01_MASTER_DATABASE'!B76))),"⭐⭐⭐⭐⭐","⭐⭐⭐⭐")</f>
        <v/>
      </c>
      <c r="D79" s="113">
        <f>IF(ISNUMBER(SEARCH("Slim",'01_MASTER_DATABASE'!B76)),"⭐⭐⭐","⭐⭐⭐⭐")</f>
        <v/>
      </c>
      <c r="E79" s="113" t="inlineStr">
        <is>
          <t>⭐⭐⭐⭐</t>
        </is>
      </c>
      <c r="F79" s="113" t="inlineStr">
        <is>
          <t>⭐⭐⭐⭐</t>
        </is>
      </c>
      <c r="G79" s="114">
        <f>IF(OR(ISNUMBER(SEARCH("Luxury",'01_MASTER_DATABASE'!B76)),ISNUMBER(SEARCH("Cầu",'01_MASTER_DATABASE'!B76))),"Khuyên Dùng Cho Biệt Thự / Penhouse","Khuyên Dùng Cho Nhà Phố / Căn Hộ")</f>
        <v/>
      </c>
    </row>
    <row r="80" ht="25" customHeight="1">
      <c r="A80" s="113">
        <f>'01_MASTER_DATABASE'!C77</f>
        <v/>
      </c>
      <c r="B80" s="114">
        <f>'01_MASTER_DATABASE'!D77</f>
        <v/>
      </c>
      <c r="C80" s="113">
        <f>IF(OR(ISNUMBER(SEARCH("Luxury",'01_MASTER_DATABASE'!B77)),ISNUMBER(SEARCH("Cầu",'01_MASTER_DATABASE'!B77))),"⭐⭐⭐⭐⭐","⭐⭐⭐⭐")</f>
        <v/>
      </c>
      <c r="D80" s="113">
        <f>IF(ISNUMBER(SEARCH("Slim",'01_MASTER_DATABASE'!B77)),"⭐⭐⭐","⭐⭐⭐⭐")</f>
        <v/>
      </c>
      <c r="E80" s="113" t="inlineStr">
        <is>
          <t>⭐⭐⭐⭐</t>
        </is>
      </c>
      <c r="F80" s="113" t="inlineStr">
        <is>
          <t>⭐⭐⭐⭐</t>
        </is>
      </c>
      <c r="G80" s="114">
        <f>IF(OR(ISNUMBER(SEARCH("Luxury",'01_MASTER_DATABASE'!B77)),ISNUMBER(SEARCH("Cầu",'01_MASTER_DATABASE'!B77))),"Khuyên Dùng Cho Biệt Thự / Penhouse","Khuyên Dùng Cho Nhà Phố / Căn Hộ")</f>
        <v/>
      </c>
    </row>
    <row r="81" ht="25" customHeight="1">
      <c r="A81" s="113">
        <f>'01_MASTER_DATABASE'!C78</f>
        <v/>
      </c>
      <c r="B81" s="114">
        <f>'01_MASTER_DATABASE'!D78</f>
        <v/>
      </c>
      <c r="C81" s="113">
        <f>IF(OR(ISNUMBER(SEARCH("Luxury",'01_MASTER_DATABASE'!B78)),ISNUMBER(SEARCH("Cầu",'01_MASTER_DATABASE'!B78))),"⭐⭐⭐⭐⭐","⭐⭐⭐⭐")</f>
        <v/>
      </c>
      <c r="D81" s="113">
        <f>IF(ISNUMBER(SEARCH("Slim",'01_MASTER_DATABASE'!B78)),"⭐⭐⭐","⭐⭐⭐⭐")</f>
        <v/>
      </c>
      <c r="E81" s="113" t="inlineStr">
        <is>
          <t>⭐⭐⭐⭐</t>
        </is>
      </c>
      <c r="F81" s="113" t="inlineStr">
        <is>
          <t>⭐⭐⭐⭐</t>
        </is>
      </c>
      <c r="G81" s="114">
        <f>IF(OR(ISNUMBER(SEARCH("Luxury",'01_MASTER_DATABASE'!B78)),ISNUMBER(SEARCH("Cầu",'01_MASTER_DATABASE'!B78))),"Khuyên Dùng Cho Biệt Thự / Penhouse","Khuyên Dùng Cho Nhà Phố / Căn Hộ")</f>
        <v/>
      </c>
    </row>
    <row r="82" ht="25" customHeight="1">
      <c r="A82" s="113">
        <f>'01_MASTER_DATABASE'!C79</f>
        <v/>
      </c>
      <c r="B82" s="114">
        <f>'01_MASTER_DATABASE'!D79</f>
        <v/>
      </c>
      <c r="C82" s="113">
        <f>IF(OR(ISNUMBER(SEARCH("Luxury",'01_MASTER_DATABASE'!B79)),ISNUMBER(SEARCH("Cầu",'01_MASTER_DATABASE'!B79))),"⭐⭐⭐⭐⭐","⭐⭐⭐⭐")</f>
        <v/>
      </c>
      <c r="D82" s="113">
        <f>IF(ISNUMBER(SEARCH("Slim",'01_MASTER_DATABASE'!B79)),"⭐⭐⭐","⭐⭐⭐⭐")</f>
        <v/>
      </c>
      <c r="E82" s="113" t="inlineStr">
        <is>
          <t>⭐⭐⭐⭐</t>
        </is>
      </c>
      <c r="F82" s="113" t="inlineStr">
        <is>
          <t>⭐⭐⭐⭐</t>
        </is>
      </c>
      <c r="G82" s="114">
        <f>IF(OR(ISNUMBER(SEARCH("Luxury",'01_MASTER_DATABASE'!B79)),ISNUMBER(SEARCH("Cầu",'01_MASTER_DATABASE'!B79))),"Khuyên Dùng Cho Biệt Thự / Penhouse","Khuyên Dùng Cho Nhà Phố / Căn Hộ")</f>
        <v/>
      </c>
    </row>
    <row r="83" ht="25" customHeight="1">
      <c r="A83" s="113">
        <f>'01_MASTER_DATABASE'!C80</f>
        <v/>
      </c>
      <c r="B83" s="114">
        <f>'01_MASTER_DATABASE'!D80</f>
        <v/>
      </c>
      <c r="C83" s="113">
        <f>IF(OR(ISNUMBER(SEARCH("Luxury",'01_MASTER_DATABASE'!B80)),ISNUMBER(SEARCH("Cầu",'01_MASTER_DATABASE'!B80))),"⭐⭐⭐⭐⭐","⭐⭐⭐⭐")</f>
        <v/>
      </c>
      <c r="D83" s="113">
        <f>IF(ISNUMBER(SEARCH("Slim",'01_MASTER_DATABASE'!B80)),"⭐⭐⭐","⭐⭐⭐⭐")</f>
        <v/>
      </c>
      <c r="E83" s="113" t="inlineStr">
        <is>
          <t>⭐⭐⭐⭐</t>
        </is>
      </c>
      <c r="F83" s="113" t="inlineStr">
        <is>
          <t>⭐⭐⭐⭐</t>
        </is>
      </c>
      <c r="G83" s="114">
        <f>IF(OR(ISNUMBER(SEARCH("Luxury",'01_MASTER_DATABASE'!B80)),ISNUMBER(SEARCH("Cầu",'01_MASTER_DATABASE'!B80))),"Khuyên Dùng Cho Biệt Thự / Penhouse","Khuyên Dùng Cho Nhà Phố / Căn Hộ")</f>
        <v/>
      </c>
    </row>
    <row r="84" ht="25" customHeight="1">
      <c r="A84" s="113">
        <f>'01_MASTER_DATABASE'!C81</f>
        <v/>
      </c>
      <c r="B84" s="114">
        <f>'01_MASTER_DATABASE'!D81</f>
        <v/>
      </c>
      <c r="C84" s="113">
        <f>IF(OR(ISNUMBER(SEARCH("Luxury",'01_MASTER_DATABASE'!B81)),ISNUMBER(SEARCH("Cầu",'01_MASTER_DATABASE'!B81))),"⭐⭐⭐⭐⭐","⭐⭐⭐⭐")</f>
        <v/>
      </c>
      <c r="D84" s="113">
        <f>IF(ISNUMBER(SEARCH("Slim",'01_MASTER_DATABASE'!B81)),"⭐⭐⭐","⭐⭐⭐⭐")</f>
        <v/>
      </c>
      <c r="E84" s="113" t="inlineStr">
        <is>
          <t>⭐⭐⭐⭐</t>
        </is>
      </c>
      <c r="F84" s="113" t="inlineStr">
        <is>
          <t>⭐⭐⭐⭐</t>
        </is>
      </c>
      <c r="G84" s="114">
        <f>IF(OR(ISNUMBER(SEARCH("Luxury",'01_MASTER_DATABASE'!B81)),ISNUMBER(SEARCH("Cầu",'01_MASTER_DATABASE'!B81))),"Khuyên Dùng Cho Biệt Thự / Penhouse","Khuyên Dùng Cho Nhà Phố / Căn Hộ")</f>
        <v/>
      </c>
    </row>
    <row r="85" ht="25" customHeight="1">
      <c r="A85" s="113">
        <f>'01_MASTER_DATABASE'!C82</f>
        <v/>
      </c>
      <c r="B85" s="114">
        <f>'01_MASTER_DATABASE'!D82</f>
        <v/>
      </c>
      <c r="C85" s="113">
        <f>IF(OR(ISNUMBER(SEARCH("Luxury",'01_MASTER_DATABASE'!B82)),ISNUMBER(SEARCH("Cầu",'01_MASTER_DATABASE'!B82))),"⭐⭐⭐⭐⭐","⭐⭐⭐⭐")</f>
        <v/>
      </c>
      <c r="D85" s="113">
        <f>IF(ISNUMBER(SEARCH("Slim",'01_MASTER_DATABASE'!B82)),"⭐⭐⭐","⭐⭐⭐⭐")</f>
        <v/>
      </c>
      <c r="E85" s="113" t="inlineStr">
        <is>
          <t>⭐⭐⭐⭐</t>
        </is>
      </c>
      <c r="F85" s="113" t="inlineStr">
        <is>
          <t>⭐⭐⭐⭐</t>
        </is>
      </c>
      <c r="G85" s="114">
        <f>IF(OR(ISNUMBER(SEARCH("Luxury",'01_MASTER_DATABASE'!B82)),ISNUMBER(SEARCH("Cầu",'01_MASTER_DATABASE'!B82))),"Khuyên Dùng Cho Biệt Thự / Penhouse","Khuyên Dùng Cho Nhà Phố / Căn Hộ")</f>
        <v/>
      </c>
    </row>
    <row r="86" ht="25" customHeight="1">
      <c r="A86" s="113">
        <f>'01_MASTER_DATABASE'!C83</f>
        <v/>
      </c>
      <c r="B86" s="114">
        <f>'01_MASTER_DATABASE'!D83</f>
        <v/>
      </c>
      <c r="C86" s="113">
        <f>IF(OR(ISNUMBER(SEARCH("Luxury",'01_MASTER_DATABASE'!B83)),ISNUMBER(SEARCH("Cầu",'01_MASTER_DATABASE'!B83))),"⭐⭐⭐⭐⭐","⭐⭐⭐⭐")</f>
        <v/>
      </c>
      <c r="D86" s="113">
        <f>IF(ISNUMBER(SEARCH("Slim",'01_MASTER_DATABASE'!B83)),"⭐⭐⭐","⭐⭐⭐⭐")</f>
        <v/>
      </c>
      <c r="E86" s="113" t="inlineStr">
        <is>
          <t>⭐⭐⭐⭐</t>
        </is>
      </c>
      <c r="F86" s="113" t="inlineStr">
        <is>
          <t>⭐⭐⭐⭐</t>
        </is>
      </c>
      <c r="G86" s="114">
        <f>IF(OR(ISNUMBER(SEARCH("Luxury",'01_MASTER_DATABASE'!B83)),ISNUMBER(SEARCH("Cầu",'01_MASTER_DATABASE'!B83))),"Khuyên Dùng Cho Biệt Thự / Penhouse","Khuyên Dùng Cho Nhà Phố / Căn Hộ")</f>
        <v/>
      </c>
    </row>
    <row r="87" ht="25" customHeight="1">
      <c r="A87" s="113">
        <f>'01_MASTER_DATABASE'!C84</f>
        <v/>
      </c>
      <c r="B87" s="114">
        <f>'01_MASTER_DATABASE'!D84</f>
        <v/>
      </c>
      <c r="C87" s="113">
        <f>IF(OR(ISNUMBER(SEARCH("Luxury",'01_MASTER_DATABASE'!B84)),ISNUMBER(SEARCH("Cầu",'01_MASTER_DATABASE'!B84))),"⭐⭐⭐⭐⭐","⭐⭐⭐⭐")</f>
        <v/>
      </c>
      <c r="D87" s="113">
        <f>IF(ISNUMBER(SEARCH("Slim",'01_MASTER_DATABASE'!B84)),"⭐⭐⭐","⭐⭐⭐⭐")</f>
        <v/>
      </c>
      <c r="E87" s="113" t="inlineStr">
        <is>
          <t>⭐⭐⭐⭐</t>
        </is>
      </c>
      <c r="F87" s="113" t="inlineStr">
        <is>
          <t>⭐⭐⭐⭐</t>
        </is>
      </c>
      <c r="G87" s="114">
        <f>IF(OR(ISNUMBER(SEARCH("Luxury",'01_MASTER_DATABASE'!B84)),ISNUMBER(SEARCH("Cầu",'01_MASTER_DATABASE'!B84))),"Khuyên Dùng Cho Biệt Thự / Penhouse","Khuyên Dùng Cho Nhà Phố / Căn Hộ")</f>
        <v/>
      </c>
    </row>
    <row r="88" ht="25" customHeight="1">
      <c r="A88" s="113">
        <f>'01_MASTER_DATABASE'!C85</f>
        <v/>
      </c>
      <c r="B88" s="114">
        <f>'01_MASTER_DATABASE'!D85</f>
        <v/>
      </c>
      <c r="C88" s="113">
        <f>IF(OR(ISNUMBER(SEARCH("Luxury",'01_MASTER_DATABASE'!B85)),ISNUMBER(SEARCH("Cầu",'01_MASTER_DATABASE'!B85))),"⭐⭐⭐⭐⭐","⭐⭐⭐⭐")</f>
        <v/>
      </c>
      <c r="D88" s="113">
        <f>IF(ISNUMBER(SEARCH("Slim",'01_MASTER_DATABASE'!B85)),"⭐⭐⭐","⭐⭐⭐⭐")</f>
        <v/>
      </c>
      <c r="E88" s="113" t="inlineStr">
        <is>
          <t>⭐⭐⭐⭐</t>
        </is>
      </c>
      <c r="F88" s="113" t="inlineStr">
        <is>
          <t>⭐⭐⭐⭐</t>
        </is>
      </c>
      <c r="G88" s="114">
        <f>IF(OR(ISNUMBER(SEARCH("Luxury",'01_MASTER_DATABASE'!B85)),ISNUMBER(SEARCH("Cầu",'01_MASTER_DATABASE'!B85))),"Khuyên Dùng Cho Biệt Thự / Penhouse","Khuyên Dùng Cho Nhà Phố / Căn Hộ")</f>
        <v/>
      </c>
    </row>
    <row r="89" ht="25" customHeight="1">
      <c r="A89" s="113">
        <f>'01_MASTER_DATABASE'!C86</f>
        <v/>
      </c>
      <c r="B89" s="114">
        <f>'01_MASTER_DATABASE'!D86</f>
        <v/>
      </c>
      <c r="C89" s="113">
        <f>IF(OR(ISNUMBER(SEARCH("Luxury",'01_MASTER_DATABASE'!B86)),ISNUMBER(SEARCH("Cầu",'01_MASTER_DATABASE'!B86))),"⭐⭐⭐⭐⭐","⭐⭐⭐⭐")</f>
        <v/>
      </c>
      <c r="D89" s="113">
        <f>IF(ISNUMBER(SEARCH("Slim",'01_MASTER_DATABASE'!B86)),"⭐⭐⭐","⭐⭐⭐⭐")</f>
        <v/>
      </c>
      <c r="E89" s="113" t="inlineStr">
        <is>
          <t>⭐⭐⭐⭐</t>
        </is>
      </c>
      <c r="F89" s="113" t="inlineStr">
        <is>
          <t>⭐⭐⭐⭐</t>
        </is>
      </c>
      <c r="G89" s="114">
        <f>IF(OR(ISNUMBER(SEARCH("Luxury",'01_MASTER_DATABASE'!B86)),ISNUMBER(SEARCH("Cầu",'01_MASTER_DATABASE'!B86))),"Khuyên Dùng Cho Biệt Thự / Penhouse","Khuyên Dùng Cho Nhà Phố / Căn Hộ")</f>
        <v/>
      </c>
    </row>
    <row r="90" ht="25" customHeight="1">
      <c r="A90" s="113">
        <f>'01_MASTER_DATABASE'!C87</f>
        <v/>
      </c>
      <c r="B90" s="114">
        <f>'01_MASTER_DATABASE'!D87</f>
        <v/>
      </c>
      <c r="C90" s="113">
        <f>IF(OR(ISNUMBER(SEARCH("Luxury",'01_MASTER_DATABASE'!B87)),ISNUMBER(SEARCH("Cầu",'01_MASTER_DATABASE'!B87))),"⭐⭐⭐⭐⭐","⭐⭐⭐⭐")</f>
        <v/>
      </c>
      <c r="D90" s="113">
        <f>IF(ISNUMBER(SEARCH("Slim",'01_MASTER_DATABASE'!B87)),"⭐⭐⭐","⭐⭐⭐⭐")</f>
        <v/>
      </c>
      <c r="E90" s="113" t="inlineStr">
        <is>
          <t>⭐⭐⭐⭐</t>
        </is>
      </c>
      <c r="F90" s="113" t="inlineStr">
        <is>
          <t>⭐⭐⭐⭐</t>
        </is>
      </c>
      <c r="G90" s="114">
        <f>IF(OR(ISNUMBER(SEARCH("Luxury",'01_MASTER_DATABASE'!B87)),ISNUMBER(SEARCH("Cầu",'01_MASTER_DATABASE'!B87))),"Khuyên Dùng Cho Biệt Thự / Penhouse","Khuyên Dùng Cho Nhà Phố / Căn Hộ")</f>
        <v/>
      </c>
    </row>
    <row r="91" ht="25" customHeight="1">
      <c r="A91" s="113">
        <f>'01_MASTER_DATABASE'!C88</f>
        <v/>
      </c>
      <c r="B91" s="114">
        <f>'01_MASTER_DATABASE'!D88</f>
        <v/>
      </c>
      <c r="C91" s="113">
        <f>IF(OR(ISNUMBER(SEARCH("Luxury",'01_MASTER_DATABASE'!B88)),ISNUMBER(SEARCH("Cầu",'01_MASTER_DATABASE'!B88))),"⭐⭐⭐⭐⭐","⭐⭐⭐⭐")</f>
        <v/>
      </c>
      <c r="D91" s="113">
        <f>IF(ISNUMBER(SEARCH("Slim",'01_MASTER_DATABASE'!B88)),"⭐⭐⭐","⭐⭐⭐⭐")</f>
        <v/>
      </c>
      <c r="E91" s="113" t="inlineStr">
        <is>
          <t>⭐⭐⭐⭐</t>
        </is>
      </c>
      <c r="F91" s="113" t="inlineStr">
        <is>
          <t>⭐⭐⭐⭐</t>
        </is>
      </c>
      <c r="G91" s="114">
        <f>IF(OR(ISNUMBER(SEARCH("Luxury",'01_MASTER_DATABASE'!B88)),ISNUMBER(SEARCH("Cầu",'01_MASTER_DATABASE'!B88))),"Khuyên Dùng Cho Biệt Thự / Penhouse","Khuyên Dùng Cho Nhà Phố / Căn Hộ")</f>
        <v/>
      </c>
    </row>
    <row r="92" ht="25" customHeight="1">
      <c r="A92" s="113">
        <f>'01_MASTER_DATABASE'!C89</f>
        <v/>
      </c>
      <c r="B92" s="114">
        <f>'01_MASTER_DATABASE'!D89</f>
        <v/>
      </c>
      <c r="C92" s="113">
        <f>IF(OR(ISNUMBER(SEARCH("Luxury",'01_MASTER_DATABASE'!B89)),ISNUMBER(SEARCH("Cầu",'01_MASTER_DATABASE'!B89))),"⭐⭐⭐⭐⭐","⭐⭐⭐⭐")</f>
        <v/>
      </c>
      <c r="D92" s="113">
        <f>IF(ISNUMBER(SEARCH("Slim",'01_MASTER_DATABASE'!B89)),"⭐⭐⭐","⭐⭐⭐⭐")</f>
        <v/>
      </c>
      <c r="E92" s="113" t="inlineStr">
        <is>
          <t>⭐⭐⭐⭐</t>
        </is>
      </c>
      <c r="F92" s="113" t="inlineStr">
        <is>
          <t>⭐⭐⭐⭐</t>
        </is>
      </c>
      <c r="G92" s="114">
        <f>IF(OR(ISNUMBER(SEARCH("Luxury",'01_MASTER_DATABASE'!B89)),ISNUMBER(SEARCH("Cầu",'01_MASTER_DATABASE'!B89))),"Khuyên Dùng Cho Biệt Thự / Penhouse","Khuyên Dùng Cho Nhà Phố / Căn Hộ")</f>
        <v/>
      </c>
    </row>
    <row r="93" ht="25" customHeight="1">
      <c r="A93" s="113">
        <f>'01_MASTER_DATABASE'!C90</f>
        <v/>
      </c>
      <c r="B93" s="114">
        <f>'01_MASTER_DATABASE'!D90</f>
        <v/>
      </c>
      <c r="C93" s="113">
        <f>IF(OR(ISNUMBER(SEARCH("Luxury",'01_MASTER_DATABASE'!B90)),ISNUMBER(SEARCH("Cầu",'01_MASTER_DATABASE'!B90))),"⭐⭐⭐⭐⭐","⭐⭐⭐⭐")</f>
        <v/>
      </c>
      <c r="D93" s="113">
        <f>IF(ISNUMBER(SEARCH("Slim",'01_MASTER_DATABASE'!B90)),"⭐⭐⭐","⭐⭐⭐⭐")</f>
        <v/>
      </c>
      <c r="E93" s="113" t="inlineStr">
        <is>
          <t>⭐⭐⭐⭐</t>
        </is>
      </c>
      <c r="F93" s="113" t="inlineStr">
        <is>
          <t>⭐⭐⭐⭐</t>
        </is>
      </c>
      <c r="G93" s="114">
        <f>IF(OR(ISNUMBER(SEARCH("Luxury",'01_MASTER_DATABASE'!B90)),ISNUMBER(SEARCH("Cầu",'01_MASTER_DATABASE'!B90))),"Khuyên Dùng Cho Biệt Thự / Penhouse","Khuyên Dùng Cho Nhà Phố / Căn Hộ")</f>
        <v/>
      </c>
    </row>
    <row r="94" ht="25" customHeight="1">
      <c r="A94" s="113">
        <f>'01_MASTER_DATABASE'!C91</f>
        <v/>
      </c>
      <c r="B94" s="114">
        <f>'01_MASTER_DATABASE'!D91</f>
        <v/>
      </c>
      <c r="C94" s="113">
        <f>IF(OR(ISNUMBER(SEARCH("Luxury",'01_MASTER_DATABASE'!B91)),ISNUMBER(SEARCH("Cầu",'01_MASTER_DATABASE'!B91))),"⭐⭐⭐⭐⭐","⭐⭐⭐⭐")</f>
        <v/>
      </c>
      <c r="D94" s="113">
        <f>IF(ISNUMBER(SEARCH("Slim",'01_MASTER_DATABASE'!B91)),"⭐⭐⭐","⭐⭐⭐⭐")</f>
        <v/>
      </c>
      <c r="E94" s="113" t="inlineStr">
        <is>
          <t>⭐⭐⭐⭐</t>
        </is>
      </c>
      <c r="F94" s="113" t="inlineStr">
        <is>
          <t>⭐⭐⭐⭐</t>
        </is>
      </c>
      <c r="G94" s="114">
        <f>IF(OR(ISNUMBER(SEARCH("Luxury",'01_MASTER_DATABASE'!B91)),ISNUMBER(SEARCH("Cầu",'01_MASTER_DATABASE'!B91))),"Khuyên Dùng Cho Biệt Thự / Penhouse","Khuyên Dùng Cho Nhà Phố / Căn Hộ")</f>
        <v/>
      </c>
    </row>
    <row r="95" ht="25" customHeight="1">
      <c r="A95" s="113">
        <f>'01_MASTER_DATABASE'!C92</f>
        <v/>
      </c>
      <c r="B95" s="114">
        <f>'01_MASTER_DATABASE'!D92</f>
        <v/>
      </c>
      <c r="C95" s="113">
        <f>IF(OR(ISNUMBER(SEARCH("Luxury",'01_MASTER_DATABASE'!B92)),ISNUMBER(SEARCH("Cầu",'01_MASTER_DATABASE'!B92))),"⭐⭐⭐⭐⭐","⭐⭐⭐⭐")</f>
        <v/>
      </c>
      <c r="D95" s="113">
        <f>IF(ISNUMBER(SEARCH("Slim",'01_MASTER_DATABASE'!B92)),"⭐⭐⭐","⭐⭐⭐⭐")</f>
        <v/>
      </c>
      <c r="E95" s="113" t="inlineStr">
        <is>
          <t>⭐⭐⭐⭐</t>
        </is>
      </c>
      <c r="F95" s="113" t="inlineStr">
        <is>
          <t>⭐⭐⭐⭐</t>
        </is>
      </c>
      <c r="G95" s="114">
        <f>IF(OR(ISNUMBER(SEARCH("Luxury",'01_MASTER_DATABASE'!B92)),ISNUMBER(SEARCH("Cầu",'01_MASTER_DATABASE'!B92))),"Khuyên Dùng Cho Biệt Thự / Penhouse","Khuyên Dùng Cho Nhà Phố / Căn Hộ")</f>
        <v/>
      </c>
    </row>
    <row r="96" ht="25" customHeight="1">
      <c r="A96" s="113">
        <f>'01_MASTER_DATABASE'!C93</f>
        <v/>
      </c>
      <c r="B96" s="114">
        <f>'01_MASTER_DATABASE'!D93</f>
        <v/>
      </c>
      <c r="C96" s="113">
        <f>IF(OR(ISNUMBER(SEARCH("Luxury",'01_MASTER_DATABASE'!B93)),ISNUMBER(SEARCH("Cầu",'01_MASTER_DATABASE'!B93))),"⭐⭐⭐⭐⭐","⭐⭐⭐⭐")</f>
        <v/>
      </c>
      <c r="D96" s="113">
        <f>IF(ISNUMBER(SEARCH("Slim",'01_MASTER_DATABASE'!B93)),"⭐⭐⭐","⭐⭐⭐⭐")</f>
        <v/>
      </c>
      <c r="E96" s="113" t="inlineStr">
        <is>
          <t>⭐⭐⭐⭐</t>
        </is>
      </c>
      <c r="F96" s="113" t="inlineStr">
        <is>
          <t>⭐⭐⭐⭐</t>
        </is>
      </c>
      <c r="G96" s="114">
        <f>IF(OR(ISNUMBER(SEARCH("Luxury",'01_MASTER_DATABASE'!B93)),ISNUMBER(SEARCH("Cầu",'01_MASTER_DATABASE'!B93))),"Khuyên Dùng Cho Biệt Thự / Penhouse","Khuyên Dùng Cho Nhà Phố / Căn Hộ")</f>
        <v/>
      </c>
    </row>
    <row r="97" ht="25" customHeight="1">
      <c r="A97" s="113">
        <f>'01_MASTER_DATABASE'!C94</f>
        <v/>
      </c>
      <c r="B97" s="114">
        <f>'01_MASTER_DATABASE'!D94</f>
        <v/>
      </c>
      <c r="C97" s="113">
        <f>IF(OR(ISNUMBER(SEARCH("Luxury",'01_MASTER_DATABASE'!B94)),ISNUMBER(SEARCH("Cầu",'01_MASTER_DATABASE'!B94))),"⭐⭐⭐⭐⭐","⭐⭐⭐⭐")</f>
        <v/>
      </c>
      <c r="D97" s="113">
        <f>IF(ISNUMBER(SEARCH("Slim",'01_MASTER_DATABASE'!B94)),"⭐⭐⭐","⭐⭐⭐⭐")</f>
        <v/>
      </c>
      <c r="E97" s="113" t="inlineStr">
        <is>
          <t>⭐⭐⭐⭐</t>
        </is>
      </c>
      <c r="F97" s="113" t="inlineStr">
        <is>
          <t>⭐⭐⭐⭐</t>
        </is>
      </c>
      <c r="G97" s="114">
        <f>IF(OR(ISNUMBER(SEARCH("Luxury",'01_MASTER_DATABASE'!B94)),ISNUMBER(SEARCH("Cầu",'01_MASTER_DATABASE'!B94))),"Khuyên Dùng Cho Biệt Thự / Penhouse","Khuyên Dùng Cho Nhà Phố / Căn Hộ")</f>
        <v/>
      </c>
    </row>
    <row r="98" ht="25" customHeight="1">
      <c r="A98" s="113">
        <f>'01_MASTER_DATABASE'!C95</f>
        <v/>
      </c>
      <c r="B98" s="114">
        <f>'01_MASTER_DATABASE'!D95</f>
        <v/>
      </c>
      <c r="C98" s="113">
        <f>IF(OR(ISNUMBER(SEARCH("Luxury",'01_MASTER_DATABASE'!B95)),ISNUMBER(SEARCH("Cầu",'01_MASTER_DATABASE'!B95))),"⭐⭐⭐⭐⭐","⭐⭐⭐⭐")</f>
        <v/>
      </c>
      <c r="D98" s="113">
        <f>IF(ISNUMBER(SEARCH("Slim",'01_MASTER_DATABASE'!B95)),"⭐⭐⭐","⭐⭐⭐⭐")</f>
        <v/>
      </c>
      <c r="E98" s="113" t="inlineStr">
        <is>
          <t>⭐⭐⭐⭐</t>
        </is>
      </c>
      <c r="F98" s="113" t="inlineStr">
        <is>
          <t>⭐⭐⭐⭐</t>
        </is>
      </c>
      <c r="G98" s="114">
        <f>IF(OR(ISNUMBER(SEARCH("Luxury",'01_MASTER_DATABASE'!B95)),ISNUMBER(SEARCH("Cầu",'01_MASTER_DATABASE'!B95))),"Khuyên Dùng Cho Biệt Thự / Penhouse","Khuyên Dùng Cho Nhà Phố / Căn Hộ")</f>
        <v/>
      </c>
    </row>
    <row r="99" ht="25" customHeight="1">
      <c r="A99" s="113">
        <f>'01_MASTER_DATABASE'!C96</f>
        <v/>
      </c>
      <c r="B99" s="114">
        <f>'01_MASTER_DATABASE'!D96</f>
        <v/>
      </c>
      <c r="C99" s="113">
        <f>IF(OR(ISNUMBER(SEARCH("Luxury",'01_MASTER_DATABASE'!B96)),ISNUMBER(SEARCH("Cầu",'01_MASTER_DATABASE'!B96))),"⭐⭐⭐⭐⭐","⭐⭐⭐⭐")</f>
        <v/>
      </c>
      <c r="D99" s="113">
        <f>IF(ISNUMBER(SEARCH("Slim",'01_MASTER_DATABASE'!B96)),"⭐⭐⭐","⭐⭐⭐⭐")</f>
        <v/>
      </c>
      <c r="E99" s="113" t="inlineStr">
        <is>
          <t>⭐⭐⭐⭐</t>
        </is>
      </c>
      <c r="F99" s="113" t="inlineStr">
        <is>
          <t>⭐⭐⭐⭐</t>
        </is>
      </c>
      <c r="G99" s="114">
        <f>IF(OR(ISNUMBER(SEARCH("Luxury",'01_MASTER_DATABASE'!B96)),ISNUMBER(SEARCH("Cầu",'01_MASTER_DATABASE'!B96))),"Khuyên Dùng Cho Biệt Thự / Penhouse","Khuyên Dùng Cho Nhà Phố / Căn Hộ")</f>
        <v/>
      </c>
    </row>
    <row r="100" ht="25" customHeight="1">
      <c r="A100" s="113">
        <f>'01_MASTER_DATABASE'!C97</f>
        <v/>
      </c>
      <c r="B100" s="114">
        <f>'01_MASTER_DATABASE'!D97</f>
        <v/>
      </c>
      <c r="C100" s="113">
        <f>IF(OR(ISNUMBER(SEARCH("Luxury",'01_MASTER_DATABASE'!B97)),ISNUMBER(SEARCH("Cầu",'01_MASTER_DATABASE'!B97))),"⭐⭐⭐⭐⭐","⭐⭐⭐⭐")</f>
        <v/>
      </c>
      <c r="D100" s="113">
        <f>IF(ISNUMBER(SEARCH("Slim",'01_MASTER_DATABASE'!B97)),"⭐⭐⭐","⭐⭐⭐⭐")</f>
        <v/>
      </c>
      <c r="E100" s="113" t="inlineStr">
        <is>
          <t>⭐⭐⭐⭐</t>
        </is>
      </c>
      <c r="F100" s="113" t="inlineStr">
        <is>
          <t>⭐⭐⭐⭐</t>
        </is>
      </c>
      <c r="G100" s="114">
        <f>IF(OR(ISNUMBER(SEARCH("Luxury",'01_MASTER_DATABASE'!B97)),ISNUMBER(SEARCH("Cầu",'01_MASTER_DATABASE'!B97))),"Khuyên Dùng Cho Biệt Thự / Penhouse","Khuyên Dùng Cho Nhà Phố / Căn Hộ")</f>
        <v/>
      </c>
    </row>
    <row r="101" ht="25" customHeight="1">
      <c r="A101" s="113">
        <f>'01_MASTER_DATABASE'!C98</f>
        <v/>
      </c>
      <c r="B101" s="114">
        <f>'01_MASTER_DATABASE'!D98</f>
        <v/>
      </c>
      <c r="C101" s="113">
        <f>IF(OR(ISNUMBER(SEARCH("Luxury",'01_MASTER_DATABASE'!B98)),ISNUMBER(SEARCH("Cầu",'01_MASTER_DATABASE'!B98))),"⭐⭐⭐⭐⭐","⭐⭐⭐⭐")</f>
        <v/>
      </c>
      <c r="D101" s="113">
        <f>IF(ISNUMBER(SEARCH("Slim",'01_MASTER_DATABASE'!B98)),"⭐⭐⭐","⭐⭐⭐⭐")</f>
        <v/>
      </c>
      <c r="E101" s="113" t="inlineStr">
        <is>
          <t>⭐⭐⭐⭐</t>
        </is>
      </c>
      <c r="F101" s="113" t="inlineStr">
        <is>
          <t>⭐⭐⭐⭐</t>
        </is>
      </c>
      <c r="G101" s="114">
        <f>IF(OR(ISNUMBER(SEARCH("Luxury",'01_MASTER_DATABASE'!B98)),ISNUMBER(SEARCH("Cầu",'01_MASTER_DATABASE'!B98))),"Khuyên Dùng Cho Biệt Thự / Penhouse","Khuyên Dùng Cho Nhà Phố / Căn Hộ")</f>
        <v/>
      </c>
    </row>
    <row r="102" ht="25" customHeight="1">
      <c r="A102" s="113">
        <f>'01_MASTER_DATABASE'!C99</f>
        <v/>
      </c>
      <c r="B102" s="114">
        <f>'01_MASTER_DATABASE'!D99</f>
        <v/>
      </c>
      <c r="C102" s="113">
        <f>IF(OR(ISNUMBER(SEARCH("Luxury",'01_MASTER_DATABASE'!B99)),ISNUMBER(SEARCH("Cầu",'01_MASTER_DATABASE'!B99))),"⭐⭐⭐⭐⭐","⭐⭐⭐⭐")</f>
        <v/>
      </c>
      <c r="D102" s="113">
        <f>IF(ISNUMBER(SEARCH("Slim",'01_MASTER_DATABASE'!B99)),"⭐⭐⭐","⭐⭐⭐⭐")</f>
        <v/>
      </c>
      <c r="E102" s="113" t="inlineStr">
        <is>
          <t>⭐⭐⭐⭐</t>
        </is>
      </c>
      <c r="F102" s="113" t="inlineStr">
        <is>
          <t>⭐⭐⭐⭐</t>
        </is>
      </c>
      <c r="G102" s="114">
        <f>IF(OR(ISNUMBER(SEARCH("Luxury",'01_MASTER_DATABASE'!B99)),ISNUMBER(SEARCH("Cầu",'01_MASTER_DATABASE'!B99))),"Khuyên Dùng Cho Biệt Thự / Penhouse","Khuyên Dùng Cho Nhà Phố / Căn Hộ")</f>
        <v/>
      </c>
    </row>
    <row r="103" ht="25" customHeight="1">
      <c r="A103" s="113">
        <f>'01_MASTER_DATABASE'!C100</f>
        <v/>
      </c>
      <c r="B103" s="114">
        <f>'01_MASTER_DATABASE'!D100</f>
        <v/>
      </c>
      <c r="C103" s="113">
        <f>IF(OR(ISNUMBER(SEARCH("Luxury",'01_MASTER_DATABASE'!B100)),ISNUMBER(SEARCH("Cầu",'01_MASTER_DATABASE'!B100))),"⭐⭐⭐⭐⭐","⭐⭐⭐⭐")</f>
        <v/>
      </c>
      <c r="D103" s="113">
        <f>IF(ISNUMBER(SEARCH("Slim",'01_MASTER_DATABASE'!B100)),"⭐⭐⭐","⭐⭐⭐⭐")</f>
        <v/>
      </c>
      <c r="E103" s="113" t="inlineStr">
        <is>
          <t>⭐⭐⭐⭐</t>
        </is>
      </c>
      <c r="F103" s="113" t="inlineStr">
        <is>
          <t>⭐⭐⭐⭐</t>
        </is>
      </c>
      <c r="G103" s="114">
        <f>IF(OR(ISNUMBER(SEARCH("Luxury",'01_MASTER_DATABASE'!B100)),ISNUMBER(SEARCH("Cầu",'01_MASTER_DATABASE'!B100))),"Khuyên Dùng Cho Biệt Thự / Penhouse","Khuyên Dùng Cho Nhà Phố / Căn Hộ")</f>
        <v/>
      </c>
    </row>
    <row r="104" ht="25" customHeight="1">
      <c r="A104" s="113">
        <f>'01_MASTER_DATABASE'!C101</f>
        <v/>
      </c>
      <c r="B104" s="114">
        <f>'01_MASTER_DATABASE'!D101</f>
        <v/>
      </c>
      <c r="C104" s="113">
        <f>IF(OR(ISNUMBER(SEARCH("Luxury",'01_MASTER_DATABASE'!B101)),ISNUMBER(SEARCH("Cầu",'01_MASTER_DATABASE'!B101))),"⭐⭐⭐⭐⭐","⭐⭐⭐⭐")</f>
        <v/>
      </c>
      <c r="D104" s="113">
        <f>IF(ISNUMBER(SEARCH("Slim",'01_MASTER_DATABASE'!B101)),"⭐⭐⭐","⭐⭐⭐⭐")</f>
        <v/>
      </c>
      <c r="E104" s="113" t="inlineStr">
        <is>
          <t>⭐⭐⭐⭐</t>
        </is>
      </c>
      <c r="F104" s="113" t="inlineStr">
        <is>
          <t>⭐⭐⭐⭐</t>
        </is>
      </c>
      <c r="G104" s="114">
        <f>IF(OR(ISNUMBER(SEARCH("Luxury",'01_MASTER_DATABASE'!B101)),ISNUMBER(SEARCH("Cầu",'01_MASTER_DATABASE'!B101))),"Khuyên Dùng Cho Biệt Thự / Penhouse","Khuyên Dùng Cho Nhà Phố / Căn Hộ")</f>
        <v/>
      </c>
    </row>
    <row r="105" ht="25" customHeight="1">
      <c r="A105" s="113">
        <f>'01_MASTER_DATABASE'!C102</f>
        <v/>
      </c>
      <c r="B105" s="114">
        <f>'01_MASTER_DATABASE'!D102</f>
        <v/>
      </c>
      <c r="C105" s="113">
        <f>IF(OR(ISNUMBER(SEARCH("Luxury",'01_MASTER_DATABASE'!B102)),ISNUMBER(SEARCH("Cầu",'01_MASTER_DATABASE'!B102))),"⭐⭐⭐⭐⭐","⭐⭐⭐⭐")</f>
        <v/>
      </c>
      <c r="D105" s="113">
        <f>IF(ISNUMBER(SEARCH("Slim",'01_MASTER_DATABASE'!B102)),"⭐⭐⭐","⭐⭐⭐⭐")</f>
        <v/>
      </c>
      <c r="E105" s="113" t="inlineStr">
        <is>
          <t>⭐⭐⭐⭐</t>
        </is>
      </c>
      <c r="F105" s="113" t="inlineStr">
        <is>
          <t>⭐⭐⭐⭐</t>
        </is>
      </c>
      <c r="G105" s="114">
        <f>IF(OR(ISNUMBER(SEARCH("Luxury",'01_MASTER_DATABASE'!B102)),ISNUMBER(SEARCH("Cầu",'01_MASTER_DATABASE'!B102))),"Khuyên Dùng Cho Biệt Thự / Penhouse","Khuyên Dùng Cho Nhà Phố / Căn Hộ")</f>
        <v/>
      </c>
    </row>
    <row r="106" ht="25" customHeight="1">
      <c r="A106" s="113">
        <f>'01_MASTER_DATABASE'!C103</f>
        <v/>
      </c>
      <c r="B106" s="114">
        <f>'01_MASTER_DATABASE'!D103</f>
        <v/>
      </c>
      <c r="C106" s="113">
        <f>IF(OR(ISNUMBER(SEARCH("Luxury",'01_MASTER_DATABASE'!B103)),ISNUMBER(SEARCH("Cầu",'01_MASTER_DATABASE'!B103))),"⭐⭐⭐⭐⭐","⭐⭐⭐⭐")</f>
        <v/>
      </c>
      <c r="D106" s="113">
        <f>IF(ISNUMBER(SEARCH("Slim",'01_MASTER_DATABASE'!B103)),"⭐⭐⭐","⭐⭐⭐⭐")</f>
        <v/>
      </c>
      <c r="E106" s="113" t="inlineStr">
        <is>
          <t>⭐⭐⭐⭐</t>
        </is>
      </c>
      <c r="F106" s="113" t="inlineStr">
        <is>
          <t>⭐⭐⭐⭐</t>
        </is>
      </c>
      <c r="G106" s="114">
        <f>IF(OR(ISNUMBER(SEARCH("Luxury",'01_MASTER_DATABASE'!B103)),ISNUMBER(SEARCH("Cầu",'01_MASTER_DATABASE'!B103))),"Khuyên Dùng Cho Biệt Thự / Penhouse","Khuyên Dùng Cho Nhà Phố / Căn Hộ")</f>
        <v/>
      </c>
    </row>
    <row r="107" ht="25" customHeight="1">
      <c r="A107" s="113">
        <f>'01_MASTER_DATABASE'!C104</f>
        <v/>
      </c>
      <c r="B107" s="114">
        <f>'01_MASTER_DATABASE'!D104</f>
        <v/>
      </c>
      <c r="C107" s="113">
        <f>IF(OR(ISNUMBER(SEARCH("Luxury",'01_MASTER_DATABASE'!B104)),ISNUMBER(SEARCH("Cầu",'01_MASTER_DATABASE'!B104))),"⭐⭐⭐⭐⭐","⭐⭐⭐⭐")</f>
        <v/>
      </c>
      <c r="D107" s="113">
        <f>IF(ISNUMBER(SEARCH("Slim",'01_MASTER_DATABASE'!B104)),"⭐⭐⭐","⭐⭐⭐⭐")</f>
        <v/>
      </c>
      <c r="E107" s="113" t="inlineStr">
        <is>
          <t>⭐⭐⭐⭐</t>
        </is>
      </c>
      <c r="F107" s="113" t="inlineStr">
        <is>
          <t>⭐⭐⭐⭐</t>
        </is>
      </c>
      <c r="G107" s="114">
        <f>IF(OR(ISNUMBER(SEARCH("Luxury",'01_MASTER_DATABASE'!B104)),ISNUMBER(SEARCH("Cầu",'01_MASTER_DATABASE'!B104))),"Khuyên Dùng Cho Biệt Thự / Penhouse","Khuyên Dùng Cho Nhà Phố / Căn Hộ")</f>
        <v/>
      </c>
    </row>
    <row r="108" ht="25" customHeight="1">
      <c r="A108" s="113">
        <f>'01_MASTER_DATABASE'!C105</f>
        <v/>
      </c>
      <c r="B108" s="114">
        <f>'01_MASTER_DATABASE'!D105</f>
        <v/>
      </c>
      <c r="C108" s="113">
        <f>IF(OR(ISNUMBER(SEARCH("Luxury",'01_MASTER_DATABASE'!B105)),ISNUMBER(SEARCH("Cầu",'01_MASTER_DATABASE'!B105))),"⭐⭐⭐⭐⭐","⭐⭐⭐⭐")</f>
        <v/>
      </c>
      <c r="D108" s="113">
        <f>IF(ISNUMBER(SEARCH("Slim",'01_MASTER_DATABASE'!B105)),"⭐⭐⭐","⭐⭐⭐⭐")</f>
        <v/>
      </c>
      <c r="E108" s="113" t="inlineStr">
        <is>
          <t>⭐⭐⭐⭐</t>
        </is>
      </c>
      <c r="F108" s="113" t="inlineStr">
        <is>
          <t>⭐⭐⭐⭐</t>
        </is>
      </c>
      <c r="G108" s="114">
        <f>IF(OR(ISNUMBER(SEARCH("Luxury",'01_MASTER_DATABASE'!B105)),ISNUMBER(SEARCH("Cầu",'01_MASTER_DATABASE'!B105))),"Khuyên Dùng Cho Biệt Thự / Penhouse","Khuyên Dùng Cho Nhà Phố / Căn Hộ")</f>
        <v/>
      </c>
    </row>
    <row r="109" ht="25" customHeight="1">
      <c r="A109" s="113">
        <f>'01_MASTER_DATABASE'!C106</f>
        <v/>
      </c>
      <c r="B109" s="114">
        <f>'01_MASTER_DATABASE'!D106</f>
        <v/>
      </c>
      <c r="C109" s="113">
        <f>IF(OR(ISNUMBER(SEARCH("Luxury",'01_MASTER_DATABASE'!B106)),ISNUMBER(SEARCH("Cầu",'01_MASTER_DATABASE'!B106))),"⭐⭐⭐⭐⭐","⭐⭐⭐⭐")</f>
        <v/>
      </c>
      <c r="D109" s="113">
        <f>IF(ISNUMBER(SEARCH("Slim",'01_MASTER_DATABASE'!B106)),"⭐⭐⭐","⭐⭐⭐⭐")</f>
        <v/>
      </c>
      <c r="E109" s="113" t="inlineStr">
        <is>
          <t>⭐⭐⭐⭐</t>
        </is>
      </c>
      <c r="F109" s="113" t="inlineStr">
        <is>
          <t>⭐⭐⭐⭐</t>
        </is>
      </c>
      <c r="G109" s="114">
        <f>IF(OR(ISNUMBER(SEARCH("Luxury",'01_MASTER_DATABASE'!B106)),ISNUMBER(SEARCH("Cầu",'01_MASTER_DATABASE'!B106))),"Khuyên Dùng Cho Biệt Thự / Penhouse","Khuyên Dùng Cho Nhà Phố / Căn Hộ")</f>
        <v/>
      </c>
    </row>
    <row r="110" ht="25" customHeight="1">
      <c r="A110" s="113">
        <f>'01_MASTER_DATABASE'!C107</f>
        <v/>
      </c>
      <c r="B110" s="114">
        <f>'01_MASTER_DATABASE'!D107</f>
        <v/>
      </c>
      <c r="C110" s="113">
        <f>IF(OR(ISNUMBER(SEARCH("Luxury",'01_MASTER_DATABASE'!B107)),ISNUMBER(SEARCH("Cầu",'01_MASTER_DATABASE'!B107))),"⭐⭐⭐⭐⭐","⭐⭐⭐⭐")</f>
        <v/>
      </c>
      <c r="D110" s="113">
        <f>IF(ISNUMBER(SEARCH("Slim",'01_MASTER_DATABASE'!B107)),"⭐⭐⭐","⭐⭐⭐⭐")</f>
        <v/>
      </c>
      <c r="E110" s="113" t="inlineStr">
        <is>
          <t>⭐⭐⭐⭐</t>
        </is>
      </c>
      <c r="F110" s="113" t="inlineStr">
        <is>
          <t>⭐⭐⭐⭐</t>
        </is>
      </c>
      <c r="G110" s="114">
        <f>IF(OR(ISNUMBER(SEARCH("Luxury",'01_MASTER_DATABASE'!B107)),ISNUMBER(SEARCH("Cầu",'01_MASTER_DATABASE'!B107))),"Khuyên Dùng Cho Biệt Thự / Penhouse","Khuyên Dùng Cho Nhà Phố / Căn Hộ")</f>
        <v/>
      </c>
    </row>
    <row r="111" ht="25" customHeight="1">
      <c r="A111" s="113">
        <f>'01_MASTER_DATABASE'!C108</f>
        <v/>
      </c>
      <c r="B111" s="114">
        <f>'01_MASTER_DATABASE'!D108</f>
        <v/>
      </c>
      <c r="C111" s="113">
        <f>IF(OR(ISNUMBER(SEARCH("Luxury",'01_MASTER_DATABASE'!B108)),ISNUMBER(SEARCH("Cầu",'01_MASTER_DATABASE'!B108))),"⭐⭐⭐⭐⭐","⭐⭐⭐⭐")</f>
        <v/>
      </c>
      <c r="D111" s="113">
        <f>IF(ISNUMBER(SEARCH("Slim",'01_MASTER_DATABASE'!B108)),"⭐⭐⭐","⭐⭐⭐⭐")</f>
        <v/>
      </c>
      <c r="E111" s="113" t="inlineStr">
        <is>
          <t>⭐⭐⭐⭐</t>
        </is>
      </c>
      <c r="F111" s="113" t="inlineStr">
        <is>
          <t>⭐⭐⭐⭐</t>
        </is>
      </c>
      <c r="G111" s="114">
        <f>IF(OR(ISNUMBER(SEARCH("Luxury",'01_MASTER_DATABASE'!B108)),ISNUMBER(SEARCH("Cầu",'01_MASTER_DATABASE'!B108))),"Khuyên Dùng Cho Biệt Thự / Penhouse","Khuyên Dùng Cho Nhà Phố / Căn Hộ")</f>
        <v/>
      </c>
    </row>
    <row r="112" ht="25" customHeight="1">
      <c r="A112" s="113">
        <f>'01_MASTER_DATABASE'!C109</f>
        <v/>
      </c>
      <c r="B112" s="114">
        <f>'01_MASTER_DATABASE'!D109</f>
        <v/>
      </c>
      <c r="C112" s="113">
        <f>IF(OR(ISNUMBER(SEARCH("Luxury",'01_MASTER_DATABASE'!B109)),ISNUMBER(SEARCH("Cầu",'01_MASTER_DATABASE'!B109))),"⭐⭐⭐⭐⭐","⭐⭐⭐⭐")</f>
        <v/>
      </c>
      <c r="D112" s="113">
        <f>IF(ISNUMBER(SEARCH("Slim",'01_MASTER_DATABASE'!B109)),"⭐⭐⭐","⭐⭐⭐⭐")</f>
        <v/>
      </c>
      <c r="E112" s="113" t="inlineStr">
        <is>
          <t>⭐⭐⭐⭐</t>
        </is>
      </c>
      <c r="F112" s="113" t="inlineStr">
        <is>
          <t>⭐⭐⭐⭐</t>
        </is>
      </c>
      <c r="G112" s="114">
        <f>IF(OR(ISNUMBER(SEARCH("Luxury",'01_MASTER_DATABASE'!B109)),ISNUMBER(SEARCH("Cầu",'01_MASTER_DATABASE'!B109))),"Khuyên Dùng Cho Biệt Thự / Penhouse","Khuyên Dùng Cho Nhà Phố / Căn Hộ")</f>
        <v/>
      </c>
    </row>
    <row r="113" ht="25" customHeight="1">
      <c r="A113" s="113">
        <f>'01_MASTER_DATABASE'!C110</f>
        <v/>
      </c>
      <c r="B113" s="114">
        <f>'01_MASTER_DATABASE'!D110</f>
        <v/>
      </c>
      <c r="C113" s="113">
        <f>IF(OR(ISNUMBER(SEARCH("Luxury",'01_MASTER_DATABASE'!B110)),ISNUMBER(SEARCH("Cầu",'01_MASTER_DATABASE'!B110))),"⭐⭐⭐⭐⭐","⭐⭐⭐⭐")</f>
        <v/>
      </c>
      <c r="D113" s="113">
        <f>IF(ISNUMBER(SEARCH("Slim",'01_MASTER_DATABASE'!B110)),"⭐⭐⭐","⭐⭐⭐⭐")</f>
        <v/>
      </c>
      <c r="E113" s="113" t="inlineStr">
        <is>
          <t>⭐⭐⭐⭐</t>
        </is>
      </c>
      <c r="F113" s="113" t="inlineStr">
        <is>
          <t>⭐⭐⭐⭐</t>
        </is>
      </c>
      <c r="G113" s="114">
        <f>IF(OR(ISNUMBER(SEARCH("Luxury",'01_MASTER_DATABASE'!B110)),ISNUMBER(SEARCH("Cầu",'01_MASTER_DATABASE'!B110))),"Khuyên Dùng Cho Biệt Thự / Penhouse","Khuyên Dùng Cho Nhà Phố / Căn Hộ")</f>
        <v/>
      </c>
    </row>
    <row r="114" ht="25" customHeight="1">
      <c r="A114" s="113">
        <f>'01_MASTER_DATABASE'!C111</f>
        <v/>
      </c>
      <c r="B114" s="114">
        <f>'01_MASTER_DATABASE'!D111</f>
        <v/>
      </c>
      <c r="C114" s="113">
        <f>IF(OR(ISNUMBER(SEARCH("Luxury",'01_MASTER_DATABASE'!B111)),ISNUMBER(SEARCH("Cầu",'01_MASTER_DATABASE'!B111))),"⭐⭐⭐⭐⭐","⭐⭐⭐⭐")</f>
        <v/>
      </c>
      <c r="D114" s="113">
        <f>IF(ISNUMBER(SEARCH("Slim",'01_MASTER_DATABASE'!B111)),"⭐⭐⭐","⭐⭐⭐⭐")</f>
        <v/>
      </c>
      <c r="E114" s="113" t="inlineStr">
        <is>
          <t>⭐⭐⭐⭐</t>
        </is>
      </c>
      <c r="F114" s="113" t="inlineStr">
        <is>
          <t>⭐⭐⭐⭐</t>
        </is>
      </c>
      <c r="G114" s="114">
        <f>IF(OR(ISNUMBER(SEARCH("Luxury",'01_MASTER_DATABASE'!B111)),ISNUMBER(SEARCH("Cầu",'01_MASTER_DATABASE'!B111))),"Khuyên Dùng Cho Biệt Thự / Penhouse","Khuyên Dùng Cho Nhà Phố / Căn Hộ")</f>
        <v/>
      </c>
    </row>
    <row r="115" ht="25" customHeight="1">
      <c r="A115" s="113">
        <f>'01_MASTER_DATABASE'!C112</f>
        <v/>
      </c>
      <c r="B115" s="114">
        <f>'01_MASTER_DATABASE'!D112</f>
        <v/>
      </c>
      <c r="C115" s="113">
        <f>IF(OR(ISNUMBER(SEARCH("Luxury",'01_MASTER_DATABASE'!B112)),ISNUMBER(SEARCH("Cầu",'01_MASTER_DATABASE'!B112))),"⭐⭐⭐⭐⭐","⭐⭐⭐⭐")</f>
        <v/>
      </c>
      <c r="D115" s="113">
        <f>IF(ISNUMBER(SEARCH("Slim",'01_MASTER_DATABASE'!B112)),"⭐⭐⭐","⭐⭐⭐⭐")</f>
        <v/>
      </c>
      <c r="E115" s="113" t="inlineStr">
        <is>
          <t>⭐⭐⭐⭐</t>
        </is>
      </c>
      <c r="F115" s="113" t="inlineStr">
        <is>
          <t>⭐⭐⭐⭐</t>
        </is>
      </c>
      <c r="G115" s="114">
        <f>IF(OR(ISNUMBER(SEARCH("Luxury",'01_MASTER_DATABASE'!B112)),ISNUMBER(SEARCH("Cầu",'01_MASTER_DATABASE'!B112))),"Khuyên Dùng Cho Biệt Thự / Penhouse","Khuyên Dùng Cho Nhà Phố / Căn Hộ")</f>
        <v/>
      </c>
    </row>
    <row r="116" ht="25" customHeight="1">
      <c r="A116" s="113">
        <f>'01_MASTER_DATABASE'!C113</f>
        <v/>
      </c>
      <c r="B116" s="114">
        <f>'01_MASTER_DATABASE'!D113</f>
        <v/>
      </c>
      <c r="C116" s="113">
        <f>IF(OR(ISNUMBER(SEARCH("Luxury",'01_MASTER_DATABASE'!B113)),ISNUMBER(SEARCH("Cầu",'01_MASTER_DATABASE'!B113))),"⭐⭐⭐⭐⭐","⭐⭐⭐⭐")</f>
        <v/>
      </c>
      <c r="D116" s="113">
        <f>IF(ISNUMBER(SEARCH("Slim",'01_MASTER_DATABASE'!B113)),"⭐⭐⭐","⭐⭐⭐⭐")</f>
        <v/>
      </c>
      <c r="E116" s="113" t="inlineStr">
        <is>
          <t>⭐⭐⭐⭐</t>
        </is>
      </c>
      <c r="F116" s="113" t="inlineStr">
        <is>
          <t>⭐⭐⭐⭐</t>
        </is>
      </c>
      <c r="G116" s="114">
        <f>IF(OR(ISNUMBER(SEARCH("Luxury",'01_MASTER_DATABASE'!B113)),ISNUMBER(SEARCH("Cầu",'01_MASTER_DATABASE'!B113))),"Khuyên Dùng Cho Biệt Thự / Penhouse","Khuyên Dùng Cho Nhà Phố / Căn Hộ")</f>
        <v/>
      </c>
    </row>
    <row r="117" ht="25" customHeight="1">
      <c r="A117" s="113">
        <f>'01_MASTER_DATABASE'!C114</f>
        <v/>
      </c>
      <c r="B117" s="114">
        <f>'01_MASTER_DATABASE'!D114</f>
        <v/>
      </c>
      <c r="C117" s="113">
        <f>IF(OR(ISNUMBER(SEARCH("Luxury",'01_MASTER_DATABASE'!B114)),ISNUMBER(SEARCH("Cầu",'01_MASTER_DATABASE'!B114))),"⭐⭐⭐⭐⭐","⭐⭐⭐⭐")</f>
        <v/>
      </c>
      <c r="D117" s="113">
        <f>IF(ISNUMBER(SEARCH("Slim",'01_MASTER_DATABASE'!B114)),"⭐⭐⭐","⭐⭐⭐⭐")</f>
        <v/>
      </c>
      <c r="E117" s="113" t="inlineStr">
        <is>
          <t>⭐⭐⭐⭐</t>
        </is>
      </c>
      <c r="F117" s="113" t="inlineStr">
        <is>
          <t>⭐⭐⭐⭐</t>
        </is>
      </c>
      <c r="G117" s="114">
        <f>IF(OR(ISNUMBER(SEARCH("Luxury",'01_MASTER_DATABASE'!B114)),ISNUMBER(SEARCH("Cầu",'01_MASTER_DATABASE'!B114))),"Khuyên Dùng Cho Biệt Thự / Penhouse","Khuyên Dùng Cho Nhà Phố / Căn Hộ")</f>
        <v/>
      </c>
    </row>
    <row r="118" ht="25" customHeight="1">
      <c r="A118" s="113">
        <f>'01_MASTER_DATABASE'!C115</f>
        <v/>
      </c>
      <c r="B118" s="114">
        <f>'01_MASTER_DATABASE'!D115</f>
        <v/>
      </c>
      <c r="C118" s="113">
        <f>IF(OR(ISNUMBER(SEARCH("Luxury",'01_MASTER_DATABASE'!B115)),ISNUMBER(SEARCH("Cầu",'01_MASTER_DATABASE'!B115))),"⭐⭐⭐⭐⭐","⭐⭐⭐⭐")</f>
        <v/>
      </c>
      <c r="D118" s="113">
        <f>IF(ISNUMBER(SEARCH("Slim",'01_MASTER_DATABASE'!B115)),"⭐⭐⭐","⭐⭐⭐⭐")</f>
        <v/>
      </c>
      <c r="E118" s="113" t="inlineStr">
        <is>
          <t>⭐⭐⭐⭐</t>
        </is>
      </c>
      <c r="F118" s="113" t="inlineStr">
        <is>
          <t>⭐⭐⭐⭐</t>
        </is>
      </c>
      <c r="G118" s="114">
        <f>IF(OR(ISNUMBER(SEARCH("Luxury",'01_MASTER_DATABASE'!B115)),ISNUMBER(SEARCH("Cầu",'01_MASTER_DATABASE'!B115))),"Khuyên Dùng Cho Biệt Thự / Penhouse","Khuyên Dùng Cho Nhà Phố / Căn Hộ")</f>
        <v/>
      </c>
    </row>
    <row r="119" ht="25" customHeight="1">
      <c r="A119" s="113">
        <f>'01_MASTER_DATABASE'!C116</f>
        <v/>
      </c>
      <c r="B119" s="114">
        <f>'01_MASTER_DATABASE'!D116</f>
        <v/>
      </c>
      <c r="C119" s="113">
        <f>IF(OR(ISNUMBER(SEARCH("Luxury",'01_MASTER_DATABASE'!B116)),ISNUMBER(SEARCH("Cầu",'01_MASTER_DATABASE'!B116))),"⭐⭐⭐⭐⭐","⭐⭐⭐⭐")</f>
        <v/>
      </c>
      <c r="D119" s="113">
        <f>IF(ISNUMBER(SEARCH("Slim",'01_MASTER_DATABASE'!B116)),"⭐⭐⭐","⭐⭐⭐⭐")</f>
        <v/>
      </c>
      <c r="E119" s="113" t="inlineStr">
        <is>
          <t>⭐⭐⭐⭐</t>
        </is>
      </c>
      <c r="F119" s="113" t="inlineStr">
        <is>
          <t>⭐⭐⭐⭐</t>
        </is>
      </c>
      <c r="G119" s="114">
        <f>IF(OR(ISNUMBER(SEARCH("Luxury",'01_MASTER_DATABASE'!B116)),ISNUMBER(SEARCH("Cầu",'01_MASTER_DATABASE'!B116))),"Khuyên Dùng Cho Biệt Thự / Penhouse","Khuyên Dùng Cho Nhà Phố / Căn Hộ")</f>
        <v/>
      </c>
    </row>
    <row r="120" ht="25" customHeight="1">
      <c r="A120" s="113">
        <f>'01_MASTER_DATABASE'!C117</f>
        <v/>
      </c>
      <c r="B120" s="114">
        <f>'01_MASTER_DATABASE'!D117</f>
        <v/>
      </c>
      <c r="C120" s="113">
        <f>IF(OR(ISNUMBER(SEARCH("Luxury",'01_MASTER_DATABASE'!B117)),ISNUMBER(SEARCH("Cầu",'01_MASTER_DATABASE'!B117))),"⭐⭐⭐⭐⭐","⭐⭐⭐⭐")</f>
        <v/>
      </c>
      <c r="D120" s="113">
        <f>IF(ISNUMBER(SEARCH("Slim",'01_MASTER_DATABASE'!B117)),"⭐⭐⭐","⭐⭐⭐⭐")</f>
        <v/>
      </c>
      <c r="E120" s="113" t="inlineStr">
        <is>
          <t>⭐⭐⭐⭐</t>
        </is>
      </c>
      <c r="F120" s="113" t="inlineStr">
        <is>
          <t>⭐⭐⭐⭐</t>
        </is>
      </c>
      <c r="G120" s="114">
        <f>IF(OR(ISNUMBER(SEARCH("Luxury",'01_MASTER_DATABASE'!B117)),ISNUMBER(SEARCH("Cầu",'01_MASTER_DATABASE'!B117))),"Khuyên Dùng Cho Biệt Thự / Penhouse","Khuyên Dùng Cho Nhà Phố / Căn Hộ")</f>
        <v/>
      </c>
    </row>
    <row r="121" ht="25" customHeight="1">
      <c r="A121" s="113">
        <f>'01_MASTER_DATABASE'!C118</f>
        <v/>
      </c>
      <c r="B121" s="114">
        <f>'01_MASTER_DATABASE'!D118</f>
        <v/>
      </c>
      <c r="C121" s="113">
        <f>IF(OR(ISNUMBER(SEARCH("Luxury",'01_MASTER_DATABASE'!B118)),ISNUMBER(SEARCH("Cầu",'01_MASTER_DATABASE'!B118))),"⭐⭐⭐⭐⭐","⭐⭐⭐⭐")</f>
        <v/>
      </c>
      <c r="D121" s="113">
        <f>IF(ISNUMBER(SEARCH("Slim",'01_MASTER_DATABASE'!B118)),"⭐⭐⭐","⭐⭐⭐⭐")</f>
        <v/>
      </c>
      <c r="E121" s="113" t="inlineStr">
        <is>
          <t>⭐⭐⭐⭐</t>
        </is>
      </c>
      <c r="F121" s="113" t="inlineStr">
        <is>
          <t>⭐⭐⭐⭐</t>
        </is>
      </c>
      <c r="G121" s="114">
        <f>IF(OR(ISNUMBER(SEARCH("Luxury",'01_MASTER_DATABASE'!B118)),ISNUMBER(SEARCH("Cầu",'01_MASTER_DATABASE'!B118))),"Khuyên Dùng Cho Biệt Thự / Penhouse","Khuyên Dùng Cho Nhà Phố / Căn Hộ")</f>
        <v/>
      </c>
    </row>
    <row r="122" ht="25" customHeight="1">
      <c r="A122" s="113">
        <f>'01_MASTER_DATABASE'!C119</f>
        <v/>
      </c>
      <c r="B122" s="114">
        <f>'01_MASTER_DATABASE'!D119</f>
        <v/>
      </c>
      <c r="C122" s="113">
        <f>IF(OR(ISNUMBER(SEARCH("Luxury",'01_MASTER_DATABASE'!B119)),ISNUMBER(SEARCH("Cầu",'01_MASTER_DATABASE'!B119))),"⭐⭐⭐⭐⭐","⭐⭐⭐⭐")</f>
        <v/>
      </c>
      <c r="D122" s="113">
        <f>IF(ISNUMBER(SEARCH("Slim",'01_MASTER_DATABASE'!B119)),"⭐⭐⭐","⭐⭐⭐⭐")</f>
        <v/>
      </c>
      <c r="E122" s="113" t="inlineStr">
        <is>
          <t>⭐⭐⭐⭐</t>
        </is>
      </c>
      <c r="F122" s="113" t="inlineStr">
        <is>
          <t>⭐⭐⭐⭐</t>
        </is>
      </c>
      <c r="G122" s="114">
        <f>IF(OR(ISNUMBER(SEARCH("Luxury",'01_MASTER_DATABASE'!B119)),ISNUMBER(SEARCH("Cầu",'01_MASTER_DATABASE'!B119))),"Khuyên Dùng Cho Biệt Thự / Penhouse","Khuyên Dùng Cho Nhà Phố / Căn Hộ")</f>
        <v/>
      </c>
    </row>
    <row r="123" ht="25" customHeight="1">
      <c r="A123" s="113">
        <f>'01_MASTER_DATABASE'!C120</f>
        <v/>
      </c>
      <c r="B123" s="114">
        <f>'01_MASTER_DATABASE'!D120</f>
        <v/>
      </c>
      <c r="C123" s="113">
        <f>IF(OR(ISNUMBER(SEARCH("Luxury",'01_MASTER_DATABASE'!B120)),ISNUMBER(SEARCH("Cầu",'01_MASTER_DATABASE'!B120))),"⭐⭐⭐⭐⭐","⭐⭐⭐⭐")</f>
        <v/>
      </c>
      <c r="D123" s="113">
        <f>IF(ISNUMBER(SEARCH("Slim",'01_MASTER_DATABASE'!B120)),"⭐⭐⭐","⭐⭐⭐⭐")</f>
        <v/>
      </c>
      <c r="E123" s="113" t="inlineStr">
        <is>
          <t>⭐⭐⭐⭐</t>
        </is>
      </c>
      <c r="F123" s="113" t="inlineStr">
        <is>
          <t>⭐⭐⭐⭐</t>
        </is>
      </c>
      <c r="G123" s="114">
        <f>IF(OR(ISNUMBER(SEARCH("Luxury",'01_MASTER_DATABASE'!B120)),ISNUMBER(SEARCH("Cầu",'01_MASTER_DATABASE'!B120))),"Khuyên Dùng Cho Biệt Thự / Penhouse","Khuyên Dùng Cho Nhà Phố / Căn Hộ")</f>
        <v/>
      </c>
    </row>
    <row r="124" ht="25" customHeight="1">
      <c r="A124" s="113">
        <f>'01_MASTER_DATABASE'!C121</f>
        <v/>
      </c>
      <c r="B124" s="114">
        <f>'01_MASTER_DATABASE'!D121</f>
        <v/>
      </c>
      <c r="C124" s="113">
        <f>IF(OR(ISNUMBER(SEARCH("Luxury",'01_MASTER_DATABASE'!B121)),ISNUMBER(SEARCH("Cầu",'01_MASTER_DATABASE'!B121))),"⭐⭐⭐⭐⭐","⭐⭐⭐⭐")</f>
        <v/>
      </c>
      <c r="D124" s="113">
        <f>IF(ISNUMBER(SEARCH("Slim",'01_MASTER_DATABASE'!B121)),"⭐⭐⭐","⭐⭐⭐⭐")</f>
        <v/>
      </c>
      <c r="E124" s="113" t="inlineStr">
        <is>
          <t>⭐⭐⭐⭐</t>
        </is>
      </c>
      <c r="F124" s="113" t="inlineStr">
        <is>
          <t>⭐⭐⭐⭐</t>
        </is>
      </c>
      <c r="G124" s="114">
        <f>IF(OR(ISNUMBER(SEARCH("Luxury",'01_MASTER_DATABASE'!B121)),ISNUMBER(SEARCH("Cầu",'01_MASTER_DATABASE'!B121))),"Khuyên Dùng Cho Biệt Thự / Penhouse","Khuyên Dùng Cho Nhà Phố / Căn Hộ")</f>
        <v/>
      </c>
    </row>
    <row r="125" ht="25" customHeight="1">
      <c r="A125" s="113">
        <f>'01_MASTER_DATABASE'!C122</f>
        <v/>
      </c>
      <c r="B125" s="114">
        <f>'01_MASTER_DATABASE'!D122</f>
        <v/>
      </c>
      <c r="C125" s="113">
        <f>IF(OR(ISNUMBER(SEARCH("Luxury",'01_MASTER_DATABASE'!B122)),ISNUMBER(SEARCH("Cầu",'01_MASTER_DATABASE'!B122))),"⭐⭐⭐⭐⭐","⭐⭐⭐⭐")</f>
        <v/>
      </c>
      <c r="D125" s="113">
        <f>IF(ISNUMBER(SEARCH("Slim",'01_MASTER_DATABASE'!B122)),"⭐⭐⭐","⭐⭐⭐⭐")</f>
        <v/>
      </c>
      <c r="E125" s="113" t="inlineStr">
        <is>
          <t>⭐⭐⭐⭐</t>
        </is>
      </c>
      <c r="F125" s="113" t="inlineStr">
        <is>
          <t>⭐⭐⭐⭐</t>
        </is>
      </c>
      <c r="G125" s="114">
        <f>IF(OR(ISNUMBER(SEARCH("Luxury",'01_MASTER_DATABASE'!B122)),ISNUMBER(SEARCH("Cầu",'01_MASTER_DATABASE'!B122))),"Khuyên Dùng Cho Biệt Thự / Penhouse","Khuyên Dùng Cho Nhà Phố / Căn Hộ")</f>
        <v/>
      </c>
    </row>
    <row r="126" ht="25" customHeight="1">
      <c r="A126" s="113">
        <f>'01_MASTER_DATABASE'!C123</f>
        <v/>
      </c>
      <c r="B126" s="114">
        <f>'01_MASTER_DATABASE'!D123</f>
        <v/>
      </c>
      <c r="C126" s="113">
        <f>IF(OR(ISNUMBER(SEARCH("Luxury",'01_MASTER_DATABASE'!B123)),ISNUMBER(SEARCH("Cầu",'01_MASTER_DATABASE'!B123))),"⭐⭐⭐⭐⭐","⭐⭐⭐⭐")</f>
        <v/>
      </c>
      <c r="D126" s="113">
        <f>IF(ISNUMBER(SEARCH("Slim",'01_MASTER_DATABASE'!B123)),"⭐⭐⭐","⭐⭐⭐⭐")</f>
        <v/>
      </c>
      <c r="E126" s="113" t="inlineStr">
        <is>
          <t>⭐⭐⭐⭐</t>
        </is>
      </c>
      <c r="F126" s="113" t="inlineStr">
        <is>
          <t>⭐⭐⭐⭐</t>
        </is>
      </c>
      <c r="G126" s="114">
        <f>IF(OR(ISNUMBER(SEARCH("Luxury",'01_MASTER_DATABASE'!B123)),ISNUMBER(SEARCH("Cầu",'01_MASTER_DATABASE'!B123))),"Khuyên Dùng Cho Biệt Thự / Penhouse","Khuyên Dùng Cho Nhà Phố / Căn Hộ")</f>
        <v/>
      </c>
    </row>
    <row r="127" ht="25" customHeight="1">
      <c r="A127" s="113">
        <f>'01_MASTER_DATABASE'!C124</f>
        <v/>
      </c>
      <c r="B127" s="114">
        <f>'01_MASTER_DATABASE'!D124</f>
        <v/>
      </c>
      <c r="C127" s="113">
        <f>IF(OR(ISNUMBER(SEARCH("Luxury",'01_MASTER_DATABASE'!B124)),ISNUMBER(SEARCH("Cầu",'01_MASTER_DATABASE'!B124))),"⭐⭐⭐⭐⭐","⭐⭐⭐⭐")</f>
        <v/>
      </c>
      <c r="D127" s="113">
        <f>IF(ISNUMBER(SEARCH("Slim",'01_MASTER_DATABASE'!B124)),"⭐⭐⭐","⭐⭐⭐⭐")</f>
        <v/>
      </c>
      <c r="E127" s="113" t="inlineStr">
        <is>
          <t>⭐⭐⭐⭐</t>
        </is>
      </c>
      <c r="F127" s="113" t="inlineStr">
        <is>
          <t>⭐⭐⭐⭐</t>
        </is>
      </c>
      <c r="G127" s="114">
        <f>IF(OR(ISNUMBER(SEARCH("Luxury",'01_MASTER_DATABASE'!B124)),ISNUMBER(SEARCH("Cầu",'01_MASTER_DATABASE'!B124))),"Khuyên Dùng Cho Biệt Thự / Penhouse","Khuyên Dùng Cho Nhà Phố / Căn Hộ")</f>
        <v/>
      </c>
    </row>
    <row r="128" ht="25" customHeight="1">
      <c r="A128" s="113">
        <f>'01_MASTER_DATABASE'!C125</f>
        <v/>
      </c>
      <c r="B128" s="114">
        <f>'01_MASTER_DATABASE'!D125</f>
        <v/>
      </c>
      <c r="C128" s="113">
        <f>IF(OR(ISNUMBER(SEARCH("Luxury",'01_MASTER_DATABASE'!B125)),ISNUMBER(SEARCH("Cầu",'01_MASTER_DATABASE'!B125))),"⭐⭐⭐⭐⭐","⭐⭐⭐⭐")</f>
        <v/>
      </c>
      <c r="D128" s="113">
        <f>IF(ISNUMBER(SEARCH("Slim",'01_MASTER_DATABASE'!B125)),"⭐⭐⭐","⭐⭐⭐⭐")</f>
        <v/>
      </c>
      <c r="E128" s="113" t="inlineStr">
        <is>
          <t>⭐⭐⭐⭐</t>
        </is>
      </c>
      <c r="F128" s="113" t="inlineStr">
        <is>
          <t>⭐⭐⭐⭐</t>
        </is>
      </c>
      <c r="G128" s="114">
        <f>IF(OR(ISNUMBER(SEARCH("Luxury",'01_MASTER_DATABASE'!B125)),ISNUMBER(SEARCH("Cầu",'01_MASTER_DATABASE'!B125))),"Khuyên Dùng Cho Biệt Thự / Penhouse","Khuyên Dùng Cho Nhà Phố / Căn Hộ")</f>
        <v/>
      </c>
    </row>
    <row r="129" ht="25" customHeight="1">
      <c r="A129" s="113">
        <f>'01_MASTER_DATABASE'!C126</f>
        <v/>
      </c>
      <c r="B129" s="114">
        <f>'01_MASTER_DATABASE'!D126</f>
        <v/>
      </c>
      <c r="C129" s="113">
        <f>IF(OR(ISNUMBER(SEARCH("Luxury",'01_MASTER_DATABASE'!B126)),ISNUMBER(SEARCH("Cầu",'01_MASTER_DATABASE'!B126))),"⭐⭐⭐⭐⭐","⭐⭐⭐⭐")</f>
        <v/>
      </c>
      <c r="D129" s="113">
        <f>IF(ISNUMBER(SEARCH("Slim",'01_MASTER_DATABASE'!B126)),"⭐⭐⭐","⭐⭐⭐⭐")</f>
        <v/>
      </c>
      <c r="E129" s="113" t="inlineStr">
        <is>
          <t>⭐⭐⭐⭐</t>
        </is>
      </c>
      <c r="F129" s="113" t="inlineStr">
        <is>
          <t>⭐⭐⭐⭐</t>
        </is>
      </c>
      <c r="G129" s="114">
        <f>IF(OR(ISNUMBER(SEARCH("Luxury",'01_MASTER_DATABASE'!B126)),ISNUMBER(SEARCH("Cầu",'01_MASTER_DATABASE'!B126))),"Khuyên Dùng Cho Biệt Thự / Penhouse","Khuyên Dùng Cho Nhà Phố / Căn Hộ")</f>
        <v/>
      </c>
    </row>
    <row r="130" ht="25" customHeight="1">
      <c r="A130" s="113">
        <f>'01_MASTER_DATABASE'!C127</f>
        <v/>
      </c>
      <c r="B130" s="114">
        <f>'01_MASTER_DATABASE'!D127</f>
        <v/>
      </c>
      <c r="C130" s="113">
        <f>IF(OR(ISNUMBER(SEARCH("Luxury",'01_MASTER_DATABASE'!B127)),ISNUMBER(SEARCH("Cầu",'01_MASTER_DATABASE'!B127))),"⭐⭐⭐⭐⭐","⭐⭐⭐⭐")</f>
        <v/>
      </c>
      <c r="D130" s="113">
        <f>IF(ISNUMBER(SEARCH("Slim",'01_MASTER_DATABASE'!B127)),"⭐⭐⭐","⭐⭐⭐⭐")</f>
        <v/>
      </c>
      <c r="E130" s="113" t="inlineStr">
        <is>
          <t>⭐⭐⭐⭐</t>
        </is>
      </c>
      <c r="F130" s="113" t="inlineStr">
        <is>
          <t>⭐⭐⭐⭐</t>
        </is>
      </c>
      <c r="G130" s="114">
        <f>IF(OR(ISNUMBER(SEARCH("Luxury",'01_MASTER_DATABASE'!B127)),ISNUMBER(SEARCH("Cầu",'01_MASTER_DATABASE'!B127))),"Khuyên Dùng Cho Biệt Thự / Penhouse","Khuyên Dùng Cho Nhà Phố / Căn Hộ")</f>
        <v/>
      </c>
    </row>
    <row r="131" ht="25" customHeight="1">
      <c r="A131" s="113">
        <f>'01_MASTER_DATABASE'!C128</f>
        <v/>
      </c>
      <c r="B131" s="114">
        <f>'01_MASTER_DATABASE'!D128</f>
        <v/>
      </c>
      <c r="C131" s="113">
        <f>IF(OR(ISNUMBER(SEARCH("Luxury",'01_MASTER_DATABASE'!B128)),ISNUMBER(SEARCH("Cầu",'01_MASTER_DATABASE'!B128))),"⭐⭐⭐⭐⭐","⭐⭐⭐⭐")</f>
        <v/>
      </c>
      <c r="D131" s="113">
        <f>IF(ISNUMBER(SEARCH("Slim",'01_MASTER_DATABASE'!B128)),"⭐⭐⭐","⭐⭐⭐⭐")</f>
        <v/>
      </c>
      <c r="E131" s="113" t="inlineStr">
        <is>
          <t>⭐⭐⭐⭐</t>
        </is>
      </c>
      <c r="F131" s="113" t="inlineStr">
        <is>
          <t>⭐⭐⭐⭐</t>
        </is>
      </c>
      <c r="G131" s="114">
        <f>IF(OR(ISNUMBER(SEARCH("Luxury",'01_MASTER_DATABASE'!B128)),ISNUMBER(SEARCH("Cầu",'01_MASTER_DATABASE'!B128))),"Khuyên Dùng Cho Biệt Thự / Penhouse","Khuyên Dùng Cho Nhà Phố / Căn Hộ")</f>
        <v/>
      </c>
    </row>
    <row r="132" ht="25" customHeight="1">
      <c r="A132" s="113">
        <f>'01_MASTER_DATABASE'!C129</f>
        <v/>
      </c>
      <c r="B132" s="114">
        <f>'01_MASTER_DATABASE'!D129</f>
        <v/>
      </c>
      <c r="C132" s="113">
        <f>IF(OR(ISNUMBER(SEARCH("Luxury",'01_MASTER_DATABASE'!B129)),ISNUMBER(SEARCH("Cầu",'01_MASTER_DATABASE'!B129))),"⭐⭐⭐⭐⭐","⭐⭐⭐⭐")</f>
        <v/>
      </c>
      <c r="D132" s="113">
        <f>IF(ISNUMBER(SEARCH("Slim",'01_MASTER_DATABASE'!B129)),"⭐⭐⭐","⭐⭐⭐⭐")</f>
        <v/>
      </c>
      <c r="E132" s="113" t="inlineStr">
        <is>
          <t>⭐⭐⭐⭐</t>
        </is>
      </c>
      <c r="F132" s="113" t="inlineStr">
        <is>
          <t>⭐⭐⭐⭐</t>
        </is>
      </c>
      <c r="G132" s="114">
        <f>IF(OR(ISNUMBER(SEARCH("Luxury",'01_MASTER_DATABASE'!B129)),ISNUMBER(SEARCH("Cầu",'01_MASTER_DATABASE'!B129))),"Khuyên Dùng Cho Biệt Thự / Penhouse","Khuyên Dùng Cho Nhà Phố / Căn Hộ")</f>
        <v/>
      </c>
    </row>
    <row r="133" ht="25" customHeight="1">
      <c r="A133" s="113">
        <f>'01_MASTER_DATABASE'!C130</f>
        <v/>
      </c>
      <c r="B133" s="114">
        <f>'01_MASTER_DATABASE'!D130</f>
        <v/>
      </c>
      <c r="C133" s="113">
        <f>IF(OR(ISNUMBER(SEARCH("Luxury",'01_MASTER_DATABASE'!B130)),ISNUMBER(SEARCH("Cầu",'01_MASTER_DATABASE'!B130))),"⭐⭐⭐⭐⭐","⭐⭐⭐⭐")</f>
        <v/>
      </c>
      <c r="D133" s="113">
        <f>IF(ISNUMBER(SEARCH("Slim",'01_MASTER_DATABASE'!B130)),"⭐⭐⭐","⭐⭐⭐⭐")</f>
        <v/>
      </c>
      <c r="E133" s="113" t="inlineStr">
        <is>
          <t>⭐⭐⭐⭐</t>
        </is>
      </c>
      <c r="F133" s="113" t="inlineStr">
        <is>
          <t>⭐⭐⭐⭐</t>
        </is>
      </c>
      <c r="G133" s="114">
        <f>IF(OR(ISNUMBER(SEARCH("Luxury",'01_MASTER_DATABASE'!B130)),ISNUMBER(SEARCH("Cầu",'01_MASTER_DATABASE'!B130))),"Khuyên Dùng Cho Biệt Thự / Penhouse","Khuyên Dùng Cho Nhà Phố / Căn Hộ")</f>
        <v/>
      </c>
    </row>
    <row r="134" ht="25" customHeight="1">
      <c r="A134" s="113">
        <f>'01_MASTER_DATABASE'!C131</f>
        <v/>
      </c>
      <c r="B134" s="114">
        <f>'01_MASTER_DATABASE'!D131</f>
        <v/>
      </c>
      <c r="C134" s="113">
        <f>IF(OR(ISNUMBER(SEARCH("Luxury",'01_MASTER_DATABASE'!B131)),ISNUMBER(SEARCH("Cầu",'01_MASTER_DATABASE'!B131))),"⭐⭐⭐⭐⭐","⭐⭐⭐⭐")</f>
        <v/>
      </c>
      <c r="D134" s="113">
        <f>IF(ISNUMBER(SEARCH("Slim",'01_MASTER_DATABASE'!B131)),"⭐⭐⭐","⭐⭐⭐⭐")</f>
        <v/>
      </c>
      <c r="E134" s="113" t="inlineStr">
        <is>
          <t>⭐⭐⭐⭐</t>
        </is>
      </c>
      <c r="F134" s="113" t="inlineStr">
        <is>
          <t>⭐⭐⭐⭐</t>
        </is>
      </c>
      <c r="G134" s="114">
        <f>IF(OR(ISNUMBER(SEARCH("Luxury",'01_MASTER_DATABASE'!B131)),ISNUMBER(SEARCH("Cầu",'01_MASTER_DATABASE'!B131))),"Khuyên Dùng Cho Biệt Thự / Penhouse","Khuyên Dùng Cho Nhà Phố / Căn Hộ")</f>
        <v/>
      </c>
    </row>
    <row r="135" ht="25" customHeight="1">
      <c r="A135" s="113">
        <f>'01_MASTER_DATABASE'!C132</f>
        <v/>
      </c>
      <c r="B135" s="114">
        <f>'01_MASTER_DATABASE'!D132</f>
        <v/>
      </c>
      <c r="C135" s="113">
        <f>IF(OR(ISNUMBER(SEARCH("Luxury",'01_MASTER_DATABASE'!B132)),ISNUMBER(SEARCH("Cầu",'01_MASTER_DATABASE'!B132))),"⭐⭐⭐⭐⭐","⭐⭐⭐⭐")</f>
        <v/>
      </c>
      <c r="D135" s="113">
        <f>IF(ISNUMBER(SEARCH("Slim",'01_MASTER_DATABASE'!B132)),"⭐⭐⭐","⭐⭐⭐⭐")</f>
        <v/>
      </c>
      <c r="E135" s="113" t="inlineStr">
        <is>
          <t>⭐⭐⭐⭐</t>
        </is>
      </c>
      <c r="F135" s="113" t="inlineStr">
        <is>
          <t>⭐⭐⭐⭐</t>
        </is>
      </c>
      <c r="G135" s="114">
        <f>IF(OR(ISNUMBER(SEARCH("Luxury",'01_MASTER_DATABASE'!B132)),ISNUMBER(SEARCH("Cầu",'01_MASTER_DATABASE'!B132))),"Khuyên Dùng Cho Biệt Thự / Penhouse","Khuyên Dùng Cho Nhà Phố / Căn Hộ")</f>
        <v/>
      </c>
    </row>
    <row r="136" ht="25" customHeight="1">
      <c r="A136" s="113">
        <f>'01_MASTER_DATABASE'!C133</f>
        <v/>
      </c>
      <c r="B136" s="114">
        <f>'01_MASTER_DATABASE'!D133</f>
        <v/>
      </c>
      <c r="C136" s="113">
        <f>IF(OR(ISNUMBER(SEARCH("Luxury",'01_MASTER_DATABASE'!B133)),ISNUMBER(SEARCH("Cầu",'01_MASTER_DATABASE'!B133))),"⭐⭐⭐⭐⭐","⭐⭐⭐⭐")</f>
        <v/>
      </c>
      <c r="D136" s="113">
        <f>IF(ISNUMBER(SEARCH("Slim",'01_MASTER_DATABASE'!B133)),"⭐⭐⭐","⭐⭐⭐⭐")</f>
        <v/>
      </c>
      <c r="E136" s="113" t="inlineStr">
        <is>
          <t>⭐⭐⭐⭐</t>
        </is>
      </c>
      <c r="F136" s="113" t="inlineStr">
        <is>
          <t>⭐⭐⭐⭐</t>
        </is>
      </c>
      <c r="G136" s="114">
        <f>IF(OR(ISNUMBER(SEARCH("Luxury",'01_MASTER_DATABASE'!B133)),ISNUMBER(SEARCH("Cầu",'01_MASTER_DATABASE'!B133))),"Khuyên Dùng Cho Biệt Thự / Penhouse","Khuyên Dùng Cho Nhà Phố / Căn Hộ")</f>
        <v/>
      </c>
    </row>
    <row r="137" ht="25" customHeight="1">
      <c r="A137" s="113">
        <f>'01_MASTER_DATABASE'!C134</f>
        <v/>
      </c>
      <c r="B137" s="114">
        <f>'01_MASTER_DATABASE'!D134</f>
        <v/>
      </c>
      <c r="C137" s="113">
        <f>IF(OR(ISNUMBER(SEARCH("Luxury",'01_MASTER_DATABASE'!B134)),ISNUMBER(SEARCH("Cầu",'01_MASTER_DATABASE'!B134))),"⭐⭐⭐⭐⭐","⭐⭐⭐⭐")</f>
        <v/>
      </c>
      <c r="D137" s="113">
        <f>IF(ISNUMBER(SEARCH("Slim",'01_MASTER_DATABASE'!B134)),"⭐⭐⭐","⭐⭐⭐⭐")</f>
        <v/>
      </c>
      <c r="E137" s="113" t="inlineStr">
        <is>
          <t>⭐⭐⭐⭐</t>
        </is>
      </c>
      <c r="F137" s="113" t="inlineStr">
        <is>
          <t>⭐⭐⭐⭐</t>
        </is>
      </c>
      <c r="G137" s="114">
        <f>IF(OR(ISNUMBER(SEARCH("Luxury",'01_MASTER_DATABASE'!B134)),ISNUMBER(SEARCH("Cầu",'01_MASTER_DATABASE'!B134))),"Khuyên Dùng Cho Biệt Thự / Penhouse","Khuyên Dùng Cho Nhà Phố / Căn Hộ")</f>
        <v/>
      </c>
    </row>
    <row r="138" ht="25" customHeight="1">
      <c r="A138" s="113">
        <f>'01_MASTER_DATABASE'!C135</f>
        <v/>
      </c>
      <c r="B138" s="114">
        <f>'01_MASTER_DATABASE'!D135</f>
        <v/>
      </c>
      <c r="C138" s="113">
        <f>IF(OR(ISNUMBER(SEARCH("Luxury",'01_MASTER_DATABASE'!B135)),ISNUMBER(SEARCH("Cầu",'01_MASTER_DATABASE'!B135))),"⭐⭐⭐⭐⭐","⭐⭐⭐⭐")</f>
        <v/>
      </c>
      <c r="D138" s="113">
        <f>IF(ISNUMBER(SEARCH("Slim",'01_MASTER_DATABASE'!B135)),"⭐⭐⭐","⭐⭐⭐⭐")</f>
        <v/>
      </c>
      <c r="E138" s="113" t="inlineStr">
        <is>
          <t>⭐⭐⭐⭐</t>
        </is>
      </c>
      <c r="F138" s="113" t="inlineStr">
        <is>
          <t>⭐⭐⭐⭐</t>
        </is>
      </c>
      <c r="G138" s="114">
        <f>IF(OR(ISNUMBER(SEARCH("Luxury",'01_MASTER_DATABASE'!B135)),ISNUMBER(SEARCH("Cầu",'01_MASTER_DATABASE'!B135))),"Khuyên Dùng Cho Biệt Thự / Penhouse","Khuyên Dùng Cho Nhà Phố / Căn Hộ")</f>
        <v/>
      </c>
    </row>
    <row r="139" ht="25" customHeight="1">
      <c r="A139" s="113">
        <f>'01_MASTER_DATABASE'!C136</f>
        <v/>
      </c>
      <c r="B139" s="114">
        <f>'01_MASTER_DATABASE'!D136</f>
        <v/>
      </c>
      <c r="C139" s="113">
        <f>IF(OR(ISNUMBER(SEARCH("Luxury",'01_MASTER_DATABASE'!B136)),ISNUMBER(SEARCH("Cầu",'01_MASTER_DATABASE'!B136))),"⭐⭐⭐⭐⭐","⭐⭐⭐⭐")</f>
        <v/>
      </c>
      <c r="D139" s="113">
        <f>IF(ISNUMBER(SEARCH("Slim",'01_MASTER_DATABASE'!B136)),"⭐⭐⭐","⭐⭐⭐⭐")</f>
        <v/>
      </c>
      <c r="E139" s="113" t="inlineStr">
        <is>
          <t>⭐⭐⭐⭐</t>
        </is>
      </c>
      <c r="F139" s="113" t="inlineStr">
        <is>
          <t>⭐⭐⭐⭐</t>
        </is>
      </c>
      <c r="G139" s="114">
        <f>IF(OR(ISNUMBER(SEARCH("Luxury",'01_MASTER_DATABASE'!B136)),ISNUMBER(SEARCH("Cầu",'01_MASTER_DATABASE'!B136))),"Khuyên Dùng Cho Biệt Thự / Penhouse","Khuyên Dùng Cho Nhà Phố / Căn Hộ")</f>
        <v/>
      </c>
    </row>
    <row r="140" ht="25" customHeight="1">
      <c r="A140" s="113">
        <f>'01_MASTER_DATABASE'!C137</f>
        <v/>
      </c>
      <c r="B140" s="114">
        <f>'01_MASTER_DATABASE'!D137</f>
        <v/>
      </c>
      <c r="C140" s="113">
        <f>IF(OR(ISNUMBER(SEARCH("Luxury",'01_MASTER_DATABASE'!B137)),ISNUMBER(SEARCH("Cầu",'01_MASTER_DATABASE'!B137))),"⭐⭐⭐⭐⭐","⭐⭐⭐⭐")</f>
        <v/>
      </c>
      <c r="D140" s="113">
        <f>IF(ISNUMBER(SEARCH("Slim",'01_MASTER_DATABASE'!B137)),"⭐⭐⭐","⭐⭐⭐⭐")</f>
        <v/>
      </c>
      <c r="E140" s="113" t="inlineStr">
        <is>
          <t>⭐⭐⭐⭐</t>
        </is>
      </c>
      <c r="F140" s="113" t="inlineStr">
        <is>
          <t>⭐⭐⭐⭐</t>
        </is>
      </c>
      <c r="G140" s="114">
        <f>IF(OR(ISNUMBER(SEARCH("Luxury",'01_MASTER_DATABASE'!B137)),ISNUMBER(SEARCH("Cầu",'01_MASTER_DATABASE'!B137))),"Khuyên Dùng Cho Biệt Thự / Penhouse","Khuyên Dùng Cho Nhà Phố / Căn Hộ")</f>
        <v/>
      </c>
    </row>
    <row r="141" ht="25" customHeight="1">
      <c r="A141" s="113">
        <f>'01_MASTER_DATABASE'!C138</f>
        <v/>
      </c>
      <c r="B141" s="114">
        <f>'01_MASTER_DATABASE'!D138</f>
        <v/>
      </c>
      <c r="C141" s="113">
        <f>IF(OR(ISNUMBER(SEARCH("Luxury",'01_MASTER_DATABASE'!B138)),ISNUMBER(SEARCH("Cầu",'01_MASTER_DATABASE'!B138))),"⭐⭐⭐⭐⭐","⭐⭐⭐⭐")</f>
        <v/>
      </c>
      <c r="D141" s="113">
        <f>IF(ISNUMBER(SEARCH("Slim",'01_MASTER_DATABASE'!B138)),"⭐⭐⭐","⭐⭐⭐⭐")</f>
        <v/>
      </c>
      <c r="E141" s="113" t="inlineStr">
        <is>
          <t>⭐⭐⭐⭐</t>
        </is>
      </c>
      <c r="F141" s="113" t="inlineStr">
        <is>
          <t>⭐⭐⭐⭐</t>
        </is>
      </c>
      <c r="G141" s="114">
        <f>IF(OR(ISNUMBER(SEARCH("Luxury",'01_MASTER_DATABASE'!B138)),ISNUMBER(SEARCH("Cầu",'01_MASTER_DATABASE'!B138))),"Khuyên Dùng Cho Biệt Thự / Penhouse","Khuyên Dùng Cho Nhà Phố / Căn Hộ")</f>
        <v/>
      </c>
    </row>
    <row r="142" ht="25" customHeight="1">
      <c r="A142" s="113">
        <f>'01_MASTER_DATABASE'!C139</f>
        <v/>
      </c>
      <c r="B142" s="114">
        <f>'01_MASTER_DATABASE'!D139</f>
        <v/>
      </c>
      <c r="C142" s="113">
        <f>IF(OR(ISNUMBER(SEARCH("Luxury",'01_MASTER_DATABASE'!B139)),ISNUMBER(SEARCH("Cầu",'01_MASTER_DATABASE'!B139))),"⭐⭐⭐⭐⭐","⭐⭐⭐⭐")</f>
        <v/>
      </c>
      <c r="D142" s="113">
        <f>IF(ISNUMBER(SEARCH("Slim",'01_MASTER_DATABASE'!B139)),"⭐⭐⭐","⭐⭐⭐⭐")</f>
        <v/>
      </c>
      <c r="E142" s="113" t="inlineStr">
        <is>
          <t>⭐⭐⭐⭐</t>
        </is>
      </c>
      <c r="F142" s="113" t="inlineStr">
        <is>
          <t>⭐⭐⭐⭐</t>
        </is>
      </c>
      <c r="G142" s="114">
        <f>IF(OR(ISNUMBER(SEARCH("Luxury",'01_MASTER_DATABASE'!B139)),ISNUMBER(SEARCH("Cầu",'01_MASTER_DATABASE'!B139))),"Khuyên Dùng Cho Biệt Thự / Penhouse","Khuyên Dùng Cho Nhà Phố / Căn Hộ")</f>
        <v/>
      </c>
    </row>
    <row r="143" ht="25" customHeight="1">
      <c r="A143" s="113">
        <f>'01_MASTER_DATABASE'!C140</f>
        <v/>
      </c>
      <c r="B143" s="114">
        <f>'01_MASTER_DATABASE'!D140</f>
        <v/>
      </c>
      <c r="C143" s="113">
        <f>IF(OR(ISNUMBER(SEARCH("Luxury",'01_MASTER_DATABASE'!B140)),ISNUMBER(SEARCH("Cầu",'01_MASTER_DATABASE'!B140))),"⭐⭐⭐⭐⭐","⭐⭐⭐⭐")</f>
        <v/>
      </c>
      <c r="D143" s="113">
        <f>IF(ISNUMBER(SEARCH("Slim",'01_MASTER_DATABASE'!B140)),"⭐⭐⭐","⭐⭐⭐⭐")</f>
        <v/>
      </c>
      <c r="E143" s="113" t="inlineStr">
        <is>
          <t>⭐⭐⭐⭐</t>
        </is>
      </c>
      <c r="F143" s="113" t="inlineStr">
        <is>
          <t>⭐⭐⭐⭐</t>
        </is>
      </c>
      <c r="G143" s="114">
        <f>IF(OR(ISNUMBER(SEARCH("Luxury",'01_MASTER_DATABASE'!B140)),ISNUMBER(SEARCH("Cầu",'01_MASTER_DATABASE'!B140))),"Khuyên Dùng Cho Biệt Thự / Penhouse","Khuyên Dùng Cho Nhà Phố / Căn Hộ")</f>
        <v/>
      </c>
    </row>
    <row r="144" ht="25" customHeight="1">
      <c r="A144" s="113">
        <f>'01_MASTER_DATABASE'!C141</f>
        <v/>
      </c>
      <c r="B144" s="114">
        <f>'01_MASTER_DATABASE'!D141</f>
        <v/>
      </c>
      <c r="C144" s="113">
        <f>IF(OR(ISNUMBER(SEARCH("Luxury",'01_MASTER_DATABASE'!B141)),ISNUMBER(SEARCH("Cầu",'01_MASTER_DATABASE'!B141))),"⭐⭐⭐⭐⭐","⭐⭐⭐⭐")</f>
        <v/>
      </c>
      <c r="D144" s="113">
        <f>IF(ISNUMBER(SEARCH("Slim",'01_MASTER_DATABASE'!B141)),"⭐⭐⭐","⭐⭐⭐⭐")</f>
        <v/>
      </c>
      <c r="E144" s="113" t="inlineStr">
        <is>
          <t>⭐⭐⭐⭐</t>
        </is>
      </c>
      <c r="F144" s="113" t="inlineStr">
        <is>
          <t>⭐⭐⭐⭐</t>
        </is>
      </c>
      <c r="G144" s="114">
        <f>IF(OR(ISNUMBER(SEARCH("Luxury",'01_MASTER_DATABASE'!B141)),ISNUMBER(SEARCH("Cầu",'01_MASTER_DATABASE'!B141))),"Khuyên Dùng Cho Biệt Thự / Penhouse","Khuyên Dùng Cho Nhà Phố / Căn Hộ")</f>
        <v/>
      </c>
    </row>
    <row r="145" ht="25" customHeight="1">
      <c r="A145" s="113">
        <f>'01_MASTER_DATABASE'!C142</f>
        <v/>
      </c>
      <c r="B145" s="114">
        <f>'01_MASTER_DATABASE'!D142</f>
        <v/>
      </c>
      <c r="C145" s="113">
        <f>IF(OR(ISNUMBER(SEARCH("Luxury",'01_MASTER_DATABASE'!B142)),ISNUMBER(SEARCH("Cầu",'01_MASTER_DATABASE'!B142))),"⭐⭐⭐⭐⭐","⭐⭐⭐⭐")</f>
        <v/>
      </c>
      <c r="D145" s="113">
        <f>IF(ISNUMBER(SEARCH("Slim",'01_MASTER_DATABASE'!B142)),"⭐⭐⭐","⭐⭐⭐⭐")</f>
        <v/>
      </c>
      <c r="E145" s="113" t="inlineStr">
        <is>
          <t>⭐⭐⭐⭐</t>
        </is>
      </c>
      <c r="F145" s="113" t="inlineStr">
        <is>
          <t>⭐⭐⭐⭐</t>
        </is>
      </c>
      <c r="G145" s="114">
        <f>IF(OR(ISNUMBER(SEARCH("Luxury",'01_MASTER_DATABASE'!B142)),ISNUMBER(SEARCH("Cầu",'01_MASTER_DATABASE'!B142))),"Khuyên Dùng Cho Biệt Thự / Penhouse","Khuyên Dùng Cho Nhà Phố / Căn Hộ")</f>
        <v/>
      </c>
    </row>
    <row r="146" ht="25" customHeight="1">
      <c r="A146" s="113">
        <f>'01_MASTER_DATABASE'!C143</f>
        <v/>
      </c>
      <c r="B146" s="114">
        <f>'01_MASTER_DATABASE'!D143</f>
        <v/>
      </c>
      <c r="C146" s="113">
        <f>IF(OR(ISNUMBER(SEARCH("Luxury",'01_MASTER_DATABASE'!B143)),ISNUMBER(SEARCH("Cầu",'01_MASTER_DATABASE'!B143))),"⭐⭐⭐⭐⭐","⭐⭐⭐⭐")</f>
        <v/>
      </c>
      <c r="D146" s="113">
        <f>IF(ISNUMBER(SEARCH("Slim",'01_MASTER_DATABASE'!B143)),"⭐⭐⭐","⭐⭐⭐⭐")</f>
        <v/>
      </c>
      <c r="E146" s="113" t="inlineStr">
        <is>
          <t>⭐⭐⭐⭐</t>
        </is>
      </c>
      <c r="F146" s="113" t="inlineStr">
        <is>
          <t>⭐⭐⭐⭐</t>
        </is>
      </c>
      <c r="G146" s="114">
        <f>IF(OR(ISNUMBER(SEARCH("Luxury",'01_MASTER_DATABASE'!B143)),ISNUMBER(SEARCH("Cầu",'01_MASTER_DATABASE'!B143))),"Khuyên Dùng Cho Biệt Thự / Penhouse","Khuyên Dùng Cho Nhà Phố / Căn Hộ")</f>
        <v/>
      </c>
    </row>
    <row r="147" ht="25" customHeight="1">
      <c r="A147" s="113">
        <f>'01_MASTER_DATABASE'!C144</f>
        <v/>
      </c>
      <c r="B147" s="114">
        <f>'01_MASTER_DATABASE'!D144</f>
        <v/>
      </c>
      <c r="C147" s="113">
        <f>IF(OR(ISNUMBER(SEARCH("Luxury",'01_MASTER_DATABASE'!B144)),ISNUMBER(SEARCH("Cầu",'01_MASTER_DATABASE'!B144))),"⭐⭐⭐⭐⭐","⭐⭐⭐⭐")</f>
        <v/>
      </c>
      <c r="D147" s="113">
        <f>IF(ISNUMBER(SEARCH("Slim",'01_MASTER_DATABASE'!B144)),"⭐⭐⭐","⭐⭐⭐⭐")</f>
        <v/>
      </c>
      <c r="E147" s="113" t="inlineStr">
        <is>
          <t>⭐⭐⭐⭐</t>
        </is>
      </c>
      <c r="F147" s="113" t="inlineStr">
        <is>
          <t>⭐⭐⭐⭐</t>
        </is>
      </c>
      <c r="G147" s="114">
        <f>IF(OR(ISNUMBER(SEARCH("Luxury",'01_MASTER_DATABASE'!B144)),ISNUMBER(SEARCH("Cầu",'01_MASTER_DATABASE'!B144))),"Khuyên Dùng Cho Biệt Thự / Penhouse","Khuyên Dùng Cho Nhà Phố / Căn Hộ")</f>
        <v/>
      </c>
    </row>
    <row r="148" ht="25" customHeight="1">
      <c r="A148" s="113">
        <f>'01_MASTER_DATABASE'!C145</f>
        <v/>
      </c>
      <c r="B148" s="114">
        <f>'01_MASTER_DATABASE'!D145</f>
        <v/>
      </c>
      <c r="C148" s="113">
        <f>IF(OR(ISNUMBER(SEARCH("Luxury",'01_MASTER_DATABASE'!B145)),ISNUMBER(SEARCH("Cầu",'01_MASTER_DATABASE'!B145))),"⭐⭐⭐⭐⭐","⭐⭐⭐⭐")</f>
        <v/>
      </c>
      <c r="D148" s="113">
        <f>IF(ISNUMBER(SEARCH("Slim",'01_MASTER_DATABASE'!B145)),"⭐⭐⭐","⭐⭐⭐⭐")</f>
        <v/>
      </c>
      <c r="E148" s="113" t="inlineStr">
        <is>
          <t>⭐⭐⭐⭐</t>
        </is>
      </c>
      <c r="F148" s="113" t="inlineStr">
        <is>
          <t>⭐⭐⭐⭐</t>
        </is>
      </c>
      <c r="G148" s="114">
        <f>IF(OR(ISNUMBER(SEARCH("Luxury",'01_MASTER_DATABASE'!B145)),ISNUMBER(SEARCH("Cầu",'01_MASTER_DATABASE'!B145))),"Khuyên Dùng Cho Biệt Thự / Penhouse","Khuyên Dùng Cho Nhà Phố / Căn Hộ")</f>
        <v/>
      </c>
    </row>
    <row r="149" ht="25" customHeight="1">
      <c r="A149" s="113">
        <f>'01_MASTER_DATABASE'!C146</f>
        <v/>
      </c>
      <c r="B149" s="114">
        <f>'01_MASTER_DATABASE'!D146</f>
        <v/>
      </c>
      <c r="C149" s="113">
        <f>IF(OR(ISNUMBER(SEARCH("Luxury",'01_MASTER_DATABASE'!B146)),ISNUMBER(SEARCH("Cầu",'01_MASTER_DATABASE'!B146))),"⭐⭐⭐⭐⭐","⭐⭐⭐⭐")</f>
        <v/>
      </c>
      <c r="D149" s="113">
        <f>IF(ISNUMBER(SEARCH("Slim",'01_MASTER_DATABASE'!B146)),"⭐⭐⭐","⭐⭐⭐⭐")</f>
        <v/>
      </c>
      <c r="E149" s="113" t="inlineStr">
        <is>
          <t>⭐⭐⭐⭐</t>
        </is>
      </c>
      <c r="F149" s="113" t="inlineStr">
        <is>
          <t>⭐⭐⭐⭐</t>
        </is>
      </c>
      <c r="G149" s="114">
        <f>IF(OR(ISNUMBER(SEARCH("Luxury",'01_MASTER_DATABASE'!B146)),ISNUMBER(SEARCH("Cầu",'01_MASTER_DATABASE'!B146))),"Khuyên Dùng Cho Biệt Thự / Penhouse","Khuyên Dùng Cho Nhà Phố / Căn Hộ")</f>
        <v/>
      </c>
    </row>
    <row r="150" ht="25" customHeight="1">
      <c r="A150" s="113">
        <f>'01_MASTER_DATABASE'!C147</f>
        <v/>
      </c>
      <c r="B150" s="114">
        <f>'01_MASTER_DATABASE'!D147</f>
        <v/>
      </c>
      <c r="C150" s="113">
        <f>IF(OR(ISNUMBER(SEARCH("Luxury",'01_MASTER_DATABASE'!B147)),ISNUMBER(SEARCH("Cầu",'01_MASTER_DATABASE'!B147))),"⭐⭐⭐⭐⭐","⭐⭐⭐⭐")</f>
        <v/>
      </c>
      <c r="D150" s="113">
        <f>IF(ISNUMBER(SEARCH("Slim",'01_MASTER_DATABASE'!B147)),"⭐⭐⭐","⭐⭐⭐⭐")</f>
        <v/>
      </c>
      <c r="E150" s="113" t="inlineStr">
        <is>
          <t>⭐⭐⭐⭐</t>
        </is>
      </c>
      <c r="F150" s="113" t="inlineStr">
        <is>
          <t>⭐⭐⭐⭐</t>
        </is>
      </c>
      <c r="G150" s="114">
        <f>IF(OR(ISNUMBER(SEARCH("Luxury",'01_MASTER_DATABASE'!B147)),ISNUMBER(SEARCH("Cầu",'01_MASTER_DATABASE'!B147))),"Khuyên Dùng Cho Biệt Thự / Penhouse","Khuyên Dùng Cho Nhà Phố / Căn Hộ")</f>
        <v/>
      </c>
    </row>
    <row r="151" ht="25" customHeight="1">
      <c r="A151" s="113">
        <f>'01_MASTER_DATABASE'!C148</f>
        <v/>
      </c>
      <c r="B151" s="114">
        <f>'01_MASTER_DATABASE'!D148</f>
        <v/>
      </c>
      <c r="C151" s="113">
        <f>IF(OR(ISNUMBER(SEARCH("Luxury",'01_MASTER_DATABASE'!B148)),ISNUMBER(SEARCH("Cầu",'01_MASTER_DATABASE'!B148))),"⭐⭐⭐⭐⭐","⭐⭐⭐⭐")</f>
        <v/>
      </c>
      <c r="D151" s="113">
        <f>IF(ISNUMBER(SEARCH("Slim",'01_MASTER_DATABASE'!B148)),"⭐⭐⭐","⭐⭐⭐⭐")</f>
        <v/>
      </c>
      <c r="E151" s="113" t="inlineStr">
        <is>
          <t>⭐⭐⭐⭐</t>
        </is>
      </c>
      <c r="F151" s="113" t="inlineStr">
        <is>
          <t>⭐⭐⭐⭐</t>
        </is>
      </c>
      <c r="G151" s="114">
        <f>IF(OR(ISNUMBER(SEARCH("Luxury",'01_MASTER_DATABASE'!B148)),ISNUMBER(SEARCH("Cầu",'01_MASTER_DATABASE'!B148))),"Khuyên Dùng Cho Biệt Thự / Penhouse","Khuyên Dùng Cho Nhà Phố / Căn Hộ")</f>
        <v/>
      </c>
    </row>
    <row r="152" ht="25" customHeight="1">
      <c r="A152" s="113">
        <f>'01_MASTER_DATABASE'!C149</f>
        <v/>
      </c>
      <c r="B152" s="114">
        <f>'01_MASTER_DATABASE'!D149</f>
        <v/>
      </c>
      <c r="C152" s="113">
        <f>IF(OR(ISNUMBER(SEARCH("Luxury",'01_MASTER_DATABASE'!B149)),ISNUMBER(SEARCH("Cầu",'01_MASTER_DATABASE'!B149))),"⭐⭐⭐⭐⭐","⭐⭐⭐⭐")</f>
        <v/>
      </c>
      <c r="D152" s="113">
        <f>IF(ISNUMBER(SEARCH("Slim",'01_MASTER_DATABASE'!B149)),"⭐⭐⭐","⭐⭐⭐⭐")</f>
        <v/>
      </c>
      <c r="E152" s="113" t="inlineStr">
        <is>
          <t>⭐⭐⭐⭐</t>
        </is>
      </c>
      <c r="F152" s="113" t="inlineStr">
        <is>
          <t>⭐⭐⭐⭐</t>
        </is>
      </c>
      <c r="G152" s="114">
        <f>IF(OR(ISNUMBER(SEARCH("Luxury",'01_MASTER_DATABASE'!B149)),ISNUMBER(SEARCH("Cầu",'01_MASTER_DATABASE'!B149))),"Khuyên Dùng Cho Biệt Thự / Penhouse","Khuyên Dùng Cho Nhà Phố / Căn Hộ")</f>
        <v/>
      </c>
    </row>
    <row r="153" ht="25" customHeight="1">
      <c r="A153" s="113">
        <f>'01_MASTER_DATABASE'!C150</f>
        <v/>
      </c>
      <c r="B153" s="114">
        <f>'01_MASTER_DATABASE'!D150</f>
        <v/>
      </c>
      <c r="C153" s="113">
        <f>IF(OR(ISNUMBER(SEARCH("Luxury",'01_MASTER_DATABASE'!B150)),ISNUMBER(SEARCH("Cầu",'01_MASTER_DATABASE'!B150))),"⭐⭐⭐⭐⭐","⭐⭐⭐⭐")</f>
        <v/>
      </c>
      <c r="D153" s="113">
        <f>IF(ISNUMBER(SEARCH("Slim",'01_MASTER_DATABASE'!B150)),"⭐⭐⭐","⭐⭐⭐⭐")</f>
        <v/>
      </c>
      <c r="E153" s="113" t="inlineStr">
        <is>
          <t>⭐⭐⭐⭐</t>
        </is>
      </c>
      <c r="F153" s="113" t="inlineStr">
        <is>
          <t>⭐⭐⭐⭐</t>
        </is>
      </c>
      <c r="G153" s="114">
        <f>IF(OR(ISNUMBER(SEARCH("Luxury",'01_MASTER_DATABASE'!B150)),ISNUMBER(SEARCH("Cầu",'01_MASTER_DATABASE'!B150))),"Khuyên Dùng Cho Biệt Thự / Penhouse","Khuyên Dùng Cho Nhà Phố / Căn Hộ")</f>
        <v/>
      </c>
    </row>
    <row r="154" ht="25" customHeight="1">
      <c r="A154" s="113">
        <f>'01_MASTER_DATABASE'!C151</f>
        <v/>
      </c>
      <c r="B154" s="114">
        <f>'01_MASTER_DATABASE'!D151</f>
        <v/>
      </c>
      <c r="C154" s="113">
        <f>IF(OR(ISNUMBER(SEARCH("Luxury",'01_MASTER_DATABASE'!B151)),ISNUMBER(SEARCH("Cầu",'01_MASTER_DATABASE'!B151))),"⭐⭐⭐⭐⭐","⭐⭐⭐⭐")</f>
        <v/>
      </c>
      <c r="D154" s="113">
        <f>IF(ISNUMBER(SEARCH("Slim",'01_MASTER_DATABASE'!B151)),"⭐⭐⭐","⭐⭐⭐⭐")</f>
        <v/>
      </c>
      <c r="E154" s="113" t="inlineStr">
        <is>
          <t>⭐⭐⭐⭐</t>
        </is>
      </c>
      <c r="F154" s="113" t="inlineStr">
        <is>
          <t>⭐⭐⭐⭐</t>
        </is>
      </c>
      <c r="G154" s="114">
        <f>IF(OR(ISNUMBER(SEARCH("Luxury",'01_MASTER_DATABASE'!B151)),ISNUMBER(SEARCH("Cầu",'01_MASTER_DATABASE'!B151))),"Khuyên Dùng Cho Biệt Thự / Penhouse","Khuyên Dùng Cho Nhà Phố / Căn Hộ")</f>
        <v/>
      </c>
    </row>
    <row r="155" ht="25" customHeight="1">
      <c r="A155" s="113">
        <f>'01_MASTER_DATABASE'!C152</f>
        <v/>
      </c>
      <c r="B155" s="114">
        <f>'01_MASTER_DATABASE'!D152</f>
        <v/>
      </c>
      <c r="C155" s="113">
        <f>IF(OR(ISNUMBER(SEARCH("Luxury",'01_MASTER_DATABASE'!B152)),ISNUMBER(SEARCH("Cầu",'01_MASTER_DATABASE'!B152))),"⭐⭐⭐⭐⭐","⭐⭐⭐⭐")</f>
        <v/>
      </c>
      <c r="D155" s="113">
        <f>IF(ISNUMBER(SEARCH("Slim",'01_MASTER_DATABASE'!B152)),"⭐⭐⭐","⭐⭐⭐⭐")</f>
        <v/>
      </c>
      <c r="E155" s="113" t="inlineStr">
        <is>
          <t>⭐⭐⭐⭐</t>
        </is>
      </c>
      <c r="F155" s="113" t="inlineStr">
        <is>
          <t>⭐⭐⭐⭐</t>
        </is>
      </c>
      <c r="G155" s="114">
        <f>IF(OR(ISNUMBER(SEARCH("Luxury",'01_MASTER_DATABASE'!B152)),ISNUMBER(SEARCH("Cầu",'01_MASTER_DATABASE'!B152))),"Khuyên Dùng Cho Biệt Thự / Penhouse","Khuyên Dùng Cho Nhà Phố / Căn Hộ")</f>
        <v/>
      </c>
    </row>
    <row r="156" ht="25" customHeight="1">
      <c r="A156" s="113">
        <f>'01_MASTER_DATABASE'!C153</f>
        <v/>
      </c>
      <c r="B156" s="114">
        <f>'01_MASTER_DATABASE'!D153</f>
        <v/>
      </c>
      <c r="C156" s="113">
        <f>IF(OR(ISNUMBER(SEARCH("Luxury",'01_MASTER_DATABASE'!B153)),ISNUMBER(SEARCH("Cầu",'01_MASTER_DATABASE'!B153))),"⭐⭐⭐⭐⭐","⭐⭐⭐⭐")</f>
        <v/>
      </c>
      <c r="D156" s="113">
        <f>IF(ISNUMBER(SEARCH("Slim",'01_MASTER_DATABASE'!B153)),"⭐⭐⭐","⭐⭐⭐⭐")</f>
        <v/>
      </c>
      <c r="E156" s="113" t="inlineStr">
        <is>
          <t>⭐⭐⭐⭐</t>
        </is>
      </c>
      <c r="F156" s="113" t="inlineStr">
        <is>
          <t>⭐⭐⭐⭐</t>
        </is>
      </c>
      <c r="G156" s="114">
        <f>IF(OR(ISNUMBER(SEARCH("Luxury",'01_MASTER_DATABASE'!B153)),ISNUMBER(SEARCH("Cầu",'01_MASTER_DATABASE'!B153))),"Khuyên Dùng Cho Biệt Thự / Penhouse","Khuyên Dùng Cho Nhà Phố / Căn Hộ")</f>
        <v/>
      </c>
    </row>
    <row r="157" ht="25" customHeight="1">
      <c r="A157" s="113">
        <f>'01_MASTER_DATABASE'!C154</f>
        <v/>
      </c>
      <c r="B157" s="114">
        <f>'01_MASTER_DATABASE'!D154</f>
        <v/>
      </c>
      <c r="C157" s="113">
        <f>IF(OR(ISNUMBER(SEARCH("Luxury",'01_MASTER_DATABASE'!B154)),ISNUMBER(SEARCH("Cầu",'01_MASTER_DATABASE'!B154))),"⭐⭐⭐⭐⭐","⭐⭐⭐⭐")</f>
        <v/>
      </c>
      <c r="D157" s="113">
        <f>IF(ISNUMBER(SEARCH("Slim",'01_MASTER_DATABASE'!B154)),"⭐⭐⭐","⭐⭐⭐⭐")</f>
        <v/>
      </c>
      <c r="E157" s="113" t="inlineStr">
        <is>
          <t>⭐⭐⭐⭐</t>
        </is>
      </c>
      <c r="F157" s="113" t="inlineStr">
        <is>
          <t>⭐⭐⭐⭐</t>
        </is>
      </c>
      <c r="G157" s="114">
        <f>IF(OR(ISNUMBER(SEARCH("Luxury",'01_MASTER_DATABASE'!B154)),ISNUMBER(SEARCH("Cầu",'01_MASTER_DATABASE'!B154))),"Khuyên Dùng Cho Biệt Thự / Penhouse","Khuyên Dùng Cho Nhà Phố / Căn Hộ")</f>
        <v/>
      </c>
    </row>
    <row r="158" ht="25" customHeight="1">
      <c r="A158" s="113">
        <f>'01_MASTER_DATABASE'!C155</f>
        <v/>
      </c>
      <c r="B158" s="114">
        <f>'01_MASTER_DATABASE'!D155</f>
        <v/>
      </c>
      <c r="C158" s="113">
        <f>IF(OR(ISNUMBER(SEARCH("Luxury",'01_MASTER_DATABASE'!B155)),ISNUMBER(SEARCH("Cầu",'01_MASTER_DATABASE'!B155))),"⭐⭐⭐⭐⭐","⭐⭐⭐⭐")</f>
        <v/>
      </c>
      <c r="D158" s="113">
        <f>IF(ISNUMBER(SEARCH("Slim",'01_MASTER_DATABASE'!B155)),"⭐⭐⭐","⭐⭐⭐⭐")</f>
        <v/>
      </c>
      <c r="E158" s="113" t="inlineStr">
        <is>
          <t>⭐⭐⭐⭐</t>
        </is>
      </c>
      <c r="F158" s="113" t="inlineStr">
        <is>
          <t>⭐⭐⭐⭐</t>
        </is>
      </c>
      <c r="G158" s="114">
        <f>IF(OR(ISNUMBER(SEARCH("Luxury",'01_MASTER_DATABASE'!B155)),ISNUMBER(SEARCH("Cầu",'01_MASTER_DATABASE'!B155))),"Khuyên Dùng Cho Biệt Thự / Penhouse","Khuyên Dùng Cho Nhà Phố / Căn Hộ")</f>
        <v/>
      </c>
    </row>
    <row r="159" ht="25" customHeight="1">
      <c r="A159" s="113">
        <f>'01_MASTER_DATABASE'!C156</f>
        <v/>
      </c>
      <c r="B159" s="114">
        <f>'01_MASTER_DATABASE'!D156</f>
        <v/>
      </c>
      <c r="C159" s="113">
        <f>IF(OR(ISNUMBER(SEARCH("Luxury",'01_MASTER_DATABASE'!B156)),ISNUMBER(SEARCH("Cầu",'01_MASTER_DATABASE'!B156))),"⭐⭐⭐⭐⭐","⭐⭐⭐⭐")</f>
        <v/>
      </c>
      <c r="D159" s="113">
        <f>IF(ISNUMBER(SEARCH("Slim",'01_MASTER_DATABASE'!B156)),"⭐⭐⭐","⭐⭐⭐⭐")</f>
        <v/>
      </c>
      <c r="E159" s="113" t="inlineStr">
        <is>
          <t>⭐⭐⭐⭐</t>
        </is>
      </c>
      <c r="F159" s="113" t="inlineStr">
        <is>
          <t>⭐⭐⭐⭐</t>
        </is>
      </c>
      <c r="G159" s="114">
        <f>IF(OR(ISNUMBER(SEARCH("Luxury",'01_MASTER_DATABASE'!B156)),ISNUMBER(SEARCH("Cầu",'01_MASTER_DATABASE'!B156))),"Khuyên Dùng Cho Biệt Thự / Penhouse","Khuyên Dùng Cho Nhà Phố / Căn Hộ")</f>
        <v/>
      </c>
    </row>
    <row r="160" ht="25" customHeight="1">
      <c r="A160" s="113">
        <f>'01_MASTER_DATABASE'!C157</f>
        <v/>
      </c>
      <c r="B160" s="114">
        <f>'01_MASTER_DATABASE'!D157</f>
        <v/>
      </c>
      <c r="C160" s="113">
        <f>IF(OR(ISNUMBER(SEARCH("Luxury",'01_MASTER_DATABASE'!B157)),ISNUMBER(SEARCH("Cầu",'01_MASTER_DATABASE'!B157))),"⭐⭐⭐⭐⭐","⭐⭐⭐⭐")</f>
        <v/>
      </c>
      <c r="D160" s="113">
        <f>IF(ISNUMBER(SEARCH("Slim",'01_MASTER_DATABASE'!B157)),"⭐⭐⭐","⭐⭐⭐⭐")</f>
        <v/>
      </c>
      <c r="E160" s="113" t="inlineStr">
        <is>
          <t>⭐⭐⭐⭐</t>
        </is>
      </c>
      <c r="F160" s="113" t="inlineStr">
        <is>
          <t>⭐⭐⭐⭐</t>
        </is>
      </c>
      <c r="G160" s="114">
        <f>IF(OR(ISNUMBER(SEARCH("Luxury",'01_MASTER_DATABASE'!B157)),ISNUMBER(SEARCH("Cầu",'01_MASTER_DATABASE'!B157))),"Khuyên Dùng Cho Biệt Thự / Penhouse","Khuyên Dùng Cho Nhà Phố / Căn Hộ")</f>
        <v/>
      </c>
    </row>
    <row r="161" ht="25" customHeight="1">
      <c r="A161" s="113">
        <f>'01_MASTER_DATABASE'!C158</f>
        <v/>
      </c>
      <c r="B161" s="114">
        <f>'01_MASTER_DATABASE'!D158</f>
        <v/>
      </c>
      <c r="C161" s="113">
        <f>IF(OR(ISNUMBER(SEARCH("Luxury",'01_MASTER_DATABASE'!B158)),ISNUMBER(SEARCH("Cầu",'01_MASTER_DATABASE'!B158))),"⭐⭐⭐⭐⭐","⭐⭐⭐⭐")</f>
        <v/>
      </c>
      <c r="D161" s="113">
        <f>IF(ISNUMBER(SEARCH("Slim",'01_MASTER_DATABASE'!B158)),"⭐⭐⭐","⭐⭐⭐⭐")</f>
        <v/>
      </c>
      <c r="E161" s="113" t="inlineStr">
        <is>
          <t>⭐⭐⭐⭐</t>
        </is>
      </c>
      <c r="F161" s="113" t="inlineStr">
        <is>
          <t>⭐⭐⭐⭐</t>
        </is>
      </c>
      <c r="G161" s="114">
        <f>IF(OR(ISNUMBER(SEARCH("Luxury",'01_MASTER_DATABASE'!B158)),ISNUMBER(SEARCH("Cầu",'01_MASTER_DATABASE'!B158))),"Khuyên Dùng Cho Biệt Thự / Penhouse","Khuyên Dùng Cho Nhà Phố / Căn Hộ")</f>
        <v/>
      </c>
    </row>
    <row r="162" ht="25" customHeight="1">
      <c r="A162" s="113">
        <f>'01_MASTER_DATABASE'!C159</f>
        <v/>
      </c>
      <c r="B162" s="114">
        <f>'01_MASTER_DATABASE'!D159</f>
        <v/>
      </c>
      <c r="C162" s="113">
        <f>IF(OR(ISNUMBER(SEARCH("Luxury",'01_MASTER_DATABASE'!B159)),ISNUMBER(SEARCH("Cầu",'01_MASTER_DATABASE'!B159))),"⭐⭐⭐⭐⭐","⭐⭐⭐⭐")</f>
        <v/>
      </c>
      <c r="D162" s="113">
        <f>IF(ISNUMBER(SEARCH("Slim",'01_MASTER_DATABASE'!B159)),"⭐⭐⭐","⭐⭐⭐⭐")</f>
        <v/>
      </c>
      <c r="E162" s="113" t="inlineStr">
        <is>
          <t>⭐⭐⭐⭐</t>
        </is>
      </c>
      <c r="F162" s="113" t="inlineStr">
        <is>
          <t>⭐⭐⭐⭐</t>
        </is>
      </c>
      <c r="G162" s="114">
        <f>IF(OR(ISNUMBER(SEARCH("Luxury",'01_MASTER_DATABASE'!B159)),ISNUMBER(SEARCH("Cầu",'01_MASTER_DATABASE'!B159))),"Khuyên Dùng Cho Biệt Thự / Penhouse","Khuyên Dùng Cho Nhà Phố / Căn Hộ")</f>
        <v/>
      </c>
    </row>
    <row r="163" ht="25" customHeight="1">
      <c r="A163" s="113">
        <f>'01_MASTER_DATABASE'!C160</f>
        <v/>
      </c>
      <c r="B163" s="114">
        <f>'01_MASTER_DATABASE'!D160</f>
        <v/>
      </c>
      <c r="C163" s="113">
        <f>IF(OR(ISNUMBER(SEARCH("Luxury",'01_MASTER_DATABASE'!B160)),ISNUMBER(SEARCH("Cầu",'01_MASTER_DATABASE'!B160))),"⭐⭐⭐⭐⭐","⭐⭐⭐⭐")</f>
        <v/>
      </c>
      <c r="D163" s="113">
        <f>IF(ISNUMBER(SEARCH("Slim",'01_MASTER_DATABASE'!B160)),"⭐⭐⭐","⭐⭐⭐⭐")</f>
        <v/>
      </c>
      <c r="E163" s="113" t="inlineStr">
        <is>
          <t>⭐⭐⭐⭐</t>
        </is>
      </c>
      <c r="F163" s="113" t="inlineStr">
        <is>
          <t>⭐⭐⭐⭐</t>
        </is>
      </c>
      <c r="G163" s="114">
        <f>IF(OR(ISNUMBER(SEARCH("Luxury",'01_MASTER_DATABASE'!B160)),ISNUMBER(SEARCH("Cầu",'01_MASTER_DATABASE'!B160))),"Khuyên Dùng Cho Biệt Thự / Penhouse","Khuyên Dùng Cho Nhà Phố / Căn Hộ")</f>
        <v/>
      </c>
    </row>
    <row r="164" ht="25" customHeight="1">
      <c r="A164" s="113">
        <f>'01_MASTER_DATABASE'!C161</f>
        <v/>
      </c>
      <c r="B164" s="114">
        <f>'01_MASTER_DATABASE'!D161</f>
        <v/>
      </c>
      <c r="C164" s="113">
        <f>IF(OR(ISNUMBER(SEARCH("Luxury",'01_MASTER_DATABASE'!B161)),ISNUMBER(SEARCH("Cầu",'01_MASTER_DATABASE'!B161))),"⭐⭐⭐⭐⭐","⭐⭐⭐⭐")</f>
        <v/>
      </c>
      <c r="D164" s="113">
        <f>IF(ISNUMBER(SEARCH("Slim",'01_MASTER_DATABASE'!B161)),"⭐⭐⭐","⭐⭐⭐⭐")</f>
        <v/>
      </c>
      <c r="E164" s="113" t="inlineStr">
        <is>
          <t>⭐⭐⭐⭐</t>
        </is>
      </c>
      <c r="F164" s="113" t="inlineStr">
        <is>
          <t>⭐⭐⭐⭐</t>
        </is>
      </c>
      <c r="G164" s="114">
        <f>IF(OR(ISNUMBER(SEARCH("Luxury",'01_MASTER_DATABASE'!B161)),ISNUMBER(SEARCH("Cầu",'01_MASTER_DATABASE'!B161))),"Khuyên Dùng Cho Biệt Thự / Penhouse","Khuyên Dùng Cho Nhà Phố / Căn Hộ")</f>
        <v/>
      </c>
    </row>
    <row r="165" ht="25" customHeight="1">
      <c r="A165" s="113">
        <f>'01_MASTER_DATABASE'!C162</f>
        <v/>
      </c>
      <c r="B165" s="114">
        <f>'01_MASTER_DATABASE'!D162</f>
        <v/>
      </c>
      <c r="C165" s="113">
        <f>IF(OR(ISNUMBER(SEARCH("Luxury",'01_MASTER_DATABASE'!B162)),ISNUMBER(SEARCH("Cầu",'01_MASTER_DATABASE'!B162))),"⭐⭐⭐⭐⭐","⭐⭐⭐⭐")</f>
        <v/>
      </c>
      <c r="D165" s="113">
        <f>IF(ISNUMBER(SEARCH("Slim",'01_MASTER_DATABASE'!B162)),"⭐⭐⭐","⭐⭐⭐⭐")</f>
        <v/>
      </c>
      <c r="E165" s="113" t="inlineStr">
        <is>
          <t>⭐⭐⭐⭐</t>
        </is>
      </c>
      <c r="F165" s="113" t="inlineStr">
        <is>
          <t>⭐⭐⭐⭐</t>
        </is>
      </c>
      <c r="G165" s="114">
        <f>IF(OR(ISNUMBER(SEARCH("Luxury",'01_MASTER_DATABASE'!B162)),ISNUMBER(SEARCH("Cầu",'01_MASTER_DATABASE'!B162))),"Khuyên Dùng Cho Biệt Thự / Penhouse","Khuyên Dùng Cho Nhà Phố / Căn Hộ")</f>
        <v/>
      </c>
    </row>
    <row r="166" ht="25" customHeight="1">
      <c r="A166" s="113">
        <f>'01_MASTER_DATABASE'!C163</f>
        <v/>
      </c>
      <c r="B166" s="114">
        <f>'01_MASTER_DATABASE'!D163</f>
        <v/>
      </c>
      <c r="C166" s="113">
        <f>IF(OR(ISNUMBER(SEARCH("Luxury",'01_MASTER_DATABASE'!B163)),ISNUMBER(SEARCH("Cầu",'01_MASTER_DATABASE'!B163))),"⭐⭐⭐⭐⭐","⭐⭐⭐⭐")</f>
        <v/>
      </c>
      <c r="D166" s="113">
        <f>IF(ISNUMBER(SEARCH("Slim",'01_MASTER_DATABASE'!B163)),"⭐⭐⭐","⭐⭐⭐⭐")</f>
        <v/>
      </c>
      <c r="E166" s="113" t="inlineStr">
        <is>
          <t>⭐⭐⭐⭐</t>
        </is>
      </c>
      <c r="F166" s="113" t="inlineStr">
        <is>
          <t>⭐⭐⭐⭐</t>
        </is>
      </c>
      <c r="G166" s="114">
        <f>IF(OR(ISNUMBER(SEARCH("Luxury",'01_MASTER_DATABASE'!B163)),ISNUMBER(SEARCH("Cầu",'01_MASTER_DATABASE'!B163))),"Khuyên Dùng Cho Biệt Thự / Penhouse","Khuyên Dùng Cho Nhà Phố / Căn Hộ")</f>
        <v/>
      </c>
    </row>
    <row r="167" ht="25" customHeight="1">
      <c r="A167" s="113">
        <f>'01_MASTER_DATABASE'!C164</f>
        <v/>
      </c>
      <c r="B167" s="114">
        <f>'01_MASTER_DATABASE'!D164</f>
        <v/>
      </c>
      <c r="C167" s="113">
        <f>IF(OR(ISNUMBER(SEARCH("Luxury",'01_MASTER_DATABASE'!B164)),ISNUMBER(SEARCH("Cầu",'01_MASTER_DATABASE'!B164))),"⭐⭐⭐⭐⭐","⭐⭐⭐⭐")</f>
        <v/>
      </c>
      <c r="D167" s="113">
        <f>IF(ISNUMBER(SEARCH("Slim",'01_MASTER_DATABASE'!B164)),"⭐⭐⭐","⭐⭐⭐⭐")</f>
        <v/>
      </c>
      <c r="E167" s="113" t="inlineStr">
        <is>
          <t>⭐⭐⭐⭐</t>
        </is>
      </c>
      <c r="F167" s="113" t="inlineStr">
        <is>
          <t>⭐⭐⭐⭐</t>
        </is>
      </c>
      <c r="G167" s="114">
        <f>IF(OR(ISNUMBER(SEARCH("Luxury",'01_MASTER_DATABASE'!B164)),ISNUMBER(SEARCH("Cầu",'01_MASTER_DATABASE'!B164))),"Khuyên Dùng Cho Biệt Thự / Penhouse","Khuyên Dùng Cho Nhà Phố / Căn Hộ")</f>
        <v/>
      </c>
    </row>
    <row r="168" ht="25" customHeight="1">
      <c r="A168" s="113">
        <f>'01_MASTER_DATABASE'!C165</f>
        <v/>
      </c>
      <c r="B168" s="114">
        <f>'01_MASTER_DATABASE'!D165</f>
        <v/>
      </c>
      <c r="C168" s="113">
        <f>IF(OR(ISNUMBER(SEARCH("Luxury",'01_MASTER_DATABASE'!B165)),ISNUMBER(SEARCH("Cầu",'01_MASTER_DATABASE'!B165))),"⭐⭐⭐⭐⭐","⭐⭐⭐⭐")</f>
        <v/>
      </c>
      <c r="D168" s="113">
        <f>IF(ISNUMBER(SEARCH("Slim",'01_MASTER_DATABASE'!B165)),"⭐⭐⭐","⭐⭐⭐⭐")</f>
        <v/>
      </c>
      <c r="E168" s="113" t="inlineStr">
        <is>
          <t>⭐⭐⭐⭐</t>
        </is>
      </c>
      <c r="F168" s="113" t="inlineStr">
        <is>
          <t>⭐⭐⭐⭐</t>
        </is>
      </c>
      <c r="G168" s="114">
        <f>IF(OR(ISNUMBER(SEARCH("Luxury",'01_MASTER_DATABASE'!B165)),ISNUMBER(SEARCH("Cầu",'01_MASTER_DATABASE'!B165))),"Khuyên Dùng Cho Biệt Thự / Penhouse","Khuyên Dùng Cho Nhà Phố / Căn Hộ")</f>
        <v/>
      </c>
    </row>
    <row r="169" ht="25" customHeight="1">
      <c r="A169" s="113">
        <f>'01_MASTER_DATABASE'!C166</f>
        <v/>
      </c>
      <c r="B169" s="114">
        <f>'01_MASTER_DATABASE'!D166</f>
        <v/>
      </c>
      <c r="C169" s="113">
        <f>IF(OR(ISNUMBER(SEARCH("Luxury",'01_MASTER_DATABASE'!B166)),ISNUMBER(SEARCH("Cầu",'01_MASTER_DATABASE'!B166))),"⭐⭐⭐⭐⭐","⭐⭐⭐⭐")</f>
        <v/>
      </c>
      <c r="D169" s="113">
        <f>IF(ISNUMBER(SEARCH("Slim",'01_MASTER_DATABASE'!B166)),"⭐⭐⭐","⭐⭐⭐⭐")</f>
        <v/>
      </c>
      <c r="E169" s="113" t="inlineStr">
        <is>
          <t>⭐⭐⭐⭐</t>
        </is>
      </c>
      <c r="F169" s="113" t="inlineStr">
        <is>
          <t>⭐⭐⭐⭐</t>
        </is>
      </c>
      <c r="G169" s="114">
        <f>IF(OR(ISNUMBER(SEARCH("Luxury",'01_MASTER_DATABASE'!B166)),ISNUMBER(SEARCH("Cầu",'01_MASTER_DATABASE'!B166))),"Khuyên Dùng Cho Biệt Thự / Penhouse","Khuyên Dùng Cho Nhà Phố / Căn Hộ")</f>
        <v/>
      </c>
    </row>
    <row r="170" ht="25" customHeight="1">
      <c r="A170" s="113">
        <f>'01_MASTER_DATABASE'!C167</f>
        <v/>
      </c>
      <c r="B170" s="114">
        <f>'01_MASTER_DATABASE'!D167</f>
        <v/>
      </c>
      <c r="C170" s="113">
        <f>IF(OR(ISNUMBER(SEARCH("Luxury",'01_MASTER_DATABASE'!B167)),ISNUMBER(SEARCH("Cầu",'01_MASTER_DATABASE'!B167))),"⭐⭐⭐⭐⭐","⭐⭐⭐⭐")</f>
        <v/>
      </c>
      <c r="D170" s="113">
        <f>IF(ISNUMBER(SEARCH("Slim",'01_MASTER_DATABASE'!B167)),"⭐⭐⭐","⭐⭐⭐⭐")</f>
        <v/>
      </c>
      <c r="E170" s="113" t="inlineStr">
        <is>
          <t>⭐⭐⭐⭐</t>
        </is>
      </c>
      <c r="F170" s="113" t="inlineStr">
        <is>
          <t>⭐⭐⭐⭐</t>
        </is>
      </c>
      <c r="G170" s="114">
        <f>IF(OR(ISNUMBER(SEARCH("Luxury",'01_MASTER_DATABASE'!B167)),ISNUMBER(SEARCH("Cầu",'01_MASTER_DATABASE'!B167))),"Khuyên Dùng Cho Biệt Thự / Penhouse","Khuyên Dùng Cho Nhà Phố / Căn Hộ")</f>
        <v/>
      </c>
    </row>
    <row r="171" ht="25" customHeight="1">
      <c r="A171" s="113">
        <f>'01_MASTER_DATABASE'!C168</f>
        <v/>
      </c>
      <c r="B171" s="114">
        <f>'01_MASTER_DATABASE'!D168</f>
        <v/>
      </c>
      <c r="C171" s="113">
        <f>IF(OR(ISNUMBER(SEARCH("Luxury",'01_MASTER_DATABASE'!B168)),ISNUMBER(SEARCH("Cầu",'01_MASTER_DATABASE'!B168))),"⭐⭐⭐⭐⭐","⭐⭐⭐⭐")</f>
        <v/>
      </c>
      <c r="D171" s="113">
        <f>IF(ISNUMBER(SEARCH("Slim",'01_MASTER_DATABASE'!B168)),"⭐⭐⭐","⭐⭐⭐⭐")</f>
        <v/>
      </c>
      <c r="E171" s="113" t="inlineStr">
        <is>
          <t>⭐⭐⭐⭐</t>
        </is>
      </c>
      <c r="F171" s="113" t="inlineStr">
        <is>
          <t>⭐⭐⭐⭐</t>
        </is>
      </c>
      <c r="G171" s="114">
        <f>IF(OR(ISNUMBER(SEARCH("Luxury",'01_MASTER_DATABASE'!B168)),ISNUMBER(SEARCH("Cầu",'01_MASTER_DATABASE'!B168))),"Khuyên Dùng Cho Biệt Thự / Penhouse","Khuyên Dùng Cho Nhà Phố / Căn Hộ")</f>
        <v/>
      </c>
    </row>
    <row r="172" ht="25" customHeight="1">
      <c r="A172" s="113">
        <f>'01_MASTER_DATABASE'!C169</f>
        <v/>
      </c>
      <c r="B172" s="114">
        <f>'01_MASTER_DATABASE'!D169</f>
        <v/>
      </c>
      <c r="C172" s="113">
        <f>IF(OR(ISNUMBER(SEARCH("Luxury",'01_MASTER_DATABASE'!B169)),ISNUMBER(SEARCH("Cầu",'01_MASTER_DATABASE'!B169))),"⭐⭐⭐⭐⭐","⭐⭐⭐⭐")</f>
        <v/>
      </c>
      <c r="D172" s="113">
        <f>IF(ISNUMBER(SEARCH("Slim",'01_MASTER_DATABASE'!B169)),"⭐⭐⭐","⭐⭐⭐⭐")</f>
        <v/>
      </c>
      <c r="E172" s="113" t="inlineStr">
        <is>
          <t>⭐⭐⭐⭐</t>
        </is>
      </c>
      <c r="F172" s="113" t="inlineStr">
        <is>
          <t>⭐⭐⭐⭐</t>
        </is>
      </c>
      <c r="G172" s="114">
        <f>IF(OR(ISNUMBER(SEARCH("Luxury",'01_MASTER_DATABASE'!B169)),ISNUMBER(SEARCH("Cầu",'01_MASTER_DATABASE'!B169))),"Khuyên Dùng Cho Biệt Thự / Penhouse","Khuyên Dùng Cho Nhà Phố / Căn Hộ")</f>
        <v/>
      </c>
    </row>
    <row r="173" ht="25" customHeight="1">
      <c r="A173" s="113">
        <f>'01_MASTER_DATABASE'!C170</f>
        <v/>
      </c>
      <c r="B173" s="114">
        <f>'01_MASTER_DATABASE'!D170</f>
        <v/>
      </c>
      <c r="C173" s="113">
        <f>IF(OR(ISNUMBER(SEARCH("Luxury",'01_MASTER_DATABASE'!B170)),ISNUMBER(SEARCH("Cầu",'01_MASTER_DATABASE'!B170))),"⭐⭐⭐⭐⭐","⭐⭐⭐⭐")</f>
        <v/>
      </c>
      <c r="D173" s="113">
        <f>IF(ISNUMBER(SEARCH("Slim",'01_MASTER_DATABASE'!B170)),"⭐⭐⭐","⭐⭐⭐⭐")</f>
        <v/>
      </c>
      <c r="E173" s="113" t="inlineStr">
        <is>
          <t>⭐⭐⭐⭐</t>
        </is>
      </c>
      <c r="F173" s="113" t="inlineStr">
        <is>
          <t>⭐⭐⭐⭐</t>
        </is>
      </c>
      <c r="G173" s="114">
        <f>IF(OR(ISNUMBER(SEARCH("Luxury",'01_MASTER_DATABASE'!B170)),ISNUMBER(SEARCH("Cầu",'01_MASTER_DATABASE'!B170))),"Khuyên Dùng Cho Biệt Thự / Penhouse","Khuyên Dùng Cho Nhà Phố / Căn Hộ")</f>
        <v/>
      </c>
    </row>
    <row r="174" ht="25" customHeight="1">
      <c r="A174" s="113">
        <f>'01_MASTER_DATABASE'!C171</f>
        <v/>
      </c>
      <c r="B174" s="114">
        <f>'01_MASTER_DATABASE'!D171</f>
        <v/>
      </c>
      <c r="C174" s="113">
        <f>IF(OR(ISNUMBER(SEARCH("Luxury",'01_MASTER_DATABASE'!B171)),ISNUMBER(SEARCH("Cầu",'01_MASTER_DATABASE'!B171))),"⭐⭐⭐⭐⭐","⭐⭐⭐⭐")</f>
        <v/>
      </c>
      <c r="D174" s="113">
        <f>IF(ISNUMBER(SEARCH("Slim",'01_MASTER_DATABASE'!B171)),"⭐⭐⭐","⭐⭐⭐⭐")</f>
        <v/>
      </c>
      <c r="E174" s="113" t="inlineStr">
        <is>
          <t>⭐⭐⭐⭐</t>
        </is>
      </c>
      <c r="F174" s="113" t="inlineStr">
        <is>
          <t>⭐⭐⭐⭐</t>
        </is>
      </c>
      <c r="G174" s="114">
        <f>IF(OR(ISNUMBER(SEARCH("Luxury",'01_MASTER_DATABASE'!B171)),ISNUMBER(SEARCH("Cầu",'01_MASTER_DATABASE'!B171))),"Khuyên Dùng Cho Biệt Thự / Penhouse","Khuyên Dùng Cho Nhà Phố / Căn Hộ")</f>
        <v/>
      </c>
    </row>
    <row r="175" ht="25" customHeight="1">
      <c r="A175" s="113">
        <f>'01_MASTER_DATABASE'!C172</f>
        <v/>
      </c>
      <c r="B175" s="114">
        <f>'01_MASTER_DATABASE'!D172</f>
        <v/>
      </c>
      <c r="C175" s="113">
        <f>IF(OR(ISNUMBER(SEARCH("Luxury",'01_MASTER_DATABASE'!B172)),ISNUMBER(SEARCH("Cầu",'01_MASTER_DATABASE'!B172))),"⭐⭐⭐⭐⭐","⭐⭐⭐⭐")</f>
        <v/>
      </c>
      <c r="D175" s="113">
        <f>IF(ISNUMBER(SEARCH("Slim",'01_MASTER_DATABASE'!B172)),"⭐⭐⭐","⭐⭐⭐⭐")</f>
        <v/>
      </c>
      <c r="E175" s="113" t="inlineStr">
        <is>
          <t>⭐⭐⭐⭐</t>
        </is>
      </c>
      <c r="F175" s="113" t="inlineStr">
        <is>
          <t>⭐⭐⭐⭐</t>
        </is>
      </c>
      <c r="G175" s="114">
        <f>IF(OR(ISNUMBER(SEARCH("Luxury",'01_MASTER_DATABASE'!B172)),ISNUMBER(SEARCH("Cầu",'01_MASTER_DATABASE'!B172))),"Khuyên Dùng Cho Biệt Thự / Penhouse","Khuyên Dùng Cho Nhà Phố / Căn Hộ")</f>
        <v/>
      </c>
    </row>
    <row r="176" ht="25" customHeight="1">
      <c r="A176" s="113">
        <f>'01_MASTER_DATABASE'!C173</f>
        <v/>
      </c>
      <c r="B176" s="114">
        <f>'01_MASTER_DATABASE'!D173</f>
        <v/>
      </c>
      <c r="C176" s="113">
        <f>IF(OR(ISNUMBER(SEARCH("Luxury",'01_MASTER_DATABASE'!B173)),ISNUMBER(SEARCH("Cầu",'01_MASTER_DATABASE'!B173))),"⭐⭐⭐⭐⭐","⭐⭐⭐⭐")</f>
        <v/>
      </c>
      <c r="D176" s="113">
        <f>IF(ISNUMBER(SEARCH("Slim",'01_MASTER_DATABASE'!B173)),"⭐⭐⭐","⭐⭐⭐⭐")</f>
        <v/>
      </c>
      <c r="E176" s="113" t="inlineStr">
        <is>
          <t>⭐⭐⭐⭐</t>
        </is>
      </c>
      <c r="F176" s="113" t="inlineStr">
        <is>
          <t>⭐⭐⭐⭐</t>
        </is>
      </c>
      <c r="G176" s="114">
        <f>IF(OR(ISNUMBER(SEARCH("Luxury",'01_MASTER_DATABASE'!B173)),ISNUMBER(SEARCH("Cầu",'01_MASTER_DATABASE'!B173))),"Khuyên Dùng Cho Biệt Thự / Penhouse","Khuyên Dùng Cho Nhà Phố / Căn Hộ")</f>
        <v/>
      </c>
    </row>
  </sheetData>
  <mergeCells count="1">
    <mergeCell ref="A1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0" customHeight="1">
      <c r="A1" s="115" t="inlineStr">
        <is>
          <t>BẢNG ĐIỀU KHIỂN &amp; BIỂU ĐỒ THỐNG KÊ</t>
        </is>
      </c>
    </row>
    <row r="2" ht="20" customHeight="1"/>
    <row r="4" ht="30" customHeight="1">
      <c r="A4" s="116" t="inlineStr">
        <is>
          <t>Tổng số hệ trong thư viện</t>
        </is>
      </c>
      <c r="B4" s="117">
        <f>COUNTA('01_MASTER_DATABASE'!A2:A500)</f>
        <v/>
      </c>
    </row>
    <row r="5" ht="30" customHeight="1">
      <c r="A5" s="116" t="inlineStr">
        <is>
          <t>Số hệ Cầu Cách Nhiệt (Thermal)</t>
        </is>
      </c>
      <c r="B5" s="117">
        <f>COUNTIF('01_MASTER_DATABASE'!B2:B500, "*Cầu cách nhiệt*") + COUNTIF('01_MASTER_DATABASE'!B2:B500, "*Thermal*")</f>
        <v/>
      </c>
    </row>
    <row r="6" ht="30" customHeight="1">
      <c r="A6" s="116" t="inlineStr">
        <is>
          <t>Số hệ cửa Slim nội/ngoại thất</t>
        </is>
      </c>
      <c r="B6" s="117">
        <f>COUNTIF('01_MASTER_DATABASE'!B2:B500, "*Slim*")</f>
        <v/>
      </c>
    </row>
    <row r="7" ht="30" customHeight="1">
      <c r="A7" s="116" t="inlineStr">
        <is>
          <t>Số hệ đạt tiêu chuẩn rãnh C châu Âu</t>
        </is>
      </c>
      <c r="B7" s="117">
        <f>COUNTIF('01_MASTER_DATABASE'!Q2:Q500, "*rãnh C*")</f>
        <v/>
      </c>
    </row>
    <row r="8" ht="30" customHeight="1">
      <c r="A8" s="116" t="inlineStr">
        <is>
          <t>Số hệ tương thích kính hộp dày (&gt;=20mm)</t>
        </is>
      </c>
      <c r="B8" s="117">
        <f>COUNTIFS('01_MASTER_DATABASE'!N2:N500, "*20mm*") + COUNTIFS('01_MASTER_DATABASE'!N2:N500, "*24mm*") + COUNTIFS('01_MASTER_DATABASE'!N2:N500, "*28mm*") + COUNTIFS('01_MASTER_DATABASE'!N2:N500, "*32mm*") + COUNTIFS('01_MASTER_DATABASE'!N2:N500, "*36mm*")</f>
        <v/>
      </c>
    </row>
    <row r="9" ht="30" customHeight="1">
      <c r="A9" s="116" t="inlineStr">
        <is>
          <t>Số hệ có sẵn bản vẽ CAD</t>
        </is>
      </c>
      <c r="B9" s="117">
        <f>COUNTIF('01_MASTER_DATABASE'!V2:V500, "*✓*")</f>
        <v/>
      </c>
    </row>
  </sheetData>
  <mergeCells count="1">
    <mergeCell ref="A1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109" t="inlineStr">
        <is>
          <t>BẢNG SO SÁNH TRỰC TIẾP side-by-side PHÂN HỆ 55 PHỔ BIẾN</t>
        </is>
      </c>
    </row>
    <row r="2" ht="20" customHeight="1"/>
    <row r="4" ht="30" customHeight="1">
      <c r="A4" s="110" t="inlineStr">
        <is>
          <t>Tiêu Chí So Sánh</t>
        </is>
      </c>
      <c r="B4" s="110" t="inlineStr">
        <is>
          <t>Xingfa Quảng Đông (Hệ 55)</t>
        </is>
      </c>
      <c r="C4" s="110" t="inlineStr">
        <is>
          <t>PMA Vina (Hệ 55)</t>
        </is>
      </c>
      <c r="D4" s="110" t="inlineStr">
        <is>
          <t>Topal Prima (Hệ 55)</t>
        </is>
      </c>
      <c r="E4" s="110" t="inlineStr">
        <is>
          <t>Việt Pháp SHAL (Hệ 55)</t>
        </is>
      </c>
      <c r="F4" s="110" t="inlineStr">
        <is>
          <t>Civro Đức (Hệ AW55)</t>
        </is>
      </c>
    </row>
    <row r="5" ht="25" customHeight="1">
      <c r="A5" s="114" t="inlineStr">
        <is>
          <t>Độ dày Profile (mm)</t>
        </is>
      </c>
      <c r="B5" s="118">
        <f>'01_MASTER_DATABASE'!L114</f>
        <v/>
      </c>
      <c r="C5" s="118">
        <f>'01_MASTER_DATABASE'!L8</f>
        <v/>
      </c>
      <c r="D5" s="118">
        <f>'01_MASTER_DATABASE'!L86</f>
        <v/>
      </c>
      <c r="E5" s="118">
        <f>'01_MASTER_DATABASE'!L5</f>
        <v/>
      </c>
      <c r="F5" s="118">
        <f>'01_MASTER_DATABASE'!L39</f>
        <v/>
      </c>
    </row>
    <row r="6" ht="25" customHeight="1">
      <c r="A6" s="114" t="inlineStr">
        <is>
          <t>Kính tối đa</t>
        </is>
      </c>
      <c r="B6" s="118">
        <f>'01_MASTER_DATABASE'!N114</f>
        <v/>
      </c>
      <c r="C6" s="118">
        <f>'01_MASTER_DATABASE'!N8</f>
        <v/>
      </c>
      <c r="D6" s="118">
        <f>'01_MASTER_DATABASE'!N86</f>
        <v/>
      </c>
      <c r="E6" s="118">
        <f>'01_MASTER_DATABASE'!N5</f>
        <v/>
      </c>
      <c r="F6" s="118">
        <f>'01_MASTER_DATABASE'!N39</f>
        <v/>
      </c>
    </row>
    <row r="7" ht="25" customHeight="1">
      <c r="A7" s="114" t="inlineStr">
        <is>
          <t>Hệ Phụ Kiện</t>
        </is>
      </c>
      <c r="B7" s="118">
        <f>'01_MASTER_DATABASE'!Q114</f>
        <v/>
      </c>
      <c r="C7" s="118">
        <f>'01_MASTER_DATABASE'!Q8</f>
        <v/>
      </c>
      <c r="D7" s="118">
        <f>'01_MASTER_DATABASE'!Q86</f>
        <v/>
      </c>
      <c r="E7" s="118">
        <f>'01_MASTER_DATABASE'!Q5</f>
        <v/>
      </c>
      <c r="F7" s="118">
        <f>'01_MASTER_DATABASE'!Q39</f>
        <v/>
      </c>
    </row>
    <row r="8" ht="25" customHeight="1">
      <c r="A8" s="114" t="inlineStr">
        <is>
          <t>Chỉ Số Cách Âm</t>
        </is>
      </c>
      <c r="B8" s="118" t="inlineStr">
        <is>
          <t>Tốt (32dB)</t>
        </is>
      </c>
      <c r="C8" s="118" t="inlineStr">
        <is>
          <t>Trung bình (28dB)</t>
        </is>
      </c>
      <c r="D8" s="118" t="inlineStr">
        <is>
          <t>Khá (30dB)</t>
        </is>
      </c>
      <c r="E8" s="118" t="inlineStr">
        <is>
          <t>Trung bình (28dB)</t>
        </is>
      </c>
      <c r="F8" s="118" t="inlineStr">
        <is>
          <t>Xuất sắc (&gt;=40dB)</t>
        </is>
      </c>
    </row>
  </sheetData>
  <mergeCells count="1">
    <mergeCell ref="A1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09" t="inlineStr">
        <is>
          <t>MA TRẬN HỆ CỬA PHÂN BỔ THEO THƯƠNG HIỆU VÀ KÍCH THƯỚC BẢN RỘNG (55, 60, 65...)</t>
        </is>
      </c>
    </row>
    <row r="2" ht="20" customHeight="1"/>
    <row r="4" ht="30" customHeight="1">
      <c r="A4" s="110" t="inlineStr">
        <is>
          <t>Hãng</t>
        </is>
      </c>
      <c r="B4" s="110" t="inlineStr">
        <is>
          <t>Hệ 55</t>
        </is>
      </c>
      <c r="C4" s="110" t="inlineStr">
        <is>
          <t>Hệ 58</t>
        </is>
      </c>
      <c r="D4" s="110" t="inlineStr">
        <is>
          <t>Hệ 60</t>
        </is>
      </c>
      <c r="E4" s="110" t="inlineStr">
        <is>
          <t>Hệ 65</t>
        </is>
      </c>
      <c r="F4" s="110" t="inlineStr">
        <is>
          <t>Hệ 70</t>
        </is>
      </c>
      <c r="G4" s="110" t="inlineStr">
        <is>
          <t>Hệ 75</t>
        </is>
      </c>
      <c r="H4" s="110" t="inlineStr">
        <is>
          <t>Hệ 80</t>
        </is>
      </c>
      <c r="I4" s="110" t="inlineStr">
        <is>
          <t>Hệ 83</t>
        </is>
      </c>
      <c r="J4" s="110" t="inlineStr">
        <is>
          <t>Hệ 93</t>
        </is>
      </c>
      <c r="K4" s="110" t="inlineStr">
        <is>
          <t>Hệ 95</t>
        </is>
      </c>
      <c r="L4" s="110" t="inlineStr">
        <is>
          <t>Hệ 115</t>
        </is>
      </c>
      <c r="M4" s="110" t="inlineStr">
        <is>
          <t>Hệ 120</t>
        </is>
      </c>
      <c r="N4" s="110" t="inlineStr">
        <is>
          <t>Phân Hệ Slim</t>
        </is>
      </c>
      <c r="O4" s="110" t="inlineStr">
        <is>
          <t>Phân Hệ Thermal</t>
        </is>
      </c>
    </row>
    <row r="5" ht="25" customHeight="1">
      <c r="A5" s="111" t="inlineStr">
        <is>
          <t>Civro</t>
        </is>
      </c>
      <c r="B5" s="112">
        <f>IF(COUNTIFS('01_MASTER_DATABASE'!$D$2:$D$500, A5, '01_MASTER_DATABASE'!$C$2:$C$500, "*55*")&gt;0, "✓", "✗")</f>
        <v/>
      </c>
      <c r="C5" s="112">
        <f>IF(COUNTIFS('01_MASTER_DATABASE'!$D$2:$D$500, A5, '01_MASTER_DATABASE'!$C$2:$C$500, "*58*")&gt;0, "✓", "✗")</f>
        <v/>
      </c>
      <c r="D5" s="112">
        <f>IF(COUNTIFS('01_MASTER_DATABASE'!$D$2:$D$500, A5, '01_MASTER_DATABASE'!$C$2:$C$500, "*60*")&gt;0, "✓", "✗")</f>
        <v/>
      </c>
      <c r="E5" s="112">
        <f>IF(COUNTIFS('01_MASTER_DATABASE'!$D$2:$D$500, A5, '01_MASTER_DATABASE'!$C$2:$C$500, "*65*")&gt;0, "✓", "✗")</f>
        <v/>
      </c>
      <c r="F5" s="112">
        <f>IF(COUNTIFS('01_MASTER_DATABASE'!$D$2:$D$500, A5, '01_MASTER_DATABASE'!$C$2:$C$500, "*70*")&gt;0, "✓", "✗")</f>
        <v/>
      </c>
      <c r="G5" s="112">
        <f>IF(COUNTIFS('01_MASTER_DATABASE'!$D$2:$D$500, A5, '01_MASTER_DATABASE'!$C$2:$C$500, "*75*")&gt;0, "✓", "✗")</f>
        <v/>
      </c>
      <c r="H5" s="112">
        <f>IF(COUNTIFS('01_MASTER_DATABASE'!$D$2:$D$500, A5, '01_MASTER_DATABASE'!$C$2:$C$500, "*80*")&gt;0, "✓", "✗")</f>
        <v/>
      </c>
      <c r="I5" s="112">
        <f>IF(COUNTIFS('01_MASTER_DATABASE'!$D$2:$D$500, A5, '01_MASTER_DATABASE'!$C$2:$C$500, "*83*")&gt;0, "✓", "✗")</f>
        <v/>
      </c>
      <c r="J5" s="112">
        <f>IF(COUNTIFS('01_MASTER_DATABASE'!$D$2:$D$500, A5, '01_MASTER_DATABASE'!$C$2:$C$500, "*93*")&gt;0, "✓", "✗")</f>
        <v/>
      </c>
      <c r="K5" s="112">
        <f>IF(COUNTIFS('01_MASTER_DATABASE'!$D$2:$D$500, A5, '01_MASTER_DATABASE'!$C$2:$C$500, "*95*")&gt;0, "✓", "✗")</f>
        <v/>
      </c>
      <c r="L5" s="112">
        <f>IF(COUNTIFS('01_MASTER_DATABASE'!$D$2:$D$500, A5, '01_MASTER_DATABASE'!$C$2:$C$500, "*115*")&gt;0, "✓", "✗")</f>
        <v/>
      </c>
      <c r="M5" s="112">
        <f>IF(COUNTIFS('01_MASTER_DATABASE'!$D$2:$D$500, A5, '01_MASTER_DATABASE'!$C$2:$C$500, "*120*")&gt;0, "✓", "✗")</f>
        <v/>
      </c>
      <c r="N5" s="112">
        <f>IF(COUNTIFS('01_MASTER_DATABASE'!$D$2:$D$500, A5, '01_MASTER_DATABASE'!$B$2:$B$500, "*Slim*")&gt;0, "✓", "✗")</f>
        <v/>
      </c>
      <c r="O5" s="112">
        <f>IF(COUNTIFS('01_MASTER_DATABASE'!$D$2:$D$500, A5, '01_MASTER_DATABASE'!$B$2:$B$500, "*Thermal*") + COUNTIFS('01_MASTER_DATABASE'!$D$2:$D$500, A5, '01_MASTER_DATABASE'!$B$2:$B$500, "*cầu*")&gt;0, "✓", "✗")</f>
        <v/>
      </c>
    </row>
    <row r="6" ht="25" customHeight="1">
      <c r="A6" s="111" t="inlineStr">
        <is>
          <t>Civro/Maxpro/Soco</t>
        </is>
      </c>
      <c r="B6" s="112">
        <f>IF(COUNTIFS('01_MASTER_DATABASE'!$D$2:$D$500, A6, '01_MASTER_DATABASE'!$C$2:$C$500, "*55*")&gt;0, "✓", "✗")</f>
        <v/>
      </c>
      <c r="C6" s="112">
        <f>IF(COUNTIFS('01_MASTER_DATABASE'!$D$2:$D$500, A6, '01_MASTER_DATABASE'!$C$2:$C$500, "*58*")&gt;0, "✓", "✗")</f>
        <v/>
      </c>
      <c r="D6" s="112">
        <f>IF(COUNTIFS('01_MASTER_DATABASE'!$D$2:$D$500, A6, '01_MASTER_DATABASE'!$C$2:$C$500, "*60*")&gt;0, "✓", "✗")</f>
        <v/>
      </c>
      <c r="E6" s="112">
        <f>IF(COUNTIFS('01_MASTER_DATABASE'!$D$2:$D$500, A6, '01_MASTER_DATABASE'!$C$2:$C$500, "*65*")&gt;0, "✓", "✗")</f>
        <v/>
      </c>
      <c r="F6" s="112">
        <f>IF(COUNTIFS('01_MASTER_DATABASE'!$D$2:$D$500, A6, '01_MASTER_DATABASE'!$C$2:$C$500, "*70*")&gt;0, "✓", "✗")</f>
        <v/>
      </c>
      <c r="G6" s="112">
        <f>IF(COUNTIFS('01_MASTER_DATABASE'!$D$2:$D$500, A6, '01_MASTER_DATABASE'!$C$2:$C$500, "*75*")&gt;0, "✓", "✗")</f>
        <v/>
      </c>
      <c r="H6" s="112">
        <f>IF(COUNTIFS('01_MASTER_DATABASE'!$D$2:$D$500, A6, '01_MASTER_DATABASE'!$C$2:$C$500, "*80*")&gt;0, "✓", "✗")</f>
        <v/>
      </c>
      <c r="I6" s="112">
        <f>IF(COUNTIFS('01_MASTER_DATABASE'!$D$2:$D$500, A6, '01_MASTER_DATABASE'!$C$2:$C$500, "*83*")&gt;0, "✓", "✗")</f>
        <v/>
      </c>
      <c r="J6" s="112">
        <f>IF(COUNTIFS('01_MASTER_DATABASE'!$D$2:$D$500, A6, '01_MASTER_DATABASE'!$C$2:$C$500, "*93*")&gt;0, "✓", "✗")</f>
        <v/>
      </c>
      <c r="K6" s="112">
        <f>IF(COUNTIFS('01_MASTER_DATABASE'!$D$2:$D$500, A6, '01_MASTER_DATABASE'!$C$2:$C$500, "*95*")&gt;0, "✓", "✗")</f>
        <v/>
      </c>
      <c r="L6" s="112">
        <f>IF(COUNTIFS('01_MASTER_DATABASE'!$D$2:$D$500, A6, '01_MASTER_DATABASE'!$C$2:$C$500, "*115*")&gt;0, "✓", "✗")</f>
        <v/>
      </c>
      <c r="M6" s="112">
        <f>IF(COUNTIFS('01_MASTER_DATABASE'!$D$2:$D$500, A6, '01_MASTER_DATABASE'!$C$2:$C$500, "*120*")&gt;0, "✓", "✗")</f>
        <v/>
      </c>
      <c r="N6" s="112">
        <f>IF(COUNTIFS('01_MASTER_DATABASE'!$D$2:$D$500, A6, '01_MASTER_DATABASE'!$B$2:$B$500, "*Slim*")&gt;0, "✓", "✗")</f>
        <v/>
      </c>
      <c r="O6" s="112">
        <f>IF(COUNTIFS('01_MASTER_DATABASE'!$D$2:$D$500, A6, '01_MASTER_DATABASE'!$B$2:$B$500, "*Thermal*") + COUNTIFS('01_MASTER_DATABASE'!$D$2:$D$500, A6, '01_MASTER_DATABASE'!$B$2:$B$500, "*cầu*")&gt;0, "✓", "✗")</f>
        <v/>
      </c>
    </row>
    <row r="7" ht="25" customHeight="1">
      <c r="A7" s="111" t="inlineStr">
        <is>
          <t>Civro/Owin/Local</t>
        </is>
      </c>
      <c r="B7" s="112">
        <f>IF(COUNTIFS('01_MASTER_DATABASE'!$D$2:$D$500, A7, '01_MASTER_DATABASE'!$C$2:$C$500, "*55*")&gt;0, "✓", "✗")</f>
        <v/>
      </c>
      <c r="C7" s="112">
        <f>IF(COUNTIFS('01_MASTER_DATABASE'!$D$2:$D$500, A7, '01_MASTER_DATABASE'!$C$2:$C$500, "*58*")&gt;0, "✓", "✗")</f>
        <v/>
      </c>
      <c r="D7" s="112">
        <f>IF(COUNTIFS('01_MASTER_DATABASE'!$D$2:$D$500, A7, '01_MASTER_DATABASE'!$C$2:$C$500, "*60*")&gt;0, "✓", "✗")</f>
        <v/>
      </c>
      <c r="E7" s="112">
        <f>IF(COUNTIFS('01_MASTER_DATABASE'!$D$2:$D$500, A7, '01_MASTER_DATABASE'!$C$2:$C$500, "*65*")&gt;0, "✓", "✗")</f>
        <v/>
      </c>
      <c r="F7" s="112">
        <f>IF(COUNTIFS('01_MASTER_DATABASE'!$D$2:$D$500, A7, '01_MASTER_DATABASE'!$C$2:$C$500, "*70*")&gt;0, "✓", "✗")</f>
        <v/>
      </c>
      <c r="G7" s="112">
        <f>IF(COUNTIFS('01_MASTER_DATABASE'!$D$2:$D$500, A7, '01_MASTER_DATABASE'!$C$2:$C$500, "*75*")&gt;0, "✓", "✗")</f>
        <v/>
      </c>
      <c r="H7" s="112">
        <f>IF(COUNTIFS('01_MASTER_DATABASE'!$D$2:$D$500, A7, '01_MASTER_DATABASE'!$C$2:$C$500, "*80*")&gt;0, "✓", "✗")</f>
        <v/>
      </c>
      <c r="I7" s="112">
        <f>IF(COUNTIFS('01_MASTER_DATABASE'!$D$2:$D$500, A7, '01_MASTER_DATABASE'!$C$2:$C$500, "*83*")&gt;0, "✓", "✗")</f>
        <v/>
      </c>
      <c r="J7" s="112">
        <f>IF(COUNTIFS('01_MASTER_DATABASE'!$D$2:$D$500, A7, '01_MASTER_DATABASE'!$C$2:$C$500, "*93*")&gt;0, "✓", "✗")</f>
        <v/>
      </c>
      <c r="K7" s="112">
        <f>IF(COUNTIFS('01_MASTER_DATABASE'!$D$2:$D$500, A7, '01_MASTER_DATABASE'!$C$2:$C$500, "*95*")&gt;0, "✓", "✗")</f>
        <v/>
      </c>
      <c r="L7" s="112">
        <f>IF(COUNTIFS('01_MASTER_DATABASE'!$D$2:$D$500, A7, '01_MASTER_DATABASE'!$C$2:$C$500, "*115*")&gt;0, "✓", "✗")</f>
        <v/>
      </c>
      <c r="M7" s="112">
        <f>IF(COUNTIFS('01_MASTER_DATABASE'!$D$2:$D$500, A7, '01_MASTER_DATABASE'!$C$2:$C$500, "*120*")&gt;0, "✓", "✗")</f>
        <v/>
      </c>
      <c r="N7" s="112">
        <f>IF(COUNTIFS('01_MASTER_DATABASE'!$D$2:$D$500, A7, '01_MASTER_DATABASE'!$B$2:$B$500, "*Slim*")&gt;0, "✓", "✗")</f>
        <v/>
      </c>
      <c r="O7" s="112">
        <f>IF(COUNTIFS('01_MASTER_DATABASE'!$D$2:$D$500, A7, '01_MASTER_DATABASE'!$B$2:$B$500, "*Thermal*") + COUNTIFS('01_MASTER_DATABASE'!$D$2:$D$500, A7, '01_MASTER_DATABASE'!$B$2:$B$500, "*cầu*")&gt;0, "✓", "✗")</f>
        <v/>
      </c>
    </row>
    <row r="8" ht="25" customHeight="1">
      <c r="A8" s="111" t="inlineStr">
        <is>
          <t>Civro/PAG/Schüco</t>
        </is>
      </c>
      <c r="B8" s="112">
        <f>IF(COUNTIFS('01_MASTER_DATABASE'!$D$2:$D$500, A8, '01_MASTER_DATABASE'!$C$2:$C$500, "*55*")&gt;0, "✓", "✗")</f>
        <v/>
      </c>
      <c r="C8" s="112">
        <f>IF(COUNTIFS('01_MASTER_DATABASE'!$D$2:$D$500, A8, '01_MASTER_DATABASE'!$C$2:$C$500, "*58*")&gt;0, "✓", "✗")</f>
        <v/>
      </c>
      <c r="D8" s="112">
        <f>IF(COUNTIFS('01_MASTER_DATABASE'!$D$2:$D$500, A8, '01_MASTER_DATABASE'!$C$2:$C$500, "*60*")&gt;0, "✓", "✗")</f>
        <v/>
      </c>
      <c r="E8" s="112">
        <f>IF(COUNTIFS('01_MASTER_DATABASE'!$D$2:$D$500, A8, '01_MASTER_DATABASE'!$C$2:$C$500, "*65*")&gt;0, "✓", "✗")</f>
        <v/>
      </c>
      <c r="F8" s="112">
        <f>IF(COUNTIFS('01_MASTER_DATABASE'!$D$2:$D$500, A8, '01_MASTER_DATABASE'!$C$2:$C$500, "*70*")&gt;0, "✓", "✗")</f>
        <v/>
      </c>
      <c r="G8" s="112">
        <f>IF(COUNTIFS('01_MASTER_DATABASE'!$D$2:$D$500, A8, '01_MASTER_DATABASE'!$C$2:$C$500, "*75*")&gt;0, "✓", "✗")</f>
        <v/>
      </c>
      <c r="H8" s="112">
        <f>IF(COUNTIFS('01_MASTER_DATABASE'!$D$2:$D$500, A8, '01_MASTER_DATABASE'!$C$2:$C$500, "*80*")&gt;0, "✓", "✗")</f>
        <v/>
      </c>
      <c r="I8" s="112">
        <f>IF(COUNTIFS('01_MASTER_DATABASE'!$D$2:$D$500, A8, '01_MASTER_DATABASE'!$C$2:$C$500, "*83*")&gt;0, "✓", "✗")</f>
        <v/>
      </c>
      <c r="J8" s="112">
        <f>IF(COUNTIFS('01_MASTER_DATABASE'!$D$2:$D$500, A8, '01_MASTER_DATABASE'!$C$2:$C$500, "*93*")&gt;0, "✓", "✗")</f>
        <v/>
      </c>
      <c r="K8" s="112">
        <f>IF(COUNTIFS('01_MASTER_DATABASE'!$D$2:$D$500, A8, '01_MASTER_DATABASE'!$C$2:$C$500, "*95*")&gt;0, "✓", "✗")</f>
        <v/>
      </c>
      <c r="L8" s="112">
        <f>IF(COUNTIFS('01_MASTER_DATABASE'!$D$2:$D$500, A8, '01_MASTER_DATABASE'!$C$2:$C$500, "*115*")&gt;0, "✓", "✗")</f>
        <v/>
      </c>
      <c r="M8" s="112">
        <f>IF(COUNTIFS('01_MASTER_DATABASE'!$D$2:$D$500, A8, '01_MASTER_DATABASE'!$C$2:$C$500, "*120*")&gt;0, "✓", "✗")</f>
        <v/>
      </c>
      <c r="N8" s="112">
        <f>IF(COUNTIFS('01_MASTER_DATABASE'!$D$2:$D$500, A8, '01_MASTER_DATABASE'!$B$2:$B$500, "*Slim*")&gt;0, "✓", "✗")</f>
        <v/>
      </c>
      <c r="O8" s="112">
        <f>IF(COUNTIFS('01_MASTER_DATABASE'!$D$2:$D$500, A8, '01_MASTER_DATABASE'!$B$2:$B$500, "*Thermal*") + COUNTIFS('01_MASTER_DATABASE'!$D$2:$D$500, A8, '01_MASTER_DATABASE'!$B$2:$B$500, "*cầu*")&gt;0, "✓", "✗")</f>
        <v/>
      </c>
    </row>
    <row r="9" ht="25" customHeight="1">
      <c r="A9" s="111" t="inlineStr">
        <is>
          <t>Các hãng</t>
        </is>
      </c>
      <c r="B9" s="112">
        <f>IF(COUNTIFS('01_MASTER_DATABASE'!$D$2:$D$500, A9, '01_MASTER_DATABASE'!$C$2:$C$500, "*55*")&gt;0, "✓", "✗")</f>
        <v/>
      </c>
      <c r="C9" s="112">
        <f>IF(COUNTIFS('01_MASTER_DATABASE'!$D$2:$D$500, A9, '01_MASTER_DATABASE'!$C$2:$C$500, "*58*")&gt;0, "✓", "✗")</f>
        <v/>
      </c>
      <c r="D9" s="112">
        <f>IF(COUNTIFS('01_MASTER_DATABASE'!$D$2:$D$500, A9, '01_MASTER_DATABASE'!$C$2:$C$500, "*60*")&gt;0, "✓", "✗")</f>
        <v/>
      </c>
      <c r="E9" s="112">
        <f>IF(COUNTIFS('01_MASTER_DATABASE'!$D$2:$D$500, A9, '01_MASTER_DATABASE'!$C$2:$C$500, "*65*")&gt;0, "✓", "✗")</f>
        <v/>
      </c>
      <c r="F9" s="112">
        <f>IF(COUNTIFS('01_MASTER_DATABASE'!$D$2:$D$500, A9, '01_MASTER_DATABASE'!$C$2:$C$500, "*70*")&gt;0, "✓", "✗")</f>
        <v/>
      </c>
      <c r="G9" s="112">
        <f>IF(COUNTIFS('01_MASTER_DATABASE'!$D$2:$D$500, A9, '01_MASTER_DATABASE'!$C$2:$C$500, "*75*")&gt;0, "✓", "✗")</f>
        <v/>
      </c>
      <c r="H9" s="112">
        <f>IF(COUNTIFS('01_MASTER_DATABASE'!$D$2:$D$500, A9, '01_MASTER_DATABASE'!$C$2:$C$500, "*80*")&gt;0, "✓", "✗")</f>
        <v/>
      </c>
      <c r="I9" s="112">
        <f>IF(COUNTIFS('01_MASTER_DATABASE'!$D$2:$D$500, A9, '01_MASTER_DATABASE'!$C$2:$C$500, "*83*")&gt;0, "✓", "✗")</f>
        <v/>
      </c>
      <c r="J9" s="112">
        <f>IF(COUNTIFS('01_MASTER_DATABASE'!$D$2:$D$500, A9, '01_MASTER_DATABASE'!$C$2:$C$500, "*93*")&gt;0, "✓", "✗")</f>
        <v/>
      </c>
      <c r="K9" s="112">
        <f>IF(COUNTIFS('01_MASTER_DATABASE'!$D$2:$D$500, A9, '01_MASTER_DATABASE'!$C$2:$C$500, "*95*")&gt;0, "✓", "✗")</f>
        <v/>
      </c>
      <c r="L9" s="112">
        <f>IF(COUNTIFS('01_MASTER_DATABASE'!$D$2:$D$500, A9, '01_MASTER_DATABASE'!$C$2:$C$500, "*115*")&gt;0, "✓", "✗")</f>
        <v/>
      </c>
      <c r="M9" s="112">
        <f>IF(COUNTIFS('01_MASTER_DATABASE'!$D$2:$D$500, A9, '01_MASTER_DATABASE'!$C$2:$C$500, "*120*")&gt;0, "✓", "✗")</f>
        <v/>
      </c>
      <c r="N9" s="112">
        <f>IF(COUNTIFS('01_MASTER_DATABASE'!$D$2:$D$500, A9, '01_MASTER_DATABASE'!$B$2:$B$500, "*Slim*")&gt;0, "✓", "✗")</f>
        <v/>
      </c>
      <c r="O9" s="112">
        <f>IF(COUNTIFS('01_MASTER_DATABASE'!$D$2:$D$500, A9, '01_MASTER_DATABASE'!$B$2:$B$500, "*Thermal*") + COUNTIFS('01_MASTER_DATABASE'!$D$2:$D$500, A9, '01_MASTER_DATABASE'!$B$2:$B$500, "*cầu*")&gt;0, "✓", "✗")</f>
        <v/>
      </c>
    </row>
    <row r="10" ht="25" customHeight="1">
      <c r="A10" s="111" t="inlineStr">
        <is>
          <t>Dorma/Besam/Local</t>
        </is>
      </c>
      <c r="B10" s="112">
        <f>IF(COUNTIFS('01_MASTER_DATABASE'!$D$2:$D$500, A10, '01_MASTER_DATABASE'!$C$2:$C$500, "*55*")&gt;0, "✓", "✗")</f>
        <v/>
      </c>
      <c r="C10" s="112">
        <f>IF(COUNTIFS('01_MASTER_DATABASE'!$D$2:$D$500, A10, '01_MASTER_DATABASE'!$C$2:$C$500, "*58*")&gt;0, "✓", "✗")</f>
        <v/>
      </c>
      <c r="D10" s="112">
        <f>IF(COUNTIFS('01_MASTER_DATABASE'!$D$2:$D$500, A10, '01_MASTER_DATABASE'!$C$2:$C$500, "*60*")&gt;0, "✓", "✗")</f>
        <v/>
      </c>
      <c r="E10" s="112">
        <f>IF(COUNTIFS('01_MASTER_DATABASE'!$D$2:$D$500, A10, '01_MASTER_DATABASE'!$C$2:$C$500, "*65*")&gt;0, "✓", "✗")</f>
        <v/>
      </c>
      <c r="F10" s="112">
        <f>IF(COUNTIFS('01_MASTER_DATABASE'!$D$2:$D$500, A10, '01_MASTER_DATABASE'!$C$2:$C$500, "*70*")&gt;0, "✓", "✗")</f>
        <v/>
      </c>
      <c r="G10" s="112">
        <f>IF(COUNTIFS('01_MASTER_DATABASE'!$D$2:$D$500, A10, '01_MASTER_DATABASE'!$C$2:$C$500, "*75*")&gt;0, "✓", "✗")</f>
        <v/>
      </c>
      <c r="H10" s="112">
        <f>IF(COUNTIFS('01_MASTER_DATABASE'!$D$2:$D$500, A10, '01_MASTER_DATABASE'!$C$2:$C$500, "*80*")&gt;0, "✓", "✗")</f>
        <v/>
      </c>
      <c r="I10" s="112">
        <f>IF(COUNTIFS('01_MASTER_DATABASE'!$D$2:$D$500, A10, '01_MASTER_DATABASE'!$C$2:$C$500, "*83*")&gt;0, "✓", "✗")</f>
        <v/>
      </c>
      <c r="J10" s="112">
        <f>IF(COUNTIFS('01_MASTER_DATABASE'!$D$2:$D$500, A10, '01_MASTER_DATABASE'!$C$2:$C$500, "*93*")&gt;0, "✓", "✗")</f>
        <v/>
      </c>
      <c r="K10" s="112">
        <f>IF(COUNTIFS('01_MASTER_DATABASE'!$D$2:$D$500, A10, '01_MASTER_DATABASE'!$C$2:$C$500, "*95*")&gt;0, "✓", "✗")</f>
        <v/>
      </c>
      <c r="L10" s="112">
        <f>IF(COUNTIFS('01_MASTER_DATABASE'!$D$2:$D$500, A10, '01_MASTER_DATABASE'!$C$2:$C$500, "*115*")&gt;0, "✓", "✗")</f>
        <v/>
      </c>
      <c r="M10" s="112">
        <f>IF(COUNTIFS('01_MASTER_DATABASE'!$D$2:$D$500, A10, '01_MASTER_DATABASE'!$C$2:$C$500, "*120*")&gt;0, "✓", "✗")</f>
        <v/>
      </c>
      <c r="N10" s="112">
        <f>IF(COUNTIFS('01_MASTER_DATABASE'!$D$2:$D$500, A10, '01_MASTER_DATABASE'!$B$2:$B$500, "*Slim*")&gt;0, "✓", "✗")</f>
        <v/>
      </c>
      <c r="O10" s="112">
        <f>IF(COUNTIFS('01_MASTER_DATABASE'!$D$2:$D$500, A10, '01_MASTER_DATABASE'!$B$2:$B$500, "*Thermal*") + COUNTIFS('01_MASTER_DATABASE'!$D$2:$D$500, A10, '01_MASTER_DATABASE'!$B$2:$B$500, "*cầu*")&gt;0, "✓", "✗")</f>
        <v/>
      </c>
    </row>
    <row r="11" ht="25" customHeight="1">
      <c r="A11" s="111" t="inlineStr">
        <is>
          <t>EuroVN</t>
        </is>
      </c>
      <c r="B11" s="112">
        <f>IF(COUNTIFS('01_MASTER_DATABASE'!$D$2:$D$500, A11, '01_MASTER_DATABASE'!$C$2:$C$500, "*55*")&gt;0, "✓", "✗")</f>
        <v/>
      </c>
      <c r="C11" s="112">
        <f>IF(COUNTIFS('01_MASTER_DATABASE'!$D$2:$D$500, A11, '01_MASTER_DATABASE'!$C$2:$C$500, "*58*")&gt;0, "✓", "✗")</f>
        <v/>
      </c>
      <c r="D11" s="112">
        <f>IF(COUNTIFS('01_MASTER_DATABASE'!$D$2:$D$500, A11, '01_MASTER_DATABASE'!$C$2:$C$500, "*60*")&gt;0, "✓", "✗")</f>
        <v/>
      </c>
      <c r="E11" s="112">
        <f>IF(COUNTIFS('01_MASTER_DATABASE'!$D$2:$D$500, A11, '01_MASTER_DATABASE'!$C$2:$C$500, "*65*")&gt;0, "✓", "✗")</f>
        <v/>
      </c>
      <c r="F11" s="112">
        <f>IF(COUNTIFS('01_MASTER_DATABASE'!$D$2:$D$500, A11, '01_MASTER_DATABASE'!$C$2:$C$500, "*70*")&gt;0, "✓", "✗")</f>
        <v/>
      </c>
      <c r="G11" s="112">
        <f>IF(COUNTIFS('01_MASTER_DATABASE'!$D$2:$D$500, A11, '01_MASTER_DATABASE'!$C$2:$C$500, "*75*")&gt;0, "✓", "✗")</f>
        <v/>
      </c>
      <c r="H11" s="112">
        <f>IF(COUNTIFS('01_MASTER_DATABASE'!$D$2:$D$500, A11, '01_MASTER_DATABASE'!$C$2:$C$500, "*80*")&gt;0, "✓", "✗")</f>
        <v/>
      </c>
      <c r="I11" s="112">
        <f>IF(COUNTIFS('01_MASTER_DATABASE'!$D$2:$D$500, A11, '01_MASTER_DATABASE'!$C$2:$C$500, "*83*")&gt;0, "✓", "✗")</f>
        <v/>
      </c>
      <c r="J11" s="112">
        <f>IF(COUNTIFS('01_MASTER_DATABASE'!$D$2:$D$500, A11, '01_MASTER_DATABASE'!$C$2:$C$500, "*93*")&gt;0, "✓", "✗")</f>
        <v/>
      </c>
      <c r="K11" s="112">
        <f>IF(COUNTIFS('01_MASTER_DATABASE'!$D$2:$D$500, A11, '01_MASTER_DATABASE'!$C$2:$C$500, "*95*")&gt;0, "✓", "✗")</f>
        <v/>
      </c>
      <c r="L11" s="112">
        <f>IF(COUNTIFS('01_MASTER_DATABASE'!$D$2:$D$500, A11, '01_MASTER_DATABASE'!$C$2:$C$500, "*115*")&gt;0, "✓", "✗")</f>
        <v/>
      </c>
      <c r="M11" s="112">
        <f>IF(COUNTIFS('01_MASTER_DATABASE'!$D$2:$D$500, A11, '01_MASTER_DATABASE'!$C$2:$C$500, "*120*")&gt;0, "✓", "✗")</f>
        <v/>
      </c>
      <c r="N11" s="112">
        <f>IF(COUNTIFS('01_MASTER_DATABASE'!$D$2:$D$500, A11, '01_MASTER_DATABASE'!$B$2:$B$500, "*Slim*")&gt;0, "✓", "✗")</f>
        <v/>
      </c>
      <c r="O11" s="112">
        <f>IF(COUNTIFS('01_MASTER_DATABASE'!$D$2:$D$500, A11, '01_MASTER_DATABASE'!$B$2:$B$500, "*Thermal*") + COUNTIFS('01_MASTER_DATABASE'!$D$2:$D$500, A11, '01_MASTER_DATABASE'!$B$2:$B$500, "*cầu*")&gt;0, "✓", "✗")</f>
        <v/>
      </c>
    </row>
    <row r="12" ht="25" customHeight="1">
      <c r="A12" s="111" t="inlineStr">
        <is>
          <t>Eurowindow</t>
        </is>
      </c>
      <c r="B12" s="112">
        <f>IF(COUNTIFS('01_MASTER_DATABASE'!$D$2:$D$500, A12, '01_MASTER_DATABASE'!$C$2:$C$500, "*55*")&gt;0, "✓", "✗")</f>
        <v/>
      </c>
      <c r="C12" s="112">
        <f>IF(COUNTIFS('01_MASTER_DATABASE'!$D$2:$D$500, A12, '01_MASTER_DATABASE'!$C$2:$C$500, "*58*")&gt;0, "✓", "✗")</f>
        <v/>
      </c>
      <c r="D12" s="112">
        <f>IF(COUNTIFS('01_MASTER_DATABASE'!$D$2:$D$500, A12, '01_MASTER_DATABASE'!$C$2:$C$500, "*60*")&gt;0, "✓", "✗")</f>
        <v/>
      </c>
      <c r="E12" s="112">
        <f>IF(COUNTIFS('01_MASTER_DATABASE'!$D$2:$D$500, A12, '01_MASTER_DATABASE'!$C$2:$C$500, "*65*")&gt;0, "✓", "✗")</f>
        <v/>
      </c>
      <c r="F12" s="112">
        <f>IF(COUNTIFS('01_MASTER_DATABASE'!$D$2:$D$500, A12, '01_MASTER_DATABASE'!$C$2:$C$500, "*70*")&gt;0, "✓", "✗")</f>
        <v/>
      </c>
      <c r="G12" s="112">
        <f>IF(COUNTIFS('01_MASTER_DATABASE'!$D$2:$D$500, A12, '01_MASTER_DATABASE'!$C$2:$C$500, "*75*")&gt;0, "✓", "✗")</f>
        <v/>
      </c>
      <c r="H12" s="112">
        <f>IF(COUNTIFS('01_MASTER_DATABASE'!$D$2:$D$500, A12, '01_MASTER_DATABASE'!$C$2:$C$500, "*80*")&gt;0, "✓", "✗")</f>
        <v/>
      </c>
      <c r="I12" s="112">
        <f>IF(COUNTIFS('01_MASTER_DATABASE'!$D$2:$D$500, A12, '01_MASTER_DATABASE'!$C$2:$C$500, "*83*")&gt;0, "✓", "✗")</f>
        <v/>
      </c>
      <c r="J12" s="112">
        <f>IF(COUNTIFS('01_MASTER_DATABASE'!$D$2:$D$500, A12, '01_MASTER_DATABASE'!$C$2:$C$500, "*93*")&gt;0, "✓", "✗")</f>
        <v/>
      </c>
      <c r="K12" s="112">
        <f>IF(COUNTIFS('01_MASTER_DATABASE'!$D$2:$D$500, A12, '01_MASTER_DATABASE'!$C$2:$C$500, "*95*")&gt;0, "✓", "✗")</f>
        <v/>
      </c>
      <c r="L12" s="112">
        <f>IF(COUNTIFS('01_MASTER_DATABASE'!$D$2:$D$500, A12, '01_MASTER_DATABASE'!$C$2:$C$500, "*115*")&gt;0, "✓", "✗")</f>
        <v/>
      </c>
      <c r="M12" s="112">
        <f>IF(COUNTIFS('01_MASTER_DATABASE'!$D$2:$D$500, A12, '01_MASTER_DATABASE'!$C$2:$C$500, "*120*")&gt;0, "✓", "✗")</f>
        <v/>
      </c>
      <c r="N12" s="112">
        <f>IF(COUNTIFS('01_MASTER_DATABASE'!$D$2:$D$500, A12, '01_MASTER_DATABASE'!$B$2:$B$500, "*Slim*")&gt;0, "✓", "✗")</f>
        <v/>
      </c>
      <c r="O12" s="112">
        <f>IF(COUNTIFS('01_MASTER_DATABASE'!$D$2:$D$500, A12, '01_MASTER_DATABASE'!$B$2:$B$500, "*Thermal*") + COUNTIFS('01_MASTER_DATABASE'!$D$2:$D$500, A12, '01_MASTER_DATABASE'!$B$2:$B$500, "*cầu*")&gt;0, "✓", "✗")</f>
        <v/>
      </c>
    </row>
    <row r="13" ht="25" customHeight="1">
      <c r="A13" s="111" t="inlineStr">
        <is>
          <t>Hondalex</t>
        </is>
      </c>
      <c r="B13" s="112">
        <f>IF(COUNTIFS('01_MASTER_DATABASE'!$D$2:$D$500, A13, '01_MASTER_DATABASE'!$C$2:$C$500, "*55*")&gt;0, "✓", "✗")</f>
        <v/>
      </c>
      <c r="C13" s="112">
        <f>IF(COUNTIFS('01_MASTER_DATABASE'!$D$2:$D$500, A13, '01_MASTER_DATABASE'!$C$2:$C$500, "*58*")&gt;0, "✓", "✗")</f>
        <v/>
      </c>
      <c r="D13" s="112">
        <f>IF(COUNTIFS('01_MASTER_DATABASE'!$D$2:$D$500, A13, '01_MASTER_DATABASE'!$C$2:$C$500, "*60*")&gt;0, "✓", "✗")</f>
        <v/>
      </c>
      <c r="E13" s="112">
        <f>IF(COUNTIFS('01_MASTER_DATABASE'!$D$2:$D$500, A13, '01_MASTER_DATABASE'!$C$2:$C$500, "*65*")&gt;0, "✓", "✗")</f>
        <v/>
      </c>
      <c r="F13" s="112">
        <f>IF(COUNTIFS('01_MASTER_DATABASE'!$D$2:$D$500, A13, '01_MASTER_DATABASE'!$C$2:$C$500, "*70*")&gt;0, "✓", "✗")</f>
        <v/>
      </c>
      <c r="G13" s="112">
        <f>IF(COUNTIFS('01_MASTER_DATABASE'!$D$2:$D$500, A13, '01_MASTER_DATABASE'!$C$2:$C$500, "*75*")&gt;0, "✓", "✗")</f>
        <v/>
      </c>
      <c r="H13" s="112">
        <f>IF(COUNTIFS('01_MASTER_DATABASE'!$D$2:$D$500, A13, '01_MASTER_DATABASE'!$C$2:$C$500, "*80*")&gt;0, "✓", "✗")</f>
        <v/>
      </c>
      <c r="I13" s="112">
        <f>IF(COUNTIFS('01_MASTER_DATABASE'!$D$2:$D$500, A13, '01_MASTER_DATABASE'!$C$2:$C$500, "*83*")&gt;0, "✓", "✗")</f>
        <v/>
      </c>
      <c r="J13" s="112">
        <f>IF(COUNTIFS('01_MASTER_DATABASE'!$D$2:$D$500, A13, '01_MASTER_DATABASE'!$C$2:$C$500, "*93*")&gt;0, "✓", "✗")</f>
        <v/>
      </c>
      <c r="K13" s="112">
        <f>IF(COUNTIFS('01_MASTER_DATABASE'!$D$2:$D$500, A13, '01_MASTER_DATABASE'!$C$2:$C$500, "*95*")&gt;0, "✓", "✗")</f>
        <v/>
      </c>
      <c r="L13" s="112">
        <f>IF(COUNTIFS('01_MASTER_DATABASE'!$D$2:$D$500, A13, '01_MASTER_DATABASE'!$C$2:$C$500, "*115*")&gt;0, "✓", "✗")</f>
        <v/>
      </c>
      <c r="M13" s="112">
        <f>IF(COUNTIFS('01_MASTER_DATABASE'!$D$2:$D$500, A13, '01_MASTER_DATABASE'!$C$2:$C$500, "*120*")&gt;0, "✓", "✗")</f>
        <v/>
      </c>
      <c r="N13" s="112">
        <f>IF(COUNTIFS('01_MASTER_DATABASE'!$D$2:$D$500, A13, '01_MASTER_DATABASE'!$B$2:$B$500, "*Slim*")&gt;0, "✓", "✗")</f>
        <v/>
      </c>
      <c r="O13" s="112">
        <f>IF(COUNTIFS('01_MASTER_DATABASE'!$D$2:$D$500, A13, '01_MASTER_DATABASE'!$B$2:$B$500, "*Thermal*") + COUNTIFS('01_MASTER_DATABASE'!$D$2:$D$500, A13, '01_MASTER_DATABASE'!$B$2:$B$500, "*cầu*")&gt;0, "✓", "✗")</f>
        <v/>
      </c>
    </row>
    <row r="14" ht="25" customHeight="1">
      <c r="A14" s="111" t="inlineStr">
        <is>
          <t>Hệ PCCC</t>
        </is>
      </c>
      <c r="B14" s="112">
        <f>IF(COUNTIFS('01_MASTER_DATABASE'!$D$2:$D$500, A14, '01_MASTER_DATABASE'!$C$2:$C$500, "*55*")&gt;0, "✓", "✗")</f>
        <v/>
      </c>
      <c r="C14" s="112">
        <f>IF(COUNTIFS('01_MASTER_DATABASE'!$D$2:$D$500, A14, '01_MASTER_DATABASE'!$C$2:$C$500, "*58*")&gt;0, "✓", "✗")</f>
        <v/>
      </c>
      <c r="D14" s="112">
        <f>IF(COUNTIFS('01_MASTER_DATABASE'!$D$2:$D$500, A14, '01_MASTER_DATABASE'!$C$2:$C$500, "*60*")&gt;0, "✓", "✗")</f>
        <v/>
      </c>
      <c r="E14" s="112">
        <f>IF(COUNTIFS('01_MASTER_DATABASE'!$D$2:$D$500, A14, '01_MASTER_DATABASE'!$C$2:$C$500, "*65*")&gt;0, "✓", "✗")</f>
        <v/>
      </c>
      <c r="F14" s="112">
        <f>IF(COUNTIFS('01_MASTER_DATABASE'!$D$2:$D$500, A14, '01_MASTER_DATABASE'!$C$2:$C$500, "*70*")&gt;0, "✓", "✗")</f>
        <v/>
      </c>
      <c r="G14" s="112">
        <f>IF(COUNTIFS('01_MASTER_DATABASE'!$D$2:$D$500, A14, '01_MASTER_DATABASE'!$C$2:$C$500, "*75*")&gt;0, "✓", "✗")</f>
        <v/>
      </c>
      <c r="H14" s="112">
        <f>IF(COUNTIFS('01_MASTER_DATABASE'!$D$2:$D$500, A14, '01_MASTER_DATABASE'!$C$2:$C$500, "*80*")&gt;0, "✓", "✗")</f>
        <v/>
      </c>
      <c r="I14" s="112">
        <f>IF(COUNTIFS('01_MASTER_DATABASE'!$D$2:$D$500, A14, '01_MASTER_DATABASE'!$C$2:$C$500, "*83*")&gt;0, "✓", "✗")</f>
        <v/>
      </c>
      <c r="J14" s="112">
        <f>IF(COUNTIFS('01_MASTER_DATABASE'!$D$2:$D$500, A14, '01_MASTER_DATABASE'!$C$2:$C$500, "*93*")&gt;0, "✓", "✗")</f>
        <v/>
      </c>
      <c r="K14" s="112">
        <f>IF(COUNTIFS('01_MASTER_DATABASE'!$D$2:$D$500, A14, '01_MASTER_DATABASE'!$C$2:$C$500, "*95*")&gt;0, "✓", "✗")</f>
        <v/>
      </c>
      <c r="L14" s="112">
        <f>IF(COUNTIFS('01_MASTER_DATABASE'!$D$2:$D$500, A14, '01_MASTER_DATABASE'!$C$2:$C$500, "*115*")&gt;0, "✓", "✗")</f>
        <v/>
      </c>
      <c r="M14" s="112">
        <f>IF(COUNTIFS('01_MASTER_DATABASE'!$D$2:$D$500, A14, '01_MASTER_DATABASE'!$C$2:$C$500, "*120*")&gt;0, "✓", "✗")</f>
        <v/>
      </c>
      <c r="N14" s="112">
        <f>IF(COUNTIFS('01_MASTER_DATABASE'!$D$2:$D$500, A14, '01_MASTER_DATABASE'!$B$2:$B$500, "*Slim*")&gt;0, "✓", "✗")</f>
        <v/>
      </c>
      <c r="O14" s="112">
        <f>IF(COUNTIFS('01_MASTER_DATABASE'!$D$2:$D$500, A14, '01_MASTER_DATABASE'!$B$2:$B$500, "*Thermal*") + COUNTIFS('01_MASTER_DATABASE'!$D$2:$D$500, A14, '01_MASTER_DATABASE'!$B$2:$B$500, "*cầu*")&gt;0, "✓", "✗")</f>
        <v/>
      </c>
    </row>
    <row r="15" ht="25" customHeight="1">
      <c r="A15" s="111" t="inlineStr">
        <is>
          <t>Hệ Smart</t>
        </is>
      </c>
      <c r="B15" s="112">
        <f>IF(COUNTIFS('01_MASTER_DATABASE'!$D$2:$D$500, A15, '01_MASTER_DATABASE'!$C$2:$C$500, "*55*")&gt;0, "✓", "✗")</f>
        <v/>
      </c>
      <c r="C15" s="112">
        <f>IF(COUNTIFS('01_MASTER_DATABASE'!$D$2:$D$500, A15, '01_MASTER_DATABASE'!$C$2:$C$500, "*58*")&gt;0, "✓", "✗")</f>
        <v/>
      </c>
      <c r="D15" s="112">
        <f>IF(COUNTIFS('01_MASTER_DATABASE'!$D$2:$D$500, A15, '01_MASTER_DATABASE'!$C$2:$C$500, "*60*")&gt;0, "✓", "✗")</f>
        <v/>
      </c>
      <c r="E15" s="112">
        <f>IF(COUNTIFS('01_MASTER_DATABASE'!$D$2:$D$500, A15, '01_MASTER_DATABASE'!$C$2:$C$500, "*65*")&gt;0, "✓", "✗")</f>
        <v/>
      </c>
      <c r="F15" s="112">
        <f>IF(COUNTIFS('01_MASTER_DATABASE'!$D$2:$D$500, A15, '01_MASTER_DATABASE'!$C$2:$C$500, "*70*")&gt;0, "✓", "✗")</f>
        <v/>
      </c>
      <c r="G15" s="112">
        <f>IF(COUNTIFS('01_MASTER_DATABASE'!$D$2:$D$500, A15, '01_MASTER_DATABASE'!$C$2:$C$500, "*75*")&gt;0, "✓", "✗")</f>
        <v/>
      </c>
      <c r="H15" s="112">
        <f>IF(COUNTIFS('01_MASTER_DATABASE'!$D$2:$D$500, A15, '01_MASTER_DATABASE'!$C$2:$C$500, "*80*")&gt;0, "✓", "✗")</f>
        <v/>
      </c>
      <c r="I15" s="112">
        <f>IF(COUNTIFS('01_MASTER_DATABASE'!$D$2:$D$500, A15, '01_MASTER_DATABASE'!$C$2:$C$500, "*83*")&gt;0, "✓", "✗")</f>
        <v/>
      </c>
      <c r="J15" s="112">
        <f>IF(COUNTIFS('01_MASTER_DATABASE'!$D$2:$D$500, A15, '01_MASTER_DATABASE'!$C$2:$C$500, "*93*")&gt;0, "✓", "✗")</f>
        <v/>
      </c>
      <c r="K15" s="112">
        <f>IF(COUNTIFS('01_MASTER_DATABASE'!$D$2:$D$500, A15, '01_MASTER_DATABASE'!$C$2:$C$500, "*95*")&gt;0, "✓", "✗")</f>
        <v/>
      </c>
      <c r="L15" s="112">
        <f>IF(COUNTIFS('01_MASTER_DATABASE'!$D$2:$D$500, A15, '01_MASTER_DATABASE'!$C$2:$C$500, "*115*")&gt;0, "✓", "✗")</f>
        <v/>
      </c>
      <c r="M15" s="112">
        <f>IF(COUNTIFS('01_MASTER_DATABASE'!$D$2:$D$500, A15, '01_MASTER_DATABASE'!$C$2:$C$500, "*120*")&gt;0, "✓", "✗")</f>
        <v/>
      </c>
      <c r="N15" s="112">
        <f>IF(COUNTIFS('01_MASTER_DATABASE'!$D$2:$D$500, A15, '01_MASTER_DATABASE'!$B$2:$B$500, "*Slim*")&gt;0, "✓", "✗")</f>
        <v/>
      </c>
      <c r="O15" s="112">
        <f>IF(COUNTIFS('01_MASTER_DATABASE'!$D$2:$D$500, A15, '01_MASTER_DATABASE'!$B$2:$B$500, "*Thermal*") + COUNTIFS('01_MASTER_DATABASE'!$D$2:$D$500, A15, '01_MASTER_DATABASE'!$B$2:$B$500, "*cầu*")&gt;0, "✓", "✗")</f>
        <v/>
      </c>
    </row>
    <row r="16" ht="25" customHeight="1">
      <c r="A16" s="111" t="inlineStr">
        <is>
          <t>Hệ chuyên dụng</t>
        </is>
      </c>
      <c r="B16" s="112">
        <f>IF(COUNTIFS('01_MASTER_DATABASE'!$D$2:$D$500, A16, '01_MASTER_DATABASE'!$C$2:$C$500, "*55*")&gt;0, "✓", "✗")</f>
        <v/>
      </c>
      <c r="C16" s="112">
        <f>IF(COUNTIFS('01_MASTER_DATABASE'!$D$2:$D$500, A16, '01_MASTER_DATABASE'!$C$2:$C$500, "*58*")&gt;0, "✓", "✗")</f>
        <v/>
      </c>
      <c r="D16" s="112">
        <f>IF(COUNTIFS('01_MASTER_DATABASE'!$D$2:$D$500, A16, '01_MASTER_DATABASE'!$C$2:$C$500, "*60*")&gt;0, "✓", "✗")</f>
        <v/>
      </c>
      <c r="E16" s="112">
        <f>IF(COUNTIFS('01_MASTER_DATABASE'!$D$2:$D$500, A16, '01_MASTER_DATABASE'!$C$2:$C$500, "*65*")&gt;0, "✓", "✗")</f>
        <v/>
      </c>
      <c r="F16" s="112">
        <f>IF(COUNTIFS('01_MASTER_DATABASE'!$D$2:$D$500, A16, '01_MASTER_DATABASE'!$C$2:$C$500, "*70*")&gt;0, "✓", "✗")</f>
        <v/>
      </c>
      <c r="G16" s="112">
        <f>IF(COUNTIFS('01_MASTER_DATABASE'!$D$2:$D$500, A16, '01_MASTER_DATABASE'!$C$2:$C$500, "*75*")&gt;0, "✓", "✗")</f>
        <v/>
      </c>
      <c r="H16" s="112">
        <f>IF(COUNTIFS('01_MASTER_DATABASE'!$D$2:$D$500, A16, '01_MASTER_DATABASE'!$C$2:$C$500, "*80*")&gt;0, "✓", "✗")</f>
        <v/>
      </c>
      <c r="I16" s="112">
        <f>IF(COUNTIFS('01_MASTER_DATABASE'!$D$2:$D$500, A16, '01_MASTER_DATABASE'!$C$2:$C$500, "*83*")&gt;0, "✓", "✗")</f>
        <v/>
      </c>
      <c r="J16" s="112">
        <f>IF(COUNTIFS('01_MASTER_DATABASE'!$D$2:$D$500, A16, '01_MASTER_DATABASE'!$C$2:$C$500, "*93*")&gt;0, "✓", "✗")</f>
        <v/>
      </c>
      <c r="K16" s="112">
        <f>IF(COUNTIFS('01_MASTER_DATABASE'!$D$2:$D$500, A16, '01_MASTER_DATABASE'!$C$2:$C$500, "*95*")&gt;0, "✓", "✗")</f>
        <v/>
      </c>
      <c r="L16" s="112">
        <f>IF(COUNTIFS('01_MASTER_DATABASE'!$D$2:$D$500, A16, '01_MASTER_DATABASE'!$C$2:$C$500, "*115*")&gt;0, "✓", "✗")</f>
        <v/>
      </c>
      <c r="M16" s="112">
        <f>IF(COUNTIFS('01_MASTER_DATABASE'!$D$2:$D$500, A16, '01_MASTER_DATABASE'!$C$2:$C$500, "*120*")&gt;0, "✓", "✗")</f>
        <v/>
      </c>
      <c r="N16" s="112">
        <f>IF(COUNTIFS('01_MASTER_DATABASE'!$D$2:$D$500, A16, '01_MASTER_DATABASE'!$B$2:$B$500, "*Slim*")&gt;0, "✓", "✗")</f>
        <v/>
      </c>
      <c r="O16" s="112">
        <f>IF(COUNTIFS('01_MASTER_DATABASE'!$D$2:$D$500, A16, '01_MASTER_DATABASE'!$B$2:$B$500, "*Thermal*") + COUNTIFS('01_MASTER_DATABASE'!$D$2:$D$500, A16, '01_MASTER_DATABASE'!$B$2:$B$500, "*cầu*")&gt;0, "✓", "✗")</f>
        <v/>
      </c>
    </row>
    <row r="17" ht="25" customHeight="1">
      <c r="A17" s="111" t="inlineStr">
        <is>
          <t>KOS</t>
        </is>
      </c>
      <c r="B17" s="112">
        <f>IF(COUNTIFS('01_MASTER_DATABASE'!$D$2:$D$500, A17, '01_MASTER_DATABASE'!$C$2:$C$500, "*55*")&gt;0, "✓", "✗")</f>
        <v/>
      </c>
      <c r="C17" s="112">
        <f>IF(COUNTIFS('01_MASTER_DATABASE'!$D$2:$D$500, A17, '01_MASTER_DATABASE'!$C$2:$C$500, "*58*")&gt;0, "✓", "✗")</f>
        <v/>
      </c>
      <c r="D17" s="112">
        <f>IF(COUNTIFS('01_MASTER_DATABASE'!$D$2:$D$500, A17, '01_MASTER_DATABASE'!$C$2:$C$500, "*60*")&gt;0, "✓", "✗")</f>
        <v/>
      </c>
      <c r="E17" s="112">
        <f>IF(COUNTIFS('01_MASTER_DATABASE'!$D$2:$D$500, A17, '01_MASTER_DATABASE'!$C$2:$C$500, "*65*")&gt;0, "✓", "✗")</f>
        <v/>
      </c>
      <c r="F17" s="112">
        <f>IF(COUNTIFS('01_MASTER_DATABASE'!$D$2:$D$500, A17, '01_MASTER_DATABASE'!$C$2:$C$500, "*70*")&gt;0, "✓", "✗")</f>
        <v/>
      </c>
      <c r="G17" s="112">
        <f>IF(COUNTIFS('01_MASTER_DATABASE'!$D$2:$D$500, A17, '01_MASTER_DATABASE'!$C$2:$C$500, "*75*")&gt;0, "✓", "✗")</f>
        <v/>
      </c>
      <c r="H17" s="112">
        <f>IF(COUNTIFS('01_MASTER_DATABASE'!$D$2:$D$500, A17, '01_MASTER_DATABASE'!$C$2:$C$500, "*80*")&gt;0, "✓", "✗")</f>
        <v/>
      </c>
      <c r="I17" s="112">
        <f>IF(COUNTIFS('01_MASTER_DATABASE'!$D$2:$D$500, A17, '01_MASTER_DATABASE'!$C$2:$C$500, "*83*")&gt;0, "✓", "✗")</f>
        <v/>
      </c>
      <c r="J17" s="112">
        <f>IF(COUNTIFS('01_MASTER_DATABASE'!$D$2:$D$500, A17, '01_MASTER_DATABASE'!$C$2:$C$500, "*93*")&gt;0, "✓", "✗")</f>
        <v/>
      </c>
      <c r="K17" s="112">
        <f>IF(COUNTIFS('01_MASTER_DATABASE'!$D$2:$D$500, A17, '01_MASTER_DATABASE'!$C$2:$C$500, "*95*")&gt;0, "✓", "✗")</f>
        <v/>
      </c>
      <c r="L17" s="112">
        <f>IF(COUNTIFS('01_MASTER_DATABASE'!$D$2:$D$500, A17, '01_MASTER_DATABASE'!$C$2:$C$500, "*115*")&gt;0, "✓", "✗")</f>
        <v/>
      </c>
      <c r="M17" s="112">
        <f>IF(COUNTIFS('01_MASTER_DATABASE'!$D$2:$D$500, A17, '01_MASTER_DATABASE'!$C$2:$C$500, "*120*")&gt;0, "✓", "✗")</f>
        <v/>
      </c>
      <c r="N17" s="112">
        <f>IF(COUNTIFS('01_MASTER_DATABASE'!$D$2:$D$500, A17, '01_MASTER_DATABASE'!$B$2:$B$500, "*Slim*")&gt;0, "✓", "✗")</f>
        <v/>
      </c>
      <c r="O17" s="112">
        <f>IF(COUNTIFS('01_MASTER_DATABASE'!$D$2:$D$500, A17, '01_MASTER_DATABASE'!$B$2:$B$500, "*Thermal*") + COUNTIFS('01_MASTER_DATABASE'!$D$2:$D$500, A17, '01_MASTER_DATABASE'!$B$2:$B$500, "*cầu*")&gt;0, "✓", "✗")</f>
        <v/>
      </c>
    </row>
    <row r="18" ht="25" customHeight="1">
      <c r="A18" s="111" t="inlineStr">
        <is>
          <t>Kogen</t>
        </is>
      </c>
      <c r="B18" s="112">
        <f>IF(COUNTIFS('01_MASTER_DATABASE'!$D$2:$D$500, A18, '01_MASTER_DATABASE'!$C$2:$C$500, "*55*")&gt;0, "✓", "✗")</f>
        <v/>
      </c>
      <c r="C18" s="112">
        <f>IF(COUNTIFS('01_MASTER_DATABASE'!$D$2:$D$500, A18, '01_MASTER_DATABASE'!$C$2:$C$500, "*58*")&gt;0, "✓", "✗")</f>
        <v/>
      </c>
      <c r="D18" s="112">
        <f>IF(COUNTIFS('01_MASTER_DATABASE'!$D$2:$D$500, A18, '01_MASTER_DATABASE'!$C$2:$C$500, "*60*")&gt;0, "✓", "✗")</f>
        <v/>
      </c>
      <c r="E18" s="112">
        <f>IF(COUNTIFS('01_MASTER_DATABASE'!$D$2:$D$500, A18, '01_MASTER_DATABASE'!$C$2:$C$500, "*65*")&gt;0, "✓", "✗")</f>
        <v/>
      </c>
      <c r="F18" s="112">
        <f>IF(COUNTIFS('01_MASTER_DATABASE'!$D$2:$D$500, A18, '01_MASTER_DATABASE'!$C$2:$C$500, "*70*")&gt;0, "✓", "✗")</f>
        <v/>
      </c>
      <c r="G18" s="112">
        <f>IF(COUNTIFS('01_MASTER_DATABASE'!$D$2:$D$500, A18, '01_MASTER_DATABASE'!$C$2:$C$500, "*75*")&gt;0, "✓", "✗")</f>
        <v/>
      </c>
      <c r="H18" s="112">
        <f>IF(COUNTIFS('01_MASTER_DATABASE'!$D$2:$D$500, A18, '01_MASTER_DATABASE'!$C$2:$C$500, "*80*")&gt;0, "✓", "✗")</f>
        <v/>
      </c>
      <c r="I18" s="112">
        <f>IF(COUNTIFS('01_MASTER_DATABASE'!$D$2:$D$500, A18, '01_MASTER_DATABASE'!$C$2:$C$500, "*83*")&gt;0, "✓", "✗")</f>
        <v/>
      </c>
      <c r="J18" s="112">
        <f>IF(COUNTIFS('01_MASTER_DATABASE'!$D$2:$D$500, A18, '01_MASTER_DATABASE'!$C$2:$C$500, "*93*")&gt;0, "✓", "✗")</f>
        <v/>
      </c>
      <c r="K18" s="112">
        <f>IF(COUNTIFS('01_MASTER_DATABASE'!$D$2:$D$500, A18, '01_MASTER_DATABASE'!$C$2:$C$500, "*95*")&gt;0, "✓", "✗")</f>
        <v/>
      </c>
      <c r="L18" s="112">
        <f>IF(COUNTIFS('01_MASTER_DATABASE'!$D$2:$D$500, A18, '01_MASTER_DATABASE'!$C$2:$C$500, "*115*")&gt;0, "✓", "✗")</f>
        <v/>
      </c>
      <c r="M18" s="112">
        <f>IF(COUNTIFS('01_MASTER_DATABASE'!$D$2:$D$500, A18, '01_MASTER_DATABASE'!$C$2:$C$500, "*120*")&gt;0, "✓", "✗")</f>
        <v/>
      </c>
      <c r="N18" s="112">
        <f>IF(COUNTIFS('01_MASTER_DATABASE'!$D$2:$D$500, A18, '01_MASTER_DATABASE'!$B$2:$B$500, "*Slim*")&gt;0, "✓", "✗")</f>
        <v/>
      </c>
      <c r="O18" s="112">
        <f>IF(COUNTIFS('01_MASTER_DATABASE'!$D$2:$D$500, A18, '01_MASTER_DATABASE'!$B$2:$B$500, "*Thermal*") + COUNTIFS('01_MASTER_DATABASE'!$D$2:$D$500, A18, '01_MASTER_DATABASE'!$B$2:$B$500, "*cầu*")&gt;0, "✓", "✗")</f>
        <v/>
      </c>
    </row>
    <row r="19" ht="25" customHeight="1">
      <c r="A19" s="111" t="inlineStr">
        <is>
          <t>Local</t>
        </is>
      </c>
      <c r="B19" s="112">
        <f>IF(COUNTIFS('01_MASTER_DATABASE'!$D$2:$D$500, A19, '01_MASTER_DATABASE'!$C$2:$C$500, "*55*")&gt;0, "✓", "✗")</f>
        <v/>
      </c>
      <c r="C19" s="112">
        <f>IF(COUNTIFS('01_MASTER_DATABASE'!$D$2:$D$500, A19, '01_MASTER_DATABASE'!$C$2:$C$500, "*58*")&gt;0, "✓", "✗")</f>
        <v/>
      </c>
      <c r="D19" s="112">
        <f>IF(COUNTIFS('01_MASTER_DATABASE'!$D$2:$D$500, A19, '01_MASTER_DATABASE'!$C$2:$C$500, "*60*")&gt;0, "✓", "✗")</f>
        <v/>
      </c>
      <c r="E19" s="112">
        <f>IF(COUNTIFS('01_MASTER_DATABASE'!$D$2:$D$500, A19, '01_MASTER_DATABASE'!$C$2:$C$500, "*65*")&gt;0, "✓", "✗")</f>
        <v/>
      </c>
      <c r="F19" s="112">
        <f>IF(COUNTIFS('01_MASTER_DATABASE'!$D$2:$D$500, A19, '01_MASTER_DATABASE'!$C$2:$C$500, "*70*")&gt;0, "✓", "✗")</f>
        <v/>
      </c>
      <c r="G19" s="112">
        <f>IF(COUNTIFS('01_MASTER_DATABASE'!$D$2:$D$500, A19, '01_MASTER_DATABASE'!$C$2:$C$500, "*75*")&gt;0, "✓", "✗")</f>
        <v/>
      </c>
      <c r="H19" s="112">
        <f>IF(COUNTIFS('01_MASTER_DATABASE'!$D$2:$D$500, A19, '01_MASTER_DATABASE'!$C$2:$C$500, "*80*")&gt;0, "✓", "✗")</f>
        <v/>
      </c>
      <c r="I19" s="112">
        <f>IF(COUNTIFS('01_MASTER_DATABASE'!$D$2:$D$500, A19, '01_MASTER_DATABASE'!$C$2:$C$500, "*83*")&gt;0, "✓", "✗")</f>
        <v/>
      </c>
      <c r="J19" s="112">
        <f>IF(COUNTIFS('01_MASTER_DATABASE'!$D$2:$D$500, A19, '01_MASTER_DATABASE'!$C$2:$C$500, "*93*")&gt;0, "✓", "✗")</f>
        <v/>
      </c>
      <c r="K19" s="112">
        <f>IF(COUNTIFS('01_MASTER_DATABASE'!$D$2:$D$500, A19, '01_MASTER_DATABASE'!$C$2:$C$500, "*95*")&gt;0, "✓", "✗")</f>
        <v/>
      </c>
      <c r="L19" s="112">
        <f>IF(COUNTIFS('01_MASTER_DATABASE'!$D$2:$D$500, A19, '01_MASTER_DATABASE'!$C$2:$C$500, "*115*")&gt;0, "✓", "✗")</f>
        <v/>
      </c>
      <c r="M19" s="112">
        <f>IF(COUNTIFS('01_MASTER_DATABASE'!$D$2:$D$500, A19, '01_MASTER_DATABASE'!$C$2:$C$500, "*120*")&gt;0, "✓", "✗")</f>
        <v/>
      </c>
      <c r="N19" s="112">
        <f>IF(COUNTIFS('01_MASTER_DATABASE'!$D$2:$D$500, A19, '01_MASTER_DATABASE'!$B$2:$B$500, "*Slim*")&gt;0, "✓", "✗")</f>
        <v/>
      </c>
      <c r="O19" s="112">
        <f>IF(COUNTIFS('01_MASTER_DATABASE'!$D$2:$D$500, A19, '01_MASTER_DATABASE'!$B$2:$B$500, "*Thermal*") + COUNTIFS('01_MASTER_DATABASE'!$D$2:$D$500, A19, '01_MASTER_DATABASE'!$B$2:$B$500, "*cầu*")&gt;0, "✓", "✗")</f>
        <v/>
      </c>
    </row>
    <row r="20" ht="25" customHeight="1">
      <c r="A20" s="111" t="inlineStr">
        <is>
          <t>Local/Châu Âu</t>
        </is>
      </c>
      <c r="B20" s="112">
        <f>IF(COUNTIFS('01_MASTER_DATABASE'!$D$2:$D$500, A20, '01_MASTER_DATABASE'!$C$2:$C$500, "*55*")&gt;0, "✓", "✗")</f>
        <v/>
      </c>
      <c r="C20" s="112">
        <f>IF(COUNTIFS('01_MASTER_DATABASE'!$D$2:$D$500, A20, '01_MASTER_DATABASE'!$C$2:$C$500, "*58*")&gt;0, "✓", "✗")</f>
        <v/>
      </c>
      <c r="D20" s="112">
        <f>IF(COUNTIFS('01_MASTER_DATABASE'!$D$2:$D$500, A20, '01_MASTER_DATABASE'!$C$2:$C$500, "*60*")&gt;0, "✓", "✗")</f>
        <v/>
      </c>
      <c r="E20" s="112">
        <f>IF(COUNTIFS('01_MASTER_DATABASE'!$D$2:$D$500, A20, '01_MASTER_DATABASE'!$C$2:$C$500, "*65*")&gt;0, "✓", "✗")</f>
        <v/>
      </c>
      <c r="F20" s="112">
        <f>IF(COUNTIFS('01_MASTER_DATABASE'!$D$2:$D$500, A20, '01_MASTER_DATABASE'!$C$2:$C$500, "*70*")&gt;0, "✓", "✗")</f>
        <v/>
      </c>
      <c r="G20" s="112">
        <f>IF(COUNTIFS('01_MASTER_DATABASE'!$D$2:$D$500, A20, '01_MASTER_DATABASE'!$C$2:$C$500, "*75*")&gt;0, "✓", "✗")</f>
        <v/>
      </c>
      <c r="H20" s="112">
        <f>IF(COUNTIFS('01_MASTER_DATABASE'!$D$2:$D$500, A20, '01_MASTER_DATABASE'!$C$2:$C$500, "*80*")&gt;0, "✓", "✗")</f>
        <v/>
      </c>
      <c r="I20" s="112">
        <f>IF(COUNTIFS('01_MASTER_DATABASE'!$D$2:$D$500, A20, '01_MASTER_DATABASE'!$C$2:$C$500, "*83*")&gt;0, "✓", "✗")</f>
        <v/>
      </c>
      <c r="J20" s="112">
        <f>IF(COUNTIFS('01_MASTER_DATABASE'!$D$2:$D$500, A20, '01_MASTER_DATABASE'!$C$2:$C$500, "*93*")&gt;0, "✓", "✗")</f>
        <v/>
      </c>
      <c r="K20" s="112">
        <f>IF(COUNTIFS('01_MASTER_DATABASE'!$D$2:$D$500, A20, '01_MASTER_DATABASE'!$C$2:$C$500, "*95*")&gt;0, "✓", "✗")</f>
        <v/>
      </c>
      <c r="L20" s="112">
        <f>IF(COUNTIFS('01_MASTER_DATABASE'!$D$2:$D$500, A20, '01_MASTER_DATABASE'!$C$2:$C$500, "*115*")&gt;0, "✓", "✗")</f>
        <v/>
      </c>
      <c r="M20" s="112">
        <f>IF(COUNTIFS('01_MASTER_DATABASE'!$D$2:$D$500, A20, '01_MASTER_DATABASE'!$C$2:$C$500, "*120*")&gt;0, "✓", "✗")</f>
        <v/>
      </c>
      <c r="N20" s="112">
        <f>IF(COUNTIFS('01_MASTER_DATABASE'!$D$2:$D$500, A20, '01_MASTER_DATABASE'!$B$2:$B$500, "*Slim*")&gt;0, "✓", "✗")</f>
        <v/>
      </c>
      <c r="O20" s="112">
        <f>IF(COUNTIFS('01_MASTER_DATABASE'!$D$2:$D$500, A20, '01_MASTER_DATABASE'!$B$2:$B$500, "*Thermal*") + COUNTIFS('01_MASTER_DATABASE'!$D$2:$D$500, A20, '01_MASTER_DATABASE'!$B$2:$B$500, "*cầu*")&gt;0, "✓", "✗")</f>
        <v/>
      </c>
    </row>
    <row r="21" ht="25" customHeight="1">
      <c r="A21" s="111" t="inlineStr">
        <is>
          <t>Local/Ý</t>
        </is>
      </c>
      <c r="B21" s="112">
        <f>IF(COUNTIFS('01_MASTER_DATABASE'!$D$2:$D$500, A21, '01_MASTER_DATABASE'!$C$2:$C$500, "*55*")&gt;0, "✓", "✗")</f>
        <v/>
      </c>
      <c r="C21" s="112">
        <f>IF(COUNTIFS('01_MASTER_DATABASE'!$D$2:$D$500, A21, '01_MASTER_DATABASE'!$C$2:$C$500, "*58*")&gt;0, "✓", "✗")</f>
        <v/>
      </c>
      <c r="D21" s="112">
        <f>IF(COUNTIFS('01_MASTER_DATABASE'!$D$2:$D$500, A21, '01_MASTER_DATABASE'!$C$2:$C$500, "*60*")&gt;0, "✓", "✗")</f>
        <v/>
      </c>
      <c r="E21" s="112">
        <f>IF(COUNTIFS('01_MASTER_DATABASE'!$D$2:$D$500, A21, '01_MASTER_DATABASE'!$C$2:$C$500, "*65*")&gt;0, "✓", "✗")</f>
        <v/>
      </c>
      <c r="F21" s="112">
        <f>IF(COUNTIFS('01_MASTER_DATABASE'!$D$2:$D$500, A21, '01_MASTER_DATABASE'!$C$2:$C$500, "*70*")&gt;0, "✓", "✗")</f>
        <v/>
      </c>
      <c r="G21" s="112">
        <f>IF(COUNTIFS('01_MASTER_DATABASE'!$D$2:$D$500, A21, '01_MASTER_DATABASE'!$C$2:$C$500, "*75*")&gt;0, "✓", "✗")</f>
        <v/>
      </c>
      <c r="H21" s="112">
        <f>IF(COUNTIFS('01_MASTER_DATABASE'!$D$2:$D$500, A21, '01_MASTER_DATABASE'!$C$2:$C$500, "*80*")&gt;0, "✓", "✗")</f>
        <v/>
      </c>
      <c r="I21" s="112">
        <f>IF(COUNTIFS('01_MASTER_DATABASE'!$D$2:$D$500, A21, '01_MASTER_DATABASE'!$C$2:$C$500, "*83*")&gt;0, "✓", "✗")</f>
        <v/>
      </c>
      <c r="J21" s="112">
        <f>IF(COUNTIFS('01_MASTER_DATABASE'!$D$2:$D$500, A21, '01_MASTER_DATABASE'!$C$2:$C$500, "*93*")&gt;0, "✓", "✗")</f>
        <v/>
      </c>
      <c r="K21" s="112">
        <f>IF(COUNTIFS('01_MASTER_DATABASE'!$D$2:$D$500, A21, '01_MASTER_DATABASE'!$C$2:$C$500, "*95*")&gt;0, "✓", "✗")</f>
        <v/>
      </c>
      <c r="L21" s="112">
        <f>IF(COUNTIFS('01_MASTER_DATABASE'!$D$2:$D$500, A21, '01_MASTER_DATABASE'!$C$2:$C$500, "*115*")&gt;0, "✓", "✗")</f>
        <v/>
      </c>
      <c r="M21" s="112">
        <f>IF(COUNTIFS('01_MASTER_DATABASE'!$D$2:$D$500, A21, '01_MASTER_DATABASE'!$C$2:$C$500, "*120*")&gt;0, "✓", "✗")</f>
        <v/>
      </c>
      <c r="N21" s="112">
        <f>IF(COUNTIFS('01_MASTER_DATABASE'!$D$2:$D$500, A21, '01_MASTER_DATABASE'!$B$2:$B$500, "*Slim*")&gt;0, "✓", "✗")</f>
        <v/>
      </c>
      <c r="O21" s="112">
        <f>IF(COUNTIFS('01_MASTER_DATABASE'!$D$2:$D$500, A21, '01_MASTER_DATABASE'!$B$2:$B$500, "*Thermal*") + COUNTIFS('01_MASTER_DATABASE'!$D$2:$D$500, A21, '01_MASTER_DATABASE'!$B$2:$B$500, "*cầu*")&gt;0, "✓", "✗")</f>
        <v/>
      </c>
    </row>
    <row r="22" ht="25" customHeight="1">
      <c r="A22" s="111" t="inlineStr">
        <is>
          <t>Maxpro JP</t>
        </is>
      </c>
      <c r="B22" s="112">
        <f>IF(COUNTIFS('01_MASTER_DATABASE'!$D$2:$D$500, A22, '01_MASTER_DATABASE'!$C$2:$C$500, "*55*")&gt;0, "✓", "✗")</f>
        <v/>
      </c>
      <c r="C22" s="112">
        <f>IF(COUNTIFS('01_MASTER_DATABASE'!$D$2:$D$500, A22, '01_MASTER_DATABASE'!$C$2:$C$500, "*58*")&gt;0, "✓", "✗")</f>
        <v/>
      </c>
      <c r="D22" s="112">
        <f>IF(COUNTIFS('01_MASTER_DATABASE'!$D$2:$D$500, A22, '01_MASTER_DATABASE'!$C$2:$C$500, "*60*")&gt;0, "✓", "✗")</f>
        <v/>
      </c>
      <c r="E22" s="112">
        <f>IF(COUNTIFS('01_MASTER_DATABASE'!$D$2:$D$500, A22, '01_MASTER_DATABASE'!$C$2:$C$500, "*65*")&gt;0, "✓", "✗")</f>
        <v/>
      </c>
      <c r="F22" s="112">
        <f>IF(COUNTIFS('01_MASTER_DATABASE'!$D$2:$D$500, A22, '01_MASTER_DATABASE'!$C$2:$C$500, "*70*")&gt;0, "✓", "✗")</f>
        <v/>
      </c>
      <c r="G22" s="112">
        <f>IF(COUNTIFS('01_MASTER_DATABASE'!$D$2:$D$500, A22, '01_MASTER_DATABASE'!$C$2:$C$500, "*75*")&gt;0, "✓", "✗")</f>
        <v/>
      </c>
      <c r="H22" s="112">
        <f>IF(COUNTIFS('01_MASTER_DATABASE'!$D$2:$D$500, A22, '01_MASTER_DATABASE'!$C$2:$C$500, "*80*")&gt;0, "✓", "✗")</f>
        <v/>
      </c>
      <c r="I22" s="112">
        <f>IF(COUNTIFS('01_MASTER_DATABASE'!$D$2:$D$500, A22, '01_MASTER_DATABASE'!$C$2:$C$500, "*83*")&gt;0, "✓", "✗")</f>
        <v/>
      </c>
      <c r="J22" s="112">
        <f>IF(COUNTIFS('01_MASTER_DATABASE'!$D$2:$D$500, A22, '01_MASTER_DATABASE'!$C$2:$C$500, "*93*")&gt;0, "✓", "✗")</f>
        <v/>
      </c>
      <c r="K22" s="112">
        <f>IF(COUNTIFS('01_MASTER_DATABASE'!$D$2:$D$500, A22, '01_MASTER_DATABASE'!$C$2:$C$500, "*95*")&gt;0, "✓", "✗")</f>
        <v/>
      </c>
      <c r="L22" s="112">
        <f>IF(COUNTIFS('01_MASTER_DATABASE'!$D$2:$D$500, A22, '01_MASTER_DATABASE'!$C$2:$C$500, "*115*")&gt;0, "✓", "✗")</f>
        <v/>
      </c>
      <c r="M22" s="112">
        <f>IF(COUNTIFS('01_MASTER_DATABASE'!$D$2:$D$500, A22, '01_MASTER_DATABASE'!$C$2:$C$500, "*120*")&gt;0, "✓", "✗")</f>
        <v/>
      </c>
      <c r="N22" s="112">
        <f>IF(COUNTIFS('01_MASTER_DATABASE'!$D$2:$D$500, A22, '01_MASTER_DATABASE'!$B$2:$B$500, "*Slim*")&gt;0, "✓", "✗")</f>
        <v/>
      </c>
      <c r="O22" s="112">
        <f>IF(COUNTIFS('01_MASTER_DATABASE'!$D$2:$D$500, A22, '01_MASTER_DATABASE'!$B$2:$B$500, "*Thermal*") + COUNTIFS('01_MASTER_DATABASE'!$D$2:$D$500, A22, '01_MASTER_DATABASE'!$B$2:$B$500, "*cầu*")&gt;0, "✓", "✗")</f>
        <v/>
      </c>
    </row>
    <row r="23" ht="25" customHeight="1">
      <c r="A23" s="111" t="inlineStr">
        <is>
          <t>Maxpro/Owin/Local</t>
        </is>
      </c>
      <c r="B23" s="112">
        <f>IF(COUNTIFS('01_MASTER_DATABASE'!$D$2:$D$500, A23, '01_MASTER_DATABASE'!$C$2:$C$500, "*55*")&gt;0, "✓", "✗")</f>
        <v/>
      </c>
      <c r="C23" s="112">
        <f>IF(COUNTIFS('01_MASTER_DATABASE'!$D$2:$D$500, A23, '01_MASTER_DATABASE'!$C$2:$C$500, "*58*")&gt;0, "✓", "✗")</f>
        <v/>
      </c>
      <c r="D23" s="112">
        <f>IF(COUNTIFS('01_MASTER_DATABASE'!$D$2:$D$500, A23, '01_MASTER_DATABASE'!$C$2:$C$500, "*60*")&gt;0, "✓", "✗")</f>
        <v/>
      </c>
      <c r="E23" s="112">
        <f>IF(COUNTIFS('01_MASTER_DATABASE'!$D$2:$D$500, A23, '01_MASTER_DATABASE'!$C$2:$C$500, "*65*")&gt;0, "✓", "✗")</f>
        <v/>
      </c>
      <c r="F23" s="112">
        <f>IF(COUNTIFS('01_MASTER_DATABASE'!$D$2:$D$500, A23, '01_MASTER_DATABASE'!$C$2:$C$500, "*70*")&gt;0, "✓", "✗")</f>
        <v/>
      </c>
      <c r="G23" s="112">
        <f>IF(COUNTIFS('01_MASTER_DATABASE'!$D$2:$D$500, A23, '01_MASTER_DATABASE'!$C$2:$C$500, "*75*")&gt;0, "✓", "✗")</f>
        <v/>
      </c>
      <c r="H23" s="112">
        <f>IF(COUNTIFS('01_MASTER_DATABASE'!$D$2:$D$500, A23, '01_MASTER_DATABASE'!$C$2:$C$500, "*80*")&gt;0, "✓", "✗")</f>
        <v/>
      </c>
      <c r="I23" s="112">
        <f>IF(COUNTIFS('01_MASTER_DATABASE'!$D$2:$D$500, A23, '01_MASTER_DATABASE'!$C$2:$C$500, "*83*")&gt;0, "✓", "✗")</f>
        <v/>
      </c>
      <c r="J23" s="112">
        <f>IF(COUNTIFS('01_MASTER_DATABASE'!$D$2:$D$500, A23, '01_MASTER_DATABASE'!$C$2:$C$500, "*93*")&gt;0, "✓", "✗")</f>
        <v/>
      </c>
      <c r="K23" s="112">
        <f>IF(COUNTIFS('01_MASTER_DATABASE'!$D$2:$D$500, A23, '01_MASTER_DATABASE'!$C$2:$C$500, "*95*")&gt;0, "✓", "✗")</f>
        <v/>
      </c>
      <c r="L23" s="112">
        <f>IF(COUNTIFS('01_MASTER_DATABASE'!$D$2:$D$500, A23, '01_MASTER_DATABASE'!$C$2:$C$500, "*115*")&gt;0, "✓", "✗")</f>
        <v/>
      </c>
      <c r="M23" s="112">
        <f>IF(COUNTIFS('01_MASTER_DATABASE'!$D$2:$D$500, A23, '01_MASTER_DATABASE'!$C$2:$C$500, "*120*")&gt;0, "✓", "✗")</f>
        <v/>
      </c>
      <c r="N23" s="112">
        <f>IF(COUNTIFS('01_MASTER_DATABASE'!$D$2:$D$500, A23, '01_MASTER_DATABASE'!$B$2:$B$500, "*Slim*")&gt;0, "✓", "✗")</f>
        <v/>
      </c>
      <c r="O23" s="112">
        <f>IF(COUNTIFS('01_MASTER_DATABASE'!$D$2:$D$500, A23, '01_MASTER_DATABASE'!$B$2:$B$500, "*Thermal*") + COUNTIFS('01_MASTER_DATABASE'!$D$2:$D$500, A23, '01_MASTER_DATABASE'!$B$2:$B$500, "*cầu*")&gt;0, "✓", "✗")</f>
        <v/>
      </c>
    </row>
    <row r="24" ht="25" customHeight="1">
      <c r="A24" s="111" t="inlineStr">
        <is>
          <t>Nhiều hãng</t>
        </is>
      </c>
      <c r="B24" s="112">
        <f>IF(COUNTIFS('01_MASTER_DATABASE'!$D$2:$D$500, A24, '01_MASTER_DATABASE'!$C$2:$C$500, "*55*")&gt;0, "✓", "✗")</f>
        <v/>
      </c>
      <c r="C24" s="112">
        <f>IF(COUNTIFS('01_MASTER_DATABASE'!$D$2:$D$500, A24, '01_MASTER_DATABASE'!$C$2:$C$500, "*58*")&gt;0, "✓", "✗")</f>
        <v/>
      </c>
      <c r="D24" s="112">
        <f>IF(COUNTIFS('01_MASTER_DATABASE'!$D$2:$D$500, A24, '01_MASTER_DATABASE'!$C$2:$C$500, "*60*")&gt;0, "✓", "✗")</f>
        <v/>
      </c>
      <c r="E24" s="112">
        <f>IF(COUNTIFS('01_MASTER_DATABASE'!$D$2:$D$500, A24, '01_MASTER_DATABASE'!$C$2:$C$500, "*65*")&gt;0, "✓", "✗")</f>
        <v/>
      </c>
      <c r="F24" s="112">
        <f>IF(COUNTIFS('01_MASTER_DATABASE'!$D$2:$D$500, A24, '01_MASTER_DATABASE'!$C$2:$C$500, "*70*")&gt;0, "✓", "✗")</f>
        <v/>
      </c>
      <c r="G24" s="112">
        <f>IF(COUNTIFS('01_MASTER_DATABASE'!$D$2:$D$500, A24, '01_MASTER_DATABASE'!$C$2:$C$500, "*75*")&gt;0, "✓", "✗")</f>
        <v/>
      </c>
      <c r="H24" s="112">
        <f>IF(COUNTIFS('01_MASTER_DATABASE'!$D$2:$D$500, A24, '01_MASTER_DATABASE'!$C$2:$C$500, "*80*")&gt;0, "✓", "✗")</f>
        <v/>
      </c>
      <c r="I24" s="112">
        <f>IF(COUNTIFS('01_MASTER_DATABASE'!$D$2:$D$500, A24, '01_MASTER_DATABASE'!$C$2:$C$500, "*83*")&gt;0, "✓", "✗")</f>
        <v/>
      </c>
      <c r="J24" s="112">
        <f>IF(COUNTIFS('01_MASTER_DATABASE'!$D$2:$D$500, A24, '01_MASTER_DATABASE'!$C$2:$C$500, "*93*")&gt;0, "✓", "✗")</f>
        <v/>
      </c>
      <c r="K24" s="112">
        <f>IF(COUNTIFS('01_MASTER_DATABASE'!$D$2:$D$500, A24, '01_MASTER_DATABASE'!$C$2:$C$500, "*95*")&gt;0, "✓", "✗")</f>
        <v/>
      </c>
      <c r="L24" s="112">
        <f>IF(COUNTIFS('01_MASTER_DATABASE'!$D$2:$D$500, A24, '01_MASTER_DATABASE'!$C$2:$C$500, "*115*")&gt;0, "✓", "✗")</f>
        <v/>
      </c>
      <c r="M24" s="112">
        <f>IF(COUNTIFS('01_MASTER_DATABASE'!$D$2:$D$500, A24, '01_MASTER_DATABASE'!$C$2:$C$500, "*120*")&gt;0, "✓", "✗")</f>
        <v/>
      </c>
      <c r="N24" s="112">
        <f>IF(COUNTIFS('01_MASTER_DATABASE'!$D$2:$D$500, A24, '01_MASTER_DATABASE'!$B$2:$B$500, "*Slim*")&gt;0, "✓", "✗")</f>
        <v/>
      </c>
      <c r="O24" s="112">
        <f>IF(COUNTIFS('01_MASTER_DATABASE'!$D$2:$D$500, A24, '01_MASTER_DATABASE'!$B$2:$B$500, "*Thermal*") + COUNTIFS('01_MASTER_DATABASE'!$D$2:$D$500, A24, '01_MASTER_DATABASE'!$B$2:$B$500, "*cầu*")&gt;0, "✓", "✗")</f>
        <v/>
      </c>
    </row>
    <row r="25" ht="25" customHeight="1">
      <c r="A25" s="111" t="inlineStr">
        <is>
          <t>Nhiều hãng VN</t>
        </is>
      </c>
      <c r="B25" s="112">
        <f>IF(COUNTIFS('01_MASTER_DATABASE'!$D$2:$D$500, A25, '01_MASTER_DATABASE'!$C$2:$C$500, "*55*")&gt;0, "✓", "✗")</f>
        <v/>
      </c>
      <c r="C25" s="112">
        <f>IF(COUNTIFS('01_MASTER_DATABASE'!$D$2:$D$500, A25, '01_MASTER_DATABASE'!$C$2:$C$500, "*58*")&gt;0, "✓", "✗")</f>
        <v/>
      </c>
      <c r="D25" s="112">
        <f>IF(COUNTIFS('01_MASTER_DATABASE'!$D$2:$D$500, A25, '01_MASTER_DATABASE'!$C$2:$C$500, "*60*")&gt;0, "✓", "✗")</f>
        <v/>
      </c>
      <c r="E25" s="112">
        <f>IF(COUNTIFS('01_MASTER_DATABASE'!$D$2:$D$500, A25, '01_MASTER_DATABASE'!$C$2:$C$500, "*65*")&gt;0, "✓", "✗")</f>
        <v/>
      </c>
      <c r="F25" s="112">
        <f>IF(COUNTIFS('01_MASTER_DATABASE'!$D$2:$D$500, A25, '01_MASTER_DATABASE'!$C$2:$C$500, "*70*")&gt;0, "✓", "✗")</f>
        <v/>
      </c>
      <c r="G25" s="112">
        <f>IF(COUNTIFS('01_MASTER_DATABASE'!$D$2:$D$500, A25, '01_MASTER_DATABASE'!$C$2:$C$500, "*75*")&gt;0, "✓", "✗")</f>
        <v/>
      </c>
      <c r="H25" s="112">
        <f>IF(COUNTIFS('01_MASTER_DATABASE'!$D$2:$D$500, A25, '01_MASTER_DATABASE'!$C$2:$C$500, "*80*")&gt;0, "✓", "✗")</f>
        <v/>
      </c>
      <c r="I25" s="112">
        <f>IF(COUNTIFS('01_MASTER_DATABASE'!$D$2:$D$500, A25, '01_MASTER_DATABASE'!$C$2:$C$500, "*83*")&gt;0, "✓", "✗")</f>
        <v/>
      </c>
      <c r="J25" s="112">
        <f>IF(COUNTIFS('01_MASTER_DATABASE'!$D$2:$D$500, A25, '01_MASTER_DATABASE'!$C$2:$C$500, "*93*")&gt;0, "✓", "✗")</f>
        <v/>
      </c>
      <c r="K25" s="112">
        <f>IF(COUNTIFS('01_MASTER_DATABASE'!$D$2:$D$500, A25, '01_MASTER_DATABASE'!$C$2:$C$500, "*95*")&gt;0, "✓", "✗")</f>
        <v/>
      </c>
      <c r="L25" s="112">
        <f>IF(COUNTIFS('01_MASTER_DATABASE'!$D$2:$D$500, A25, '01_MASTER_DATABASE'!$C$2:$C$500, "*115*")&gt;0, "✓", "✗")</f>
        <v/>
      </c>
      <c r="M25" s="112">
        <f>IF(COUNTIFS('01_MASTER_DATABASE'!$D$2:$D$500, A25, '01_MASTER_DATABASE'!$C$2:$C$500, "*120*")&gt;0, "✓", "✗")</f>
        <v/>
      </c>
      <c r="N25" s="112">
        <f>IF(COUNTIFS('01_MASTER_DATABASE'!$D$2:$D$500, A25, '01_MASTER_DATABASE'!$B$2:$B$500, "*Slim*")&gt;0, "✓", "✗")</f>
        <v/>
      </c>
      <c r="O25" s="112">
        <f>IF(COUNTIFS('01_MASTER_DATABASE'!$D$2:$D$500, A25, '01_MASTER_DATABASE'!$B$2:$B$500, "*Thermal*") + COUNTIFS('01_MASTER_DATABASE'!$D$2:$D$500, A25, '01_MASTER_DATABASE'!$B$2:$B$500, "*cầu*")&gt;0, "✓", "✗")</f>
        <v/>
      </c>
    </row>
    <row r="26" ht="25" customHeight="1">
      <c r="A26" s="111" t="inlineStr">
        <is>
          <t>Nhiều nhà máy</t>
        </is>
      </c>
      <c r="B26" s="112">
        <f>IF(COUNTIFS('01_MASTER_DATABASE'!$D$2:$D$500, A26, '01_MASTER_DATABASE'!$C$2:$C$500, "*55*")&gt;0, "✓", "✗")</f>
        <v/>
      </c>
      <c r="C26" s="112">
        <f>IF(COUNTIFS('01_MASTER_DATABASE'!$D$2:$D$500, A26, '01_MASTER_DATABASE'!$C$2:$C$500, "*58*")&gt;0, "✓", "✗")</f>
        <v/>
      </c>
      <c r="D26" s="112">
        <f>IF(COUNTIFS('01_MASTER_DATABASE'!$D$2:$D$500, A26, '01_MASTER_DATABASE'!$C$2:$C$500, "*60*")&gt;0, "✓", "✗")</f>
        <v/>
      </c>
      <c r="E26" s="112">
        <f>IF(COUNTIFS('01_MASTER_DATABASE'!$D$2:$D$500, A26, '01_MASTER_DATABASE'!$C$2:$C$500, "*65*")&gt;0, "✓", "✗")</f>
        <v/>
      </c>
      <c r="F26" s="112">
        <f>IF(COUNTIFS('01_MASTER_DATABASE'!$D$2:$D$500, A26, '01_MASTER_DATABASE'!$C$2:$C$500, "*70*")&gt;0, "✓", "✗")</f>
        <v/>
      </c>
      <c r="G26" s="112">
        <f>IF(COUNTIFS('01_MASTER_DATABASE'!$D$2:$D$500, A26, '01_MASTER_DATABASE'!$C$2:$C$500, "*75*")&gt;0, "✓", "✗")</f>
        <v/>
      </c>
      <c r="H26" s="112">
        <f>IF(COUNTIFS('01_MASTER_DATABASE'!$D$2:$D$500, A26, '01_MASTER_DATABASE'!$C$2:$C$500, "*80*")&gt;0, "✓", "✗")</f>
        <v/>
      </c>
      <c r="I26" s="112">
        <f>IF(COUNTIFS('01_MASTER_DATABASE'!$D$2:$D$500, A26, '01_MASTER_DATABASE'!$C$2:$C$500, "*83*")&gt;0, "✓", "✗")</f>
        <v/>
      </c>
      <c r="J26" s="112">
        <f>IF(COUNTIFS('01_MASTER_DATABASE'!$D$2:$D$500, A26, '01_MASTER_DATABASE'!$C$2:$C$500, "*93*")&gt;0, "✓", "✗")</f>
        <v/>
      </c>
      <c r="K26" s="112">
        <f>IF(COUNTIFS('01_MASTER_DATABASE'!$D$2:$D$500, A26, '01_MASTER_DATABASE'!$C$2:$C$500, "*95*")&gt;0, "✓", "✗")</f>
        <v/>
      </c>
      <c r="L26" s="112">
        <f>IF(COUNTIFS('01_MASTER_DATABASE'!$D$2:$D$500, A26, '01_MASTER_DATABASE'!$C$2:$C$500, "*115*")&gt;0, "✓", "✗")</f>
        <v/>
      </c>
      <c r="M26" s="112">
        <f>IF(COUNTIFS('01_MASTER_DATABASE'!$D$2:$D$500, A26, '01_MASTER_DATABASE'!$C$2:$C$500, "*120*")&gt;0, "✓", "✗")</f>
        <v/>
      </c>
      <c r="N26" s="112">
        <f>IF(COUNTIFS('01_MASTER_DATABASE'!$D$2:$D$500, A26, '01_MASTER_DATABASE'!$B$2:$B$500, "*Slim*")&gt;0, "✓", "✗")</f>
        <v/>
      </c>
      <c r="O26" s="112">
        <f>IF(COUNTIFS('01_MASTER_DATABASE'!$D$2:$D$500, A26, '01_MASTER_DATABASE'!$B$2:$B$500, "*Thermal*") + COUNTIFS('01_MASTER_DATABASE'!$D$2:$D$500, A26, '01_MASTER_DATABASE'!$B$2:$B$500, "*cầu*")&gt;0, "✓", "✗")</f>
        <v/>
      </c>
    </row>
    <row r="27" ht="25" customHeight="1">
      <c r="A27" s="111" t="inlineStr">
        <is>
          <t>Owin</t>
        </is>
      </c>
      <c r="B27" s="112">
        <f>IF(COUNTIFS('01_MASTER_DATABASE'!$D$2:$D$500, A27, '01_MASTER_DATABASE'!$C$2:$C$500, "*55*")&gt;0, "✓", "✗")</f>
        <v/>
      </c>
      <c r="C27" s="112">
        <f>IF(COUNTIFS('01_MASTER_DATABASE'!$D$2:$D$500, A27, '01_MASTER_DATABASE'!$C$2:$C$500, "*58*")&gt;0, "✓", "✗")</f>
        <v/>
      </c>
      <c r="D27" s="112">
        <f>IF(COUNTIFS('01_MASTER_DATABASE'!$D$2:$D$500, A27, '01_MASTER_DATABASE'!$C$2:$C$500, "*60*")&gt;0, "✓", "✗")</f>
        <v/>
      </c>
      <c r="E27" s="112">
        <f>IF(COUNTIFS('01_MASTER_DATABASE'!$D$2:$D$500, A27, '01_MASTER_DATABASE'!$C$2:$C$500, "*65*")&gt;0, "✓", "✗")</f>
        <v/>
      </c>
      <c r="F27" s="112">
        <f>IF(COUNTIFS('01_MASTER_DATABASE'!$D$2:$D$500, A27, '01_MASTER_DATABASE'!$C$2:$C$500, "*70*")&gt;0, "✓", "✗")</f>
        <v/>
      </c>
      <c r="G27" s="112">
        <f>IF(COUNTIFS('01_MASTER_DATABASE'!$D$2:$D$500, A27, '01_MASTER_DATABASE'!$C$2:$C$500, "*75*")&gt;0, "✓", "✗")</f>
        <v/>
      </c>
      <c r="H27" s="112">
        <f>IF(COUNTIFS('01_MASTER_DATABASE'!$D$2:$D$500, A27, '01_MASTER_DATABASE'!$C$2:$C$500, "*80*")&gt;0, "✓", "✗")</f>
        <v/>
      </c>
      <c r="I27" s="112">
        <f>IF(COUNTIFS('01_MASTER_DATABASE'!$D$2:$D$500, A27, '01_MASTER_DATABASE'!$C$2:$C$500, "*83*")&gt;0, "✓", "✗")</f>
        <v/>
      </c>
      <c r="J27" s="112">
        <f>IF(COUNTIFS('01_MASTER_DATABASE'!$D$2:$D$500, A27, '01_MASTER_DATABASE'!$C$2:$C$500, "*93*")&gt;0, "✓", "✗")</f>
        <v/>
      </c>
      <c r="K27" s="112">
        <f>IF(COUNTIFS('01_MASTER_DATABASE'!$D$2:$D$500, A27, '01_MASTER_DATABASE'!$C$2:$C$500, "*95*")&gt;0, "✓", "✗")</f>
        <v/>
      </c>
      <c r="L27" s="112">
        <f>IF(COUNTIFS('01_MASTER_DATABASE'!$D$2:$D$500, A27, '01_MASTER_DATABASE'!$C$2:$C$500, "*115*")&gt;0, "✓", "✗")</f>
        <v/>
      </c>
      <c r="M27" s="112">
        <f>IF(COUNTIFS('01_MASTER_DATABASE'!$D$2:$D$500, A27, '01_MASTER_DATABASE'!$C$2:$C$500, "*120*")&gt;0, "✓", "✗")</f>
        <v/>
      </c>
      <c r="N27" s="112">
        <f>IF(COUNTIFS('01_MASTER_DATABASE'!$D$2:$D$500, A27, '01_MASTER_DATABASE'!$B$2:$B$500, "*Slim*")&gt;0, "✓", "✗")</f>
        <v/>
      </c>
      <c r="O27" s="112">
        <f>IF(COUNTIFS('01_MASTER_DATABASE'!$D$2:$D$500, A27, '01_MASTER_DATABASE'!$B$2:$B$500, "*Thermal*") + COUNTIFS('01_MASTER_DATABASE'!$D$2:$D$500, A27, '01_MASTER_DATABASE'!$B$2:$B$500, "*cầu*")&gt;0, "✓", "✗")</f>
        <v/>
      </c>
    </row>
    <row r="28" ht="25" customHeight="1">
      <c r="A28" s="111" t="inlineStr">
        <is>
          <t>PAG</t>
        </is>
      </c>
      <c r="B28" s="112">
        <f>IF(COUNTIFS('01_MASTER_DATABASE'!$D$2:$D$500, A28, '01_MASTER_DATABASE'!$C$2:$C$500, "*55*")&gt;0, "✓", "✗")</f>
        <v/>
      </c>
      <c r="C28" s="112">
        <f>IF(COUNTIFS('01_MASTER_DATABASE'!$D$2:$D$500, A28, '01_MASTER_DATABASE'!$C$2:$C$500, "*58*")&gt;0, "✓", "✗")</f>
        <v/>
      </c>
      <c r="D28" s="112">
        <f>IF(COUNTIFS('01_MASTER_DATABASE'!$D$2:$D$500, A28, '01_MASTER_DATABASE'!$C$2:$C$500, "*60*")&gt;0, "✓", "✗")</f>
        <v/>
      </c>
      <c r="E28" s="112">
        <f>IF(COUNTIFS('01_MASTER_DATABASE'!$D$2:$D$500, A28, '01_MASTER_DATABASE'!$C$2:$C$500, "*65*")&gt;0, "✓", "✗")</f>
        <v/>
      </c>
      <c r="F28" s="112">
        <f>IF(COUNTIFS('01_MASTER_DATABASE'!$D$2:$D$500, A28, '01_MASTER_DATABASE'!$C$2:$C$500, "*70*")&gt;0, "✓", "✗")</f>
        <v/>
      </c>
      <c r="G28" s="112">
        <f>IF(COUNTIFS('01_MASTER_DATABASE'!$D$2:$D$500, A28, '01_MASTER_DATABASE'!$C$2:$C$500, "*75*")&gt;0, "✓", "✗")</f>
        <v/>
      </c>
      <c r="H28" s="112">
        <f>IF(COUNTIFS('01_MASTER_DATABASE'!$D$2:$D$500, A28, '01_MASTER_DATABASE'!$C$2:$C$500, "*80*")&gt;0, "✓", "✗")</f>
        <v/>
      </c>
      <c r="I28" s="112">
        <f>IF(COUNTIFS('01_MASTER_DATABASE'!$D$2:$D$500, A28, '01_MASTER_DATABASE'!$C$2:$C$500, "*83*")&gt;0, "✓", "✗")</f>
        <v/>
      </c>
      <c r="J28" s="112">
        <f>IF(COUNTIFS('01_MASTER_DATABASE'!$D$2:$D$500, A28, '01_MASTER_DATABASE'!$C$2:$C$500, "*93*")&gt;0, "✓", "✗")</f>
        <v/>
      </c>
      <c r="K28" s="112">
        <f>IF(COUNTIFS('01_MASTER_DATABASE'!$D$2:$D$500, A28, '01_MASTER_DATABASE'!$C$2:$C$500, "*95*")&gt;0, "✓", "✗")</f>
        <v/>
      </c>
      <c r="L28" s="112">
        <f>IF(COUNTIFS('01_MASTER_DATABASE'!$D$2:$D$500, A28, '01_MASTER_DATABASE'!$C$2:$C$500, "*115*")&gt;0, "✓", "✗")</f>
        <v/>
      </c>
      <c r="M28" s="112">
        <f>IF(COUNTIFS('01_MASTER_DATABASE'!$D$2:$D$500, A28, '01_MASTER_DATABASE'!$C$2:$C$500, "*120*")&gt;0, "✓", "✗")</f>
        <v/>
      </c>
      <c r="N28" s="112">
        <f>IF(COUNTIFS('01_MASTER_DATABASE'!$D$2:$D$500, A28, '01_MASTER_DATABASE'!$B$2:$B$500, "*Slim*")&gt;0, "✓", "✗")</f>
        <v/>
      </c>
      <c r="O28" s="112">
        <f>IF(COUNTIFS('01_MASTER_DATABASE'!$D$2:$D$500, A28, '01_MASTER_DATABASE'!$B$2:$B$500, "*Thermal*") + COUNTIFS('01_MASTER_DATABASE'!$D$2:$D$500, A28, '01_MASTER_DATABASE'!$B$2:$B$500, "*cầu*")&gt;0, "✓", "✗")</f>
        <v/>
      </c>
    </row>
    <row r="29" ht="25" customHeight="1">
      <c r="A29" s="111" t="inlineStr">
        <is>
          <t>PMA</t>
        </is>
      </c>
      <c r="B29" s="112">
        <f>IF(COUNTIFS('01_MASTER_DATABASE'!$D$2:$D$500, A29, '01_MASTER_DATABASE'!$C$2:$C$500, "*55*")&gt;0, "✓", "✗")</f>
        <v/>
      </c>
      <c r="C29" s="112">
        <f>IF(COUNTIFS('01_MASTER_DATABASE'!$D$2:$D$500, A29, '01_MASTER_DATABASE'!$C$2:$C$500, "*58*")&gt;0, "✓", "✗")</f>
        <v/>
      </c>
      <c r="D29" s="112">
        <f>IF(COUNTIFS('01_MASTER_DATABASE'!$D$2:$D$500, A29, '01_MASTER_DATABASE'!$C$2:$C$500, "*60*")&gt;0, "✓", "✗")</f>
        <v/>
      </c>
      <c r="E29" s="112">
        <f>IF(COUNTIFS('01_MASTER_DATABASE'!$D$2:$D$500, A29, '01_MASTER_DATABASE'!$C$2:$C$500, "*65*")&gt;0, "✓", "✗")</f>
        <v/>
      </c>
      <c r="F29" s="112">
        <f>IF(COUNTIFS('01_MASTER_DATABASE'!$D$2:$D$500, A29, '01_MASTER_DATABASE'!$C$2:$C$500, "*70*")&gt;0, "✓", "✗")</f>
        <v/>
      </c>
      <c r="G29" s="112">
        <f>IF(COUNTIFS('01_MASTER_DATABASE'!$D$2:$D$500, A29, '01_MASTER_DATABASE'!$C$2:$C$500, "*75*")&gt;0, "✓", "✗")</f>
        <v/>
      </c>
      <c r="H29" s="112">
        <f>IF(COUNTIFS('01_MASTER_DATABASE'!$D$2:$D$500, A29, '01_MASTER_DATABASE'!$C$2:$C$500, "*80*")&gt;0, "✓", "✗")</f>
        <v/>
      </c>
      <c r="I29" s="112">
        <f>IF(COUNTIFS('01_MASTER_DATABASE'!$D$2:$D$500, A29, '01_MASTER_DATABASE'!$C$2:$C$500, "*83*")&gt;0, "✓", "✗")</f>
        <v/>
      </c>
      <c r="J29" s="112">
        <f>IF(COUNTIFS('01_MASTER_DATABASE'!$D$2:$D$500, A29, '01_MASTER_DATABASE'!$C$2:$C$500, "*93*")&gt;0, "✓", "✗")</f>
        <v/>
      </c>
      <c r="K29" s="112">
        <f>IF(COUNTIFS('01_MASTER_DATABASE'!$D$2:$D$500, A29, '01_MASTER_DATABASE'!$C$2:$C$500, "*95*")&gt;0, "✓", "✗")</f>
        <v/>
      </c>
      <c r="L29" s="112">
        <f>IF(COUNTIFS('01_MASTER_DATABASE'!$D$2:$D$500, A29, '01_MASTER_DATABASE'!$C$2:$C$500, "*115*")&gt;0, "✓", "✗")</f>
        <v/>
      </c>
      <c r="M29" s="112">
        <f>IF(COUNTIFS('01_MASTER_DATABASE'!$D$2:$D$500, A29, '01_MASTER_DATABASE'!$C$2:$C$500, "*120*")&gt;0, "✓", "✗")</f>
        <v/>
      </c>
      <c r="N29" s="112">
        <f>IF(COUNTIFS('01_MASTER_DATABASE'!$D$2:$D$500, A29, '01_MASTER_DATABASE'!$B$2:$B$500, "*Slim*")&gt;0, "✓", "✗")</f>
        <v/>
      </c>
      <c r="O29" s="112">
        <f>IF(COUNTIFS('01_MASTER_DATABASE'!$D$2:$D$500, A29, '01_MASTER_DATABASE'!$B$2:$B$500, "*Thermal*") + COUNTIFS('01_MASTER_DATABASE'!$D$2:$D$500, A29, '01_MASTER_DATABASE'!$B$2:$B$500, "*cầu*")&gt;0, "✓", "✗")</f>
        <v/>
      </c>
    </row>
    <row r="30" ht="25" customHeight="1">
      <c r="A30" s="111" t="inlineStr">
        <is>
          <t>PMI</t>
        </is>
      </c>
      <c r="B30" s="112">
        <f>IF(COUNTIFS('01_MASTER_DATABASE'!$D$2:$D$500, A30, '01_MASTER_DATABASE'!$C$2:$C$500, "*55*")&gt;0, "✓", "✗")</f>
        <v/>
      </c>
      <c r="C30" s="112">
        <f>IF(COUNTIFS('01_MASTER_DATABASE'!$D$2:$D$500, A30, '01_MASTER_DATABASE'!$C$2:$C$500, "*58*")&gt;0, "✓", "✗")</f>
        <v/>
      </c>
      <c r="D30" s="112">
        <f>IF(COUNTIFS('01_MASTER_DATABASE'!$D$2:$D$500, A30, '01_MASTER_DATABASE'!$C$2:$C$500, "*60*")&gt;0, "✓", "✗")</f>
        <v/>
      </c>
      <c r="E30" s="112">
        <f>IF(COUNTIFS('01_MASTER_DATABASE'!$D$2:$D$500, A30, '01_MASTER_DATABASE'!$C$2:$C$500, "*65*")&gt;0, "✓", "✗")</f>
        <v/>
      </c>
      <c r="F30" s="112">
        <f>IF(COUNTIFS('01_MASTER_DATABASE'!$D$2:$D$500, A30, '01_MASTER_DATABASE'!$C$2:$C$500, "*70*")&gt;0, "✓", "✗")</f>
        <v/>
      </c>
      <c r="G30" s="112">
        <f>IF(COUNTIFS('01_MASTER_DATABASE'!$D$2:$D$500, A30, '01_MASTER_DATABASE'!$C$2:$C$500, "*75*")&gt;0, "✓", "✗")</f>
        <v/>
      </c>
      <c r="H30" s="112">
        <f>IF(COUNTIFS('01_MASTER_DATABASE'!$D$2:$D$500, A30, '01_MASTER_DATABASE'!$C$2:$C$500, "*80*")&gt;0, "✓", "✗")</f>
        <v/>
      </c>
      <c r="I30" s="112">
        <f>IF(COUNTIFS('01_MASTER_DATABASE'!$D$2:$D$500, A30, '01_MASTER_DATABASE'!$C$2:$C$500, "*83*")&gt;0, "✓", "✗")</f>
        <v/>
      </c>
      <c r="J30" s="112">
        <f>IF(COUNTIFS('01_MASTER_DATABASE'!$D$2:$D$500, A30, '01_MASTER_DATABASE'!$C$2:$C$500, "*93*")&gt;0, "✓", "✗")</f>
        <v/>
      </c>
      <c r="K30" s="112">
        <f>IF(COUNTIFS('01_MASTER_DATABASE'!$D$2:$D$500, A30, '01_MASTER_DATABASE'!$C$2:$C$500, "*95*")&gt;0, "✓", "✗")</f>
        <v/>
      </c>
      <c r="L30" s="112">
        <f>IF(COUNTIFS('01_MASTER_DATABASE'!$D$2:$D$500, A30, '01_MASTER_DATABASE'!$C$2:$C$500, "*115*")&gt;0, "✓", "✗")</f>
        <v/>
      </c>
      <c r="M30" s="112">
        <f>IF(COUNTIFS('01_MASTER_DATABASE'!$D$2:$D$500, A30, '01_MASTER_DATABASE'!$C$2:$C$500, "*120*")&gt;0, "✓", "✗")</f>
        <v/>
      </c>
      <c r="N30" s="112">
        <f>IF(COUNTIFS('01_MASTER_DATABASE'!$D$2:$D$500, A30, '01_MASTER_DATABASE'!$B$2:$B$500, "*Slim*")&gt;0, "✓", "✗")</f>
        <v/>
      </c>
      <c r="O30" s="112">
        <f>IF(COUNTIFS('01_MASTER_DATABASE'!$D$2:$D$500, A30, '01_MASTER_DATABASE'!$B$2:$B$500, "*Thermal*") + COUNTIFS('01_MASTER_DATABASE'!$D$2:$D$500, A30, '01_MASTER_DATABASE'!$B$2:$B$500, "*cầu*")&gt;0, "✓", "✗")</f>
        <v/>
      </c>
    </row>
    <row r="31" ht="25" customHeight="1">
      <c r="A31" s="111" t="inlineStr">
        <is>
          <t>Reynaers</t>
        </is>
      </c>
      <c r="B31" s="112">
        <f>IF(COUNTIFS('01_MASTER_DATABASE'!$D$2:$D$500, A31, '01_MASTER_DATABASE'!$C$2:$C$500, "*55*")&gt;0, "✓", "✗")</f>
        <v/>
      </c>
      <c r="C31" s="112">
        <f>IF(COUNTIFS('01_MASTER_DATABASE'!$D$2:$D$500, A31, '01_MASTER_DATABASE'!$C$2:$C$500, "*58*")&gt;0, "✓", "✗")</f>
        <v/>
      </c>
      <c r="D31" s="112">
        <f>IF(COUNTIFS('01_MASTER_DATABASE'!$D$2:$D$500, A31, '01_MASTER_DATABASE'!$C$2:$C$500, "*60*")&gt;0, "✓", "✗")</f>
        <v/>
      </c>
      <c r="E31" s="112">
        <f>IF(COUNTIFS('01_MASTER_DATABASE'!$D$2:$D$500, A31, '01_MASTER_DATABASE'!$C$2:$C$500, "*65*")&gt;0, "✓", "✗")</f>
        <v/>
      </c>
      <c r="F31" s="112">
        <f>IF(COUNTIFS('01_MASTER_DATABASE'!$D$2:$D$500, A31, '01_MASTER_DATABASE'!$C$2:$C$500, "*70*")&gt;0, "✓", "✗")</f>
        <v/>
      </c>
      <c r="G31" s="112">
        <f>IF(COUNTIFS('01_MASTER_DATABASE'!$D$2:$D$500, A31, '01_MASTER_DATABASE'!$C$2:$C$500, "*75*")&gt;0, "✓", "✗")</f>
        <v/>
      </c>
      <c r="H31" s="112">
        <f>IF(COUNTIFS('01_MASTER_DATABASE'!$D$2:$D$500, A31, '01_MASTER_DATABASE'!$C$2:$C$500, "*80*")&gt;0, "✓", "✗")</f>
        <v/>
      </c>
      <c r="I31" s="112">
        <f>IF(COUNTIFS('01_MASTER_DATABASE'!$D$2:$D$500, A31, '01_MASTER_DATABASE'!$C$2:$C$500, "*83*")&gt;0, "✓", "✗")</f>
        <v/>
      </c>
      <c r="J31" s="112">
        <f>IF(COUNTIFS('01_MASTER_DATABASE'!$D$2:$D$500, A31, '01_MASTER_DATABASE'!$C$2:$C$500, "*93*")&gt;0, "✓", "✗")</f>
        <v/>
      </c>
      <c r="K31" s="112">
        <f>IF(COUNTIFS('01_MASTER_DATABASE'!$D$2:$D$500, A31, '01_MASTER_DATABASE'!$C$2:$C$500, "*95*")&gt;0, "✓", "✗")</f>
        <v/>
      </c>
      <c r="L31" s="112">
        <f>IF(COUNTIFS('01_MASTER_DATABASE'!$D$2:$D$500, A31, '01_MASTER_DATABASE'!$C$2:$C$500, "*115*")&gt;0, "✓", "✗")</f>
        <v/>
      </c>
      <c r="M31" s="112">
        <f>IF(COUNTIFS('01_MASTER_DATABASE'!$D$2:$D$500, A31, '01_MASTER_DATABASE'!$C$2:$C$500, "*120*")&gt;0, "✓", "✗")</f>
        <v/>
      </c>
      <c r="N31" s="112">
        <f>IF(COUNTIFS('01_MASTER_DATABASE'!$D$2:$D$500, A31, '01_MASTER_DATABASE'!$B$2:$B$500, "*Slim*")&gt;0, "✓", "✗")</f>
        <v/>
      </c>
      <c r="O31" s="112">
        <f>IF(COUNTIFS('01_MASTER_DATABASE'!$D$2:$D$500, A31, '01_MASTER_DATABASE'!$B$2:$B$500, "*Thermal*") + COUNTIFS('01_MASTER_DATABASE'!$D$2:$D$500, A31, '01_MASTER_DATABASE'!$B$2:$B$500, "*cầu*")&gt;0, "✓", "✗")</f>
        <v/>
      </c>
    </row>
    <row r="32" ht="25" customHeight="1">
      <c r="A32" s="111" t="inlineStr">
        <is>
          <t>Schüco</t>
        </is>
      </c>
      <c r="B32" s="112">
        <f>IF(COUNTIFS('01_MASTER_DATABASE'!$D$2:$D$500, A32, '01_MASTER_DATABASE'!$C$2:$C$500, "*55*")&gt;0, "✓", "✗")</f>
        <v/>
      </c>
      <c r="C32" s="112">
        <f>IF(COUNTIFS('01_MASTER_DATABASE'!$D$2:$D$500, A32, '01_MASTER_DATABASE'!$C$2:$C$500, "*58*")&gt;0, "✓", "✗")</f>
        <v/>
      </c>
      <c r="D32" s="112">
        <f>IF(COUNTIFS('01_MASTER_DATABASE'!$D$2:$D$500, A32, '01_MASTER_DATABASE'!$C$2:$C$500, "*60*")&gt;0, "✓", "✗")</f>
        <v/>
      </c>
      <c r="E32" s="112">
        <f>IF(COUNTIFS('01_MASTER_DATABASE'!$D$2:$D$500, A32, '01_MASTER_DATABASE'!$C$2:$C$500, "*65*")&gt;0, "✓", "✗")</f>
        <v/>
      </c>
      <c r="F32" s="112">
        <f>IF(COUNTIFS('01_MASTER_DATABASE'!$D$2:$D$500, A32, '01_MASTER_DATABASE'!$C$2:$C$500, "*70*")&gt;0, "✓", "✗")</f>
        <v/>
      </c>
      <c r="G32" s="112">
        <f>IF(COUNTIFS('01_MASTER_DATABASE'!$D$2:$D$500, A32, '01_MASTER_DATABASE'!$C$2:$C$500, "*75*")&gt;0, "✓", "✗")</f>
        <v/>
      </c>
      <c r="H32" s="112">
        <f>IF(COUNTIFS('01_MASTER_DATABASE'!$D$2:$D$500, A32, '01_MASTER_DATABASE'!$C$2:$C$500, "*80*")&gt;0, "✓", "✗")</f>
        <v/>
      </c>
      <c r="I32" s="112">
        <f>IF(COUNTIFS('01_MASTER_DATABASE'!$D$2:$D$500, A32, '01_MASTER_DATABASE'!$C$2:$C$500, "*83*")&gt;0, "✓", "✗")</f>
        <v/>
      </c>
      <c r="J32" s="112">
        <f>IF(COUNTIFS('01_MASTER_DATABASE'!$D$2:$D$500, A32, '01_MASTER_DATABASE'!$C$2:$C$500, "*93*")&gt;0, "✓", "✗")</f>
        <v/>
      </c>
      <c r="K32" s="112">
        <f>IF(COUNTIFS('01_MASTER_DATABASE'!$D$2:$D$500, A32, '01_MASTER_DATABASE'!$C$2:$C$500, "*95*")&gt;0, "✓", "✗")</f>
        <v/>
      </c>
      <c r="L32" s="112">
        <f>IF(COUNTIFS('01_MASTER_DATABASE'!$D$2:$D$500, A32, '01_MASTER_DATABASE'!$C$2:$C$500, "*115*")&gt;0, "✓", "✗")</f>
        <v/>
      </c>
      <c r="M32" s="112">
        <f>IF(COUNTIFS('01_MASTER_DATABASE'!$D$2:$D$500, A32, '01_MASTER_DATABASE'!$C$2:$C$500, "*120*")&gt;0, "✓", "✗")</f>
        <v/>
      </c>
      <c r="N32" s="112">
        <f>IF(COUNTIFS('01_MASTER_DATABASE'!$D$2:$D$500, A32, '01_MASTER_DATABASE'!$B$2:$B$500, "*Slim*")&gt;0, "✓", "✗")</f>
        <v/>
      </c>
      <c r="O32" s="112">
        <f>IF(COUNTIFS('01_MASTER_DATABASE'!$D$2:$D$500, A32, '01_MASTER_DATABASE'!$B$2:$B$500, "*Thermal*") + COUNTIFS('01_MASTER_DATABASE'!$D$2:$D$500, A32, '01_MASTER_DATABASE'!$B$2:$B$500, "*cầu*")&gt;0, "✓", "✗")</f>
        <v/>
      </c>
    </row>
    <row r="33" ht="25" customHeight="1">
      <c r="A33" s="111" t="inlineStr">
        <is>
          <t>Soco</t>
        </is>
      </c>
      <c r="B33" s="112">
        <f>IF(COUNTIFS('01_MASTER_DATABASE'!$D$2:$D$500, A33, '01_MASTER_DATABASE'!$C$2:$C$500, "*55*")&gt;0, "✓", "✗")</f>
        <v/>
      </c>
      <c r="C33" s="112">
        <f>IF(COUNTIFS('01_MASTER_DATABASE'!$D$2:$D$500, A33, '01_MASTER_DATABASE'!$C$2:$C$500, "*58*")&gt;0, "✓", "✗")</f>
        <v/>
      </c>
      <c r="D33" s="112">
        <f>IF(COUNTIFS('01_MASTER_DATABASE'!$D$2:$D$500, A33, '01_MASTER_DATABASE'!$C$2:$C$500, "*60*")&gt;0, "✓", "✗")</f>
        <v/>
      </c>
      <c r="E33" s="112">
        <f>IF(COUNTIFS('01_MASTER_DATABASE'!$D$2:$D$500, A33, '01_MASTER_DATABASE'!$C$2:$C$500, "*65*")&gt;0, "✓", "✗")</f>
        <v/>
      </c>
      <c r="F33" s="112">
        <f>IF(COUNTIFS('01_MASTER_DATABASE'!$D$2:$D$500, A33, '01_MASTER_DATABASE'!$C$2:$C$500, "*70*")&gt;0, "✓", "✗")</f>
        <v/>
      </c>
      <c r="G33" s="112">
        <f>IF(COUNTIFS('01_MASTER_DATABASE'!$D$2:$D$500, A33, '01_MASTER_DATABASE'!$C$2:$C$500, "*75*")&gt;0, "✓", "✗")</f>
        <v/>
      </c>
      <c r="H33" s="112">
        <f>IF(COUNTIFS('01_MASTER_DATABASE'!$D$2:$D$500, A33, '01_MASTER_DATABASE'!$C$2:$C$500, "*80*")&gt;0, "✓", "✗")</f>
        <v/>
      </c>
      <c r="I33" s="112">
        <f>IF(COUNTIFS('01_MASTER_DATABASE'!$D$2:$D$500, A33, '01_MASTER_DATABASE'!$C$2:$C$500, "*83*")&gt;0, "✓", "✗")</f>
        <v/>
      </c>
      <c r="J33" s="112">
        <f>IF(COUNTIFS('01_MASTER_DATABASE'!$D$2:$D$500, A33, '01_MASTER_DATABASE'!$C$2:$C$500, "*93*")&gt;0, "✓", "✗")</f>
        <v/>
      </c>
      <c r="K33" s="112">
        <f>IF(COUNTIFS('01_MASTER_DATABASE'!$D$2:$D$500, A33, '01_MASTER_DATABASE'!$C$2:$C$500, "*95*")&gt;0, "✓", "✗")</f>
        <v/>
      </c>
      <c r="L33" s="112">
        <f>IF(COUNTIFS('01_MASTER_DATABASE'!$D$2:$D$500, A33, '01_MASTER_DATABASE'!$C$2:$C$500, "*115*")&gt;0, "✓", "✗")</f>
        <v/>
      </c>
      <c r="M33" s="112">
        <f>IF(COUNTIFS('01_MASTER_DATABASE'!$D$2:$D$500, A33, '01_MASTER_DATABASE'!$C$2:$C$500, "*120*")&gt;0, "✓", "✗")</f>
        <v/>
      </c>
      <c r="N33" s="112">
        <f>IF(COUNTIFS('01_MASTER_DATABASE'!$D$2:$D$500, A33, '01_MASTER_DATABASE'!$B$2:$B$500, "*Slim*")&gt;0, "✓", "✗")</f>
        <v/>
      </c>
      <c r="O33" s="112">
        <f>IF(COUNTIFS('01_MASTER_DATABASE'!$D$2:$D$500, A33, '01_MASTER_DATABASE'!$B$2:$B$500, "*Thermal*") + COUNTIFS('01_MASTER_DATABASE'!$D$2:$D$500, A33, '01_MASTER_DATABASE'!$B$2:$B$500, "*cầu*")&gt;0, "✓", "✗")</f>
        <v/>
      </c>
    </row>
    <row r="34" ht="25" customHeight="1">
      <c r="A34" s="111" t="inlineStr">
        <is>
          <t>Soco/Local</t>
        </is>
      </c>
      <c r="B34" s="112">
        <f>IF(COUNTIFS('01_MASTER_DATABASE'!$D$2:$D$500, A34, '01_MASTER_DATABASE'!$C$2:$C$500, "*55*")&gt;0, "✓", "✗")</f>
        <v/>
      </c>
      <c r="C34" s="112">
        <f>IF(COUNTIFS('01_MASTER_DATABASE'!$D$2:$D$500, A34, '01_MASTER_DATABASE'!$C$2:$C$500, "*58*")&gt;0, "✓", "✗")</f>
        <v/>
      </c>
      <c r="D34" s="112">
        <f>IF(COUNTIFS('01_MASTER_DATABASE'!$D$2:$D$500, A34, '01_MASTER_DATABASE'!$C$2:$C$500, "*60*")&gt;0, "✓", "✗")</f>
        <v/>
      </c>
      <c r="E34" s="112">
        <f>IF(COUNTIFS('01_MASTER_DATABASE'!$D$2:$D$500, A34, '01_MASTER_DATABASE'!$C$2:$C$500, "*65*")&gt;0, "✓", "✗")</f>
        <v/>
      </c>
      <c r="F34" s="112">
        <f>IF(COUNTIFS('01_MASTER_DATABASE'!$D$2:$D$500, A34, '01_MASTER_DATABASE'!$C$2:$C$500, "*70*")&gt;0, "✓", "✗")</f>
        <v/>
      </c>
      <c r="G34" s="112">
        <f>IF(COUNTIFS('01_MASTER_DATABASE'!$D$2:$D$500, A34, '01_MASTER_DATABASE'!$C$2:$C$500, "*75*")&gt;0, "✓", "✗")</f>
        <v/>
      </c>
      <c r="H34" s="112">
        <f>IF(COUNTIFS('01_MASTER_DATABASE'!$D$2:$D$500, A34, '01_MASTER_DATABASE'!$C$2:$C$500, "*80*")&gt;0, "✓", "✗")</f>
        <v/>
      </c>
      <c r="I34" s="112">
        <f>IF(COUNTIFS('01_MASTER_DATABASE'!$D$2:$D$500, A34, '01_MASTER_DATABASE'!$C$2:$C$500, "*83*")&gt;0, "✓", "✗")</f>
        <v/>
      </c>
      <c r="J34" s="112">
        <f>IF(COUNTIFS('01_MASTER_DATABASE'!$D$2:$D$500, A34, '01_MASTER_DATABASE'!$C$2:$C$500, "*93*")&gt;0, "✓", "✗")</f>
        <v/>
      </c>
      <c r="K34" s="112">
        <f>IF(COUNTIFS('01_MASTER_DATABASE'!$D$2:$D$500, A34, '01_MASTER_DATABASE'!$C$2:$C$500, "*95*")&gt;0, "✓", "✗")</f>
        <v/>
      </c>
      <c r="L34" s="112">
        <f>IF(COUNTIFS('01_MASTER_DATABASE'!$D$2:$D$500, A34, '01_MASTER_DATABASE'!$C$2:$C$500, "*115*")&gt;0, "✓", "✗")</f>
        <v/>
      </c>
      <c r="M34" s="112">
        <f>IF(COUNTIFS('01_MASTER_DATABASE'!$D$2:$D$500, A34, '01_MASTER_DATABASE'!$C$2:$C$500, "*120*")&gt;0, "✓", "✗")</f>
        <v/>
      </c>
      <c r="N34" s="112">
        <f>IF(COUNTIFS('01_MASTER_DATABASE'!$D$2:$D$500, A34, '01_MASTER_DATABASE'!$B$2:$B$500, "*Slim*")&gt;0, "✓", "✗")</f>
        <v/>
      </c>
      <c r="O34" s="112">
        <f>IF(COUNTIFS('01_MASTER_DATABASE'!$D$2:$D$500, A34, '01_MASTER_DATABASE'!$B$2:$B$500, "*Thermal*") + COUNTIFS('01_MASTER_DATABASE'!$D$2:$D$500, A34, '01_MASTER_DATABASE'!$B$2:$B$500, "*cầu*")&gt;0, "✓", "✗")</f>
        <v/>
      </c>
    </row>
    <row r="35" ht="25" customHeight="1">
      <c r="A35" s="111" t="inlineStr">
        <is>
          <t>Soco/Maxpro/Civro</t>
        </is>
      </c>
      <c r="B35" s="112">
        <f>IF(COUNTIFS('01_MASTER_DATABASE'!$D$2:$D$500, A35, '01_MASTER_DATABASE'!$C$2:$C$500, "*55*")&gt;0, "✓", "✗")</f>
        <v/>
      </c>
      <c r="C35" s="112">
        <f>IF(COUNTIFS('01_MASTER_DATABASE'!$D$2:$D$500, A35, '01_MASTER_DATABASE'!$C$2:$C$500, "*58*")&gt;0, "✓", "✗")</f>
        <v/>
      </c>
      <c r="D35" s="112">
        <f>IF(COUNTIFS('01_MASTER_DATABASE'!$D$2:$D$500, A35, '01_MASTER_DATABASE'!$C$2:$C$500, "*60*")&gt;0, "✓", "✗")</f>
        <v/>
      </c>
      <c r="E35" s="112">
        <f>IF(COUNTIFS('01_MASTER_DATABASE'!$D$2:$D$500, A35, '01_MASTER_DATABASE'!$C$2:$C$500, "*65*")&gt;0, "✓", "✗")</f>
        <v/>
      </c>
      <c r="F35" s="112">
        <f>IF(COUNTIFS('01_MASTER_DATABASE'!$D$2:$D$500, A35, '01_MASTER_DATABASE'!$C$2:$C$500, "*70*")&gt;0, "✓", "✗")</f>
        <v/>
      </c>
      <c r="G35" s="112">
        <f>IF(COUNTIFS('01_MASTER_DATABASE'!$D$2:$D$500, A35, '01_MASTER_DATABASE'!$C$2:$C$500, "*75*")&gt;0, "✓", "✗")</f>
        <v/>
      </c>
      <c r="H35" s="112">
        <f>IF(COUNTIFS('01_MASTER_DATABASE'!$D$2:$D$500, A35, '01_MASTER_DATABASE'!$C$2:$C$500, "*80*")&gt;0, "✓", "✗")</f>
        <v/>
      </c>
      <c r="I35" s="112">
        <f>IF(COUNTIFS('01_MASTER_DATABASE'!$D$2:$D$500, A35, '01_MASTER_DATABASE'!$C$2:$C$500, "*83*")&gt;0, "✓", "✗")</f>
        <v/>
      </c>
      <c r="J35" s="112">
        <f>IF(COUNTIFS('01_MASTER_DATABASE'!$D$2:$D$500, A35, '01_MASTER_DATABASE'!$C$2:$C$500, "*93*")&gt;0, "✓", "✗")</f>
        <v/>
      </c>
      <c r="K35" s="112">
        <f>IF(COUNTIFS('01_MASTER_DATABASE'!$D$2:$D$500, A35, '01_MASTER_DATABASE'!$C$2:$C$500, "*95*")&gt;0, "✓", "✗")</f>
        <v/>
      </c>
      <c r="L35" s="112">
        <f>IF(COUNTIFS('01_MASTER_DATABASE'!$D$2:$D$500, A35, '01_MASTER_DATABASE'!$C$2:$C$500, "*115*")&gt;0, "✓", "✗")</f>
        <v/>
      </c>
      <c r="M35" s="112">
        <f>IF(COUNTIFS('01_MASTER_DATABASE'!$D$2:$D$500, A35, '01_MASTER_DATABASE'!$C$2:$C$500, "*120*")&gt;0, "✓", "✗")</f>
        <v/>
      </c>
      <c r="N35" s="112">
        <f>IF(COUNTIFS('01_MASTER_DATABASE'!$D$2:$D$500, A35, '01_MASTER_DATABASE'!$B$2:$B$500, "*Slim*")&gt;0, "✓", "✗")</f>
        <v/>
      </c>
      <c r="O35" s="112">
        <f>IF(COUNTIFS('01_MASTER_DATABASE'!$D$2:$D$500, A35, '01_MASTER_DATABASE'!$B$2:$B$500, "*Thermal*") + COUNTIFS('01_MASTER_DATABASE'!$D$2:$D$500, A35, '01_MASTER_DATABASE'!$B$2:$B$500, "*cầu*")&gt;0, "✓", "✗")</f>
        <v/>
      </c>
    </row>
    <row r="36" ht="25" customHeight="1">
      <c r="A36" s="111" t="inlineStr">
        <is>
          <t>Topal</t>
        </is>
      </c>
      <c r="B36" s="112">
        <f>IF(COUNTIFS('01_MASTER_DATABASE'!$D$2:$D$500, A36, '01_MASTER_DATABASE'!$C$2:$C$500, "*55*")&gt;0, "✓", "✗")</f>
        <v/>
      </c>
      <c r="C36" s="112">
        <f>IF(COUNTIFS('01_MASTER_DATABASE'!$D$2:$D$500, A36, '01_MASTER_DATABASE'!$C$2:$C$500, "*58*")&gt;0, "✓", "✗")</f>
        <v/>
      </c>
      <c r="D36" s="112">
        <f>IF(COUNTIFS('01_MASTER_DATABASE'!$D$2:$D$500, A36, '01_MASTER_DATABASE'!$C$2:$C$500, "*60*")&gt;0, "✓", "✗")</f>
        <v/>
      </c>
      <c r="E36" s="112">
        <f>IF(COUNTIFS('01_MASTER_DATABASE'!$D$2:$D$500, A36, '01_MASTER_DATABASE'!$C$2:$C$500, "*65*")&gt;0, "✓", "✗")</f>
        <v/>
      </c>
      <c r="F36" s="112">
        <f>IF(COUNTIFS('01_MASTER_DATABASE'!$D$2:$D$500, A36, '01_MASTER_DATABASE'!$C$2:$C$500, "*70*")&gt;0, "✓", "✗")</f>
        <v/>
      </c>
      <c r="G36" s="112">
        <f>IF(COUNTIFS('01_MASTER_DATABASE'!$D$2:$D$500, A36, '01_MASTER_DATABASE'!$C$2:$C$500, "*75*")&gt;0, "✓", "✗")</f>
        <v/>
      </c>
      <c r="H36" s="112">
        <f>IF(COUNTIFS('01_MASTER_DATABASE'!$D$2:$D$500, A36, '01_MASTER_DATABASE'!$C$2:$C$500, "*80*")&gt;0, "✓", "✗")</f>
        <v/>
      </c>
      <c r="I36" s="112">
        <f>IF(COUNTIFS('01_MASTER_DATABASE'!$D$2:$D$500, A36, '01_MASTER_DATABASE'!$C$2:$C$500, "*83*")&gt;0, "✓", "✗")</f>
        <v/>
      </c>
      <c r="J36" s="112">
        <f>IF(COUNTIFS('01_MASTER_DATABASE'!$D$2:$D$500, A36, '01_MASTER_DATABASE'!$C$2:$C$500, "*93*")&gt;0, "✓", "✗")</f>
        <v/>
      </c>
      <c r="K36" s="112">
        <f>IF(COUNTIFS('01_MASTER_DATABASE'!$D$2:$D$500, A36, '01_MASTER_DATABASE'!$C$2:$C$500, "*95*")&gt;0, "✓", "✗")</f>
        <v/>
      </c>
      <c r="L36" s="112">
        <f>IF(COUNTIFS('01_MASTER_DATABASE'!$D$2:$D$500, A36, '01_MASTER_DATABASE'!$C$2:$C$500, "*115*")&gt;0, "✓", "✗")</f>
        <v/>
      </c>
      <c r="M36" s="112">
        <f>IF(COUNTIFS('01_MASTER_DATABASE'!$D$2:$D$500, A36, '01_MASTER_DATABASE'!$C$2:$C$500, "*120*")&gt;0, "✓", "✗")</f>
        <v/>
      </c>
      <c r="N36" s="112">
        <f>IF(COUNTIFS('01_MASTER_DATABASE'!$D$2:$D$500, A36, '01_MASTER_DATABASE'!$B$2:$B$500, "*Slim*")&gt;0, "✓", "✗")</f>
        <v/>
      </c>
      <c r="O36" s="112">
        <f>IF(COUNTIFS('01_MASTER_DATABASE'!$D$2:$D$500, A36, '01_MASTER_DATABASE'!$B$2:$B$500, "*Thermal*") + COUNTIFS('01_MASTER_DATABASE'!$D$2:$D$500, A36, '01_MASTER_DATABASE'!$B$2:$B$500, "*cầu*")&gt;0, "✓", "✗")</f>
        <v/>
      </c>
    </row>
    <row r="37" ht="25" customHeight="1">
      <c r="A37" s="111" t="inlineStr">
        <is>
          <t>Viralwindow</t>
        </is>
      </c>
      <c r="B37" s="112">
        <f>IF(COUNTIFS('01_MASTER_DATABASE'!$D$2:$D$500, A37, '01_MASTER_DATABASE'!$C$2:$C$500, "*55*")&gt;0, "✓", "✗")</f>
        <v/>
      </c>
      <c r="C37" s="112">
        <f>IF(COUNTIFS('01_MASTER_DATABASE'!$D$2:$D$500, A37, '01_MASTER_DATABASE'!$C$2:$C$500, "*58*")&gt;0, "✓", "✗")</f>
        <v/>
      </c>
      <c r="D37" s="112">
        <f>IF(COUNTIFS('01_MASTER_DATABASE'!$D$2:$D$500, A37, '01_MASTER_DATABASE'!$C$2:$C$500, "*60*")&gt;0, "✓", "✗")</f>
        <v/>
      </c>
      <c r="E37" s="112">
        <f>IF(COUNTIFS('01_MASTER_DATABASE'!$D$2:$D$500, A37, '01_MASTER_DATABASE'!$C$2:$C$500, "*65*")&gt;0, "✓", "✗")</f>
        <v/>
      </c>
      <c r="F37" s="112">
        <f>IF(COUNTIFS('01_MASTER_DATABASE'!$D$2:$D$500, A37, '01_MASTER_DATABASE'!$C$2:$C$500, "*70*")&gt;0, "✓", "✗")</f>
        <v/>
      </c>
      <c r="G37" s="112">
        <f>IF(COUNTIFS('01_MASTER_DATABASE'!$D$2:$D$500, A37, '01_MASTER_DATABASE'!$C$2:$C$500, "*75*")&gt;0, "✓", "✗")</f>
        <v/>
      </c>
      <c r="H37" s="112">
        <f>IF(COUNTIFS('01_MASTER_DATABASE'!$D$2:$D$500, A37, '01_MASTER_DATABASE'!$C$2:$C$500, "*80*")&gt;0, "✓", "✗")</f>
        <v/>
      </c>
      <c r="I37" s="112">
        <f>IF(COUNTIFS('01_MASTER_DATABASE'!$D$2:$D$500, A37, '01_MASTER_DATABASE'!$C$2:$C$500, "*83*")&gt;0, "✓", "✗")</f>
        <v/>
      </c>
      <c r="J37" s="112">
        <f>IF(COUNTIFS('01_MASTER_DATABASE'!$D$2:$D$500, A37, '01_MASTER_DATABASE'!$C$2:$C$500, "*93*")&gt;0, "✓", "✗")</f>
        <v/>
      </c>
      <c r="K37" s="112">
        <f>IF(COUNTIFS('01_MASTER_DATABASE'!$D$2:$D$500, A37, '01_MASTER_DATABASE'!$C$2:$C$500, "*95*")&gt;0, "✓", "✗")</f>
        <v/>
      </c>
      <c r="L37" s="112">
        <f>IF(COUNTIFS('01_MASTER_DATABASE'!$D$2:$D$500, A37, '01_MASTER_DATABASE'!$C$2:$C$500, "*115*")&gt;0, "✓", "✗")</f>
        <v/>
      </c>
      <c r="M37" s="112">
        <f>IF(COUNTIFS('01_MASTER_DATABASE'!$D$2:$D$500, A37, '01_MASTER_DATABASE'!$C$2:$C$500, "*120*")&gt;0, "✓", "✗")</f>
        <v/>
      </c>
      <c r="N37" s="112">
        <f>IF(COUNTIFS('01_MASTER_DATABASE'!$D$2:$D$500, A37, '01_MASTER_DATABASE'!$B$2:$B$500, "*Slim*")&gt;0, "✓", "✗")</f>
        <v/>
      </c>
      <c r="O37" s="112">
        <f>IF(COUNTIFS('01_MASTER_DATABASE'!$D$2:$D$500, A37, '01_MASTER_DATABASE'!$B$2:$B$500, "*Thermal*") + COUNTIFS('01_MASTER_DATABASE'!$D$2:$D$500, A37, '01_MASTER_DATABASE'!$B$2:$B$500, "*cầu*")&gt;0, "✓", "✗")</f>
        <v/>
      </c>
    </row>
    <row r="38" ht="25" customHeight="1">
      <c r="A38" s="111" t="inlineStr">
        <is>
          <t>Vitrocsa/Local</t>
        </is>
      </c>
      <c r="B38" s="112">
        <f>IF(COUNTIFS('01_MASTER_DATABASE'!$D$2:$D$500, A38, '01_MASTER_DATABASE'!$C$2:$C$500, "*55*")&gt;0, "✓", "✗")</f>
        <v/>
      </c>
      <c r="C38" s="112">
        <f>IF(COUNTIFS('01_MASTER_DATABASE'!$D$2:$D$500, A38, '01_MASTER_DATABASE'!$C$2:$C$500, "*58*")&gt;0, "✓", "✗")</f>
        <v/>
      </c>
      <c r="D38" s="112">
        <f>IF(COUNTIFS('01_MASTER_DATABASE'!$D$2:$D$500, A38, '01_MASTER_DATABASE'!$C$2:$C$500, "*60*")&gt;0, "✓", "✗")</f>
        <v/>
      </c>
      <c r="E38" s="112">
        <f>IF(COUNTIFS('01_MASTER_DATABASE'!$D$2:$D$500, A38, '01_MASTER_DATABASE'!$C$2:$C$500, "*65*")&gt;0, "✓", "✗")</f>
        <v/>
      </c>
      <c r="F38" s="112">
        <f>IF(COUNTIFS('01_MASTER_DATABASE'!$D$2:$D$500, A38, '01_MASTER_DATABASE'!$C$2:$C$500, "*70*")&gt;0, "✓", "✗")</f>
        <v/>
      </c>
      <c r="G38" s="112">
        <f>IF(COUNTIFS('01_MASTER_DATABASE'!$D$2:$D$500, A38, '01_MASTER_DATABASE'!$C$2:$C$500, "*75*")&gt;0, "✓", "✗")</f>
        <v/>
      </c>
      <c r="H38" s="112">
        <f>IF(COUNTIFS('01_MASTER_DATABASE'!$D$2:$D$500, A38, '01_MASTER_DATABASE'!$C$2:$C$500, "*80*")&gt;0, "✓", "✗")</f>
        <v/>
      </c>
      <c r="I38" s="112">
        <f>IF(COUNTIFS('01_MASTER_DATABASE'!$D$2:$D$500, A38, '01_MASTER_DATABASE'!$C$2:$C$500, "*83*")&gt;0, "✓", "✗")</f>
        <v/>
      </c>
      <c r="J38" s="112">
        <f>IF(COUNTIFS('01_MASTER_DATABASE'!$D$2:$D$500, A38, '01_MASTER_DATABASE'!$C$2:$C$500, "*93*")&gt;0, "✓", "✗")</f>
        <v/>
      </c>
      <c r="K38" s="112">
        <f>IF(COUNTIFS('01_MASTER_DATABASE'!$D$2:$D$500, A38, '01_MASTER_DATABASE'!$C$2:$C$500, "*95*")&gt;0, "✓", "✗")</f>
        <v/>
      </c>
      <c r="L38" s="112">
        <f>IF(COUNTIFS('01_MASTER_DATABASE'!$D$2:$D$500, A38, '01_MASTER_DATABASE'!$C$2:$C$500, "*115*")&gt;0, "✓", "✗")</f>
        <v/>
      </c>
      <c r="M38" s="112">
        <f>IF(COUNTIFS('01_MASTER_DATABASE'!$D$2:$D$500, A38, '01_MASTER_DATABASE'!$C$2:$C$500, "*120*")&gt;0, "✓", "✗")</f>
        <v/>
      </c>
      <c r="N38" s="112">
        <f>IF(COUNTIFS('01_MASTER_DATABASE'!$D$2:$D$500, A38, '01_MASTER_DATABASE'!$B$2:$B$500, "*Slim*")&gt;0, "✓", "✗")</f>
        <v/>
      </c>
      <c r="O38" s="112">
        <f>IF(COUNTIFS('01_MASTER_DATABASE'!$D$2:$D$500, A38, '01_MASTER_DATABASE'!$B$2:$B$500, "*Thermal*") + COUNTIFS('01_MASTER_DATABASE'!$D$2:$D$500, A38, '01_MASTER_DATABASE'!$B$2:$B$500, "*cầu*")&gt;0, "✓", "✗")</f>
        <v/>
      </c>
    </row>
    <row r="39" ht="25" customHeight="1">
      <c r="A39" s="111" t="inlineStr">
        <is>
          <t>Việt Pháp</t>
        </is>
      </c>
      <c r="B39" s="112">
        <f>IF(COUNTIFS('01_MASTER_DATABASE'!$D$2:$D$500, A39, '01_MASTER_DATABASE'!$C$2:$C$500, "*55*")&gt;0, "✓", "✗")</f>
        <v/>
      </c>
      <c r="C39" s="112">
        <f>IF(COUNTIFS('01_MASTER_DATABASE'!$D$2:$D$500, A39, '01_MASTER_DATABASE'!$C$2:$C$500, "*58*")&gt;0, "✓", "✗")</f>
        <v/>
      </c>
      <c r="D39" s="112">
        <f>IF(COUNTIFS('01_MASTER_DATABASE'!$D$2:$D$500, A39, '01_MASTER_DATABASE'!$C$2:$C$500, "*60*")&gt;0, "✓", "✗")</f>
        <v/>
      </c>
      <c r="E39" s="112">
        <f>IF(COUNTIFS('01_MASTER_DATABASE'!$D$2:$D$500, A39, '01_MASTER_DATABASE'!$C$2:$C$500, "*65*")&gt;0, "✓", "✗")</f>
        <v/>
      </c>
      <c r="F39" s="112">
        <f>IF(COUNTIFS('01_MASTER_DATABASE'!$D$2:$D$500, A39, '01_MASTER_DATABASE'!$C$2:$C$500, "*70*")&gt;0, "✓", "✗")</f>
        <v/>
      </c>
      <c r="G39" s="112">
        <f>IF(COUNTIFS('01_MASTER_DATABASE'!$D$2:$D$500, A39, '01_MASTER_DATABASE'!$C$2:$C$500, "*75*")&gt;0, "✓", "✗")</f>
        <v/>
      </c>
      <c r="H39" s="112">
        <f>IF(COUNTIFS('01_MASTER_DATABASE'!$D$2:$D$500, A39, '01_MASTER_DATABASE'!$C$2:$C$500, "*80*")&gt;0, "✓", "✗")</f>
        <v/>
      </c>
      <c r="I39" s="112">
        <f>IF(COUNTIFS('01_MASTER_DATABASE'!$D$2:$D$500, A39, '01_MASTER_DATABASE'!$C$2:$C$500, "*83*")&gt;0, "✓", "✗")</f>
        <v/>
      </c>
      <c r="J39" s="112">
        <f>IF(COUNTIFS('01_MASTER_DATABASE'!$D$2:$D$500, A39, '01_MASTER_DATABASE'!$C$2:$C$500, "*93*")&gt;0, "✓", "✗")</f>
        <v/>
      </c>
      <c r="K39" s="112">
        <f>IF(COUNTIFS('01_MASTER_DATABASE'!$D$2:$D$500, A39, '01_MASTER_DATABASE'!$C$2:$C$500, "*95*")&gt;0, "✓", "✗")</f>
        <v/>
      </c>
      <c r="L39" s="112">
        <f>IF(COUNTIFS('01_MASTER_DATABASE'!$D$2:$D$500, A39, '01_MASTER_DATABASE'!$C$2:$C$500, "*115*")&gt;0, "✓", "✗")</f>
        <v/>
      </c>
      <c r="M39" s="112">
        <f>IF(COUNTIFS('01_MASTER_DATABASE'!$D$2:$D$500, A39, '01_MASTER_DATABASE'!$C$2:$C$500, "*120*")&gt;0, "✓", "✗")</f>
        <v/>
      </c>
      <c r="N39" s="112">
        <f>IF(COUNTIFS('01_MASTER_DATABASE'!$D$2:$D$500, A39, '01_MASTER_DATABASE'!$B$2:$B$500, "*Slim*")&gt;0, "✓", "✗")</f>
        <v/>
      </c>
      <c r="O39" s="112">
        <f>IF(COUNTIFS('01_MASTER_DATABASE'!$D$2:$D$500, A39, '01_MASTER_DATABASE'!$B$2:$B$500, "*Thermal*") + COUNTIFS('01_MASTER_DATABASE'!$D$2:$D$500, A39, '01_MASTER_DATABASE'!$B$2:$B$500, "*cầu*")&gt;0, "✓", "✗")</f>
        <v/>
      </c>
    </row>
    <row r="40" ht="25" customHeight="1">
      <c r="A40" s="111" t="inlineStr">
        <is>
          <t>Việt Ý</t>
        </is>
      </c>
      <c r="B40" s="112">
        <f>IF(COUNTIFS('01_MASTER_DATABASE'!$D$2:$D$500, A40, '01_MASTER_DATABASE'!$C$2:$C$500, "*55*")&gt;0, "✓", "✗")</f>
        <v/>
      </c>
      <c r="C40" s="112">
        <f>IF(COUNTIFS('01_MASTER_DATABASE'!$D$2:$D$500, A40, '01_MASTER_DATABASE'!$C$2:$C$500, "*58*")&gt;0, "✓", "✗")</f>
        <v/>
      </c>
      <c r="D40" s="112">
        <f>IF(COUNTIFS('01_MASTER_DATABASE'!$D$2:$D$500, A40, '01_MASTER_DATABASE'!$C$2:$C$500, "*60*")&gt;0, "✓", "✗")</f>
        <v/>
      </c>
      <c r="E40" s="112">
        <f>IF(COUNTIFS('01_MASTER_DATABASE'!$D$2:$D$500, A40, '01_MASTER_DATABASE'!$C$2:$C$500, "*65*")&gt;0, "✓", "✗")</f>
        <v/>
      </c>
      <c r="F40" s="112">
        <f>IF(COUNTIFS('01_MASTER_DATABASE'!$D$2:$D$500, A40, '01_MASTER_DATABASE'!$C$2:$C$500, "*70*")&gt;0, "✓", "✗")</f>
        <v/>
      </c>
      <c r="G40" s="112">
        <f>IF(COUNTIFS('01_MASTER_DATABASE'!$D$2:$D$500, A40, '01_MASTER_DATABASE'!$C$2:$C$500, "*75*")&gt;0, "✓", "✗")</f>
        <v/>
      </c>
      <c r="H40" s="112">
        <f>IF(COUNTIFS('01_MASTER_DATABASE'!$D$2:$D$500, A40, '01_MASTER_DATABASE'!$C$2:$C$500, "*80*")&gt;0, "✓", "✗")</f>
        <v/>
      </c>
      <c r="I40" s="112">
        <f>IF(COUNTIFS('01_MASTER_DATABASE'!$D$2:$D$500, A40, '01_MASTER_DATABASE'!$C$2:$C$500, "*83*")&gt;0, "✓", "✗")</f>
        <v/>
      </c>
      <c r="J40" s="112">
        <f>IF(COUNTIFS('01_MASTER_DATABASE'!$D$2:$D$500, A40, '01_MASTER_DATABASE'!$C$2:$C$500, "*93*")&gt;0, "✓", "✗")</f>
        <v/>
      </c>
      <c r="K40" s="112">
        <f>IF(COUNTIFS('01_MASTER_DATABASE'!$D$2:$D$500, A40, '01_MASTER_DATABASE'!$C$2:$C$500, "*95*")&gt;0, "✓", "✗")</f>
        <v/>
      </c>
      <c r="L40" s="112">
        <f>IF(COUNTIFS('01_MASTER_DATABASE'!$D$2:$D$500, A40, '01_MASTER_DATABASE'!$C$2:$C$500, "*115*")&gt;0, "✓", "✗")</f>
        <v/>
      </c>
      <c r="M40" s="112">
        <f>IF(COUNTIFS('01_MASTER_DATABASE'!$D$2:$D$500, A40, '01_MASTER_DATABASE'!$C$2:$C$500, "*120*")&gt;0, "✓", "✗")</f>
        <v/>
      </c>
      <c r="N40" s="112">
        <f>IF(COUNTIFS('01_MASTER_DATABASE'!$D$2:$D$500, A40, '01_MASTER_DATABASE'!$B$2:$B$500, "*Slim*")&gt;0, "✓", "✗")</f>
        <v/>
      </c>
      <c r="O40" s="112">
        <f>IF(COUNTIFS('01_MASTER_DATABASE'!$D$2:$D$500, A40, '01_MASTER_DATABASE'!$B$2:$B$500, "*Thermal*") + COUNTIFS('01_MASTER_DATABASE'!$D$2:$D$500, A40, '01_MASTER_DATABASE'!$B$2:$B$500, "*cầu*")&gt;0, "✓", "✗")</f>
        <v/>
      </c>
    </row>
    <row r="41" ht="25" customHeight="1">
      <c r="A41" s="111" t="inlineStr">
        <is>
          <t>Xingfa</t>
        </is>
      </c>
      <c r="B41" s="112">
        <f>IF(COUNTIFS('01_MASTER_DATABASE'!$D$2:$D$500, A41, '01_MASTER_DATABASE'!$C$2:$C$500, "*55*")&gt;0, "✓", "✗")</f>
        <v/>
      </c>
      <c r="C41" s="112">
        <f>IF(COUNTIFS('01_MASTER_DATABASE'!$D$2:$D$500, A41, '01_MASTER_DATABASE'!$C$2:$C$500, "*58*")&gt;0, "✓", "✗")</f>
        <v/>
      </c>
      <c r="D41" s="112">
        <f>IF(COUNTIFS('01_MASTER_DATABASE'!$D$2:$D$500, A41, '01_MASTER_DATABASE'!$C$2:$C$500, "*60*")&gt;0, "✓", "✗")</f>
        <v/>
      </c>
      <c r="E41" s="112">
        <f>IF(COUNTIFS('01_MASTER_DATABASE'!$D$2:$D$500, A41, '01_MASTER_DATABASE'!$C$2:$C$500, "*65*")&gt;0, "✓", "✗")</f>
        <v/>
      </c>
      <c r="F41" s="112">
        <f>IF(COUNTIFS('01_MASTER_DATABASE'!$D$2:$D$500, A41, '01_MASTER_DATABASE'!$C$2:$C$500, "*70*")&gt;0, "✓", "✗")</f>
        <v/>
      </c>
      <c r="G41" s="112">
        <f>IF(COUNTIFS('01_MASTER_DATABASE'!$D$2:$D$500, A41, '01_MASTER_DATABASE'!$C$2:$C$500, "*75*")&gt;0, "✓", "✗")</f>
        <v/>
      </c>
      <c r="H41" s="112">
        <f>IF(COUNTIFS('01_MASTER_DATABASE'!$D$2:$D$500, A41, '01_MASTER_DATABASE'!$C$2:$C$500, "*80*")&gt;0, "✓", "✗")</f>
        <v/>
      </c>
      <c r="I41" s="112">
        <f>IF(COUNTIFS('01_MASTER_DATABASE'!$D$2:$D$500, A41, '01_MASTER_DATABASE'!$C$2:$C$500, "*83*")&gt;0, "✓", "✗")</f>
        <v/>
      </c>
      <c r="J41" s="112">
        <f>IF(COUNTIFS('01_MASTER_DATABASE'!$D$2:$D$500, A41, '01_MASTER_DATABASE'!$C$2:$C$500, "*93*")&gt;0, "✓", "✗")</f>
        <v/>
      </c>
      <c r="K41" s="112">
        <f>IF(COUNTIFS('01_MASTER_DATABASE'!$D$2:$D$500, A41, '01_MASTER_DATABASE'!$C$2:$C$500, "*95*")&gt;0, "✓", "✗")</f>
        <v/>
      </c>
      <c r="L41" s="112">
        <f>IF(COUNTIFS('01_MASTER_DATABASE'!$D$2:$D$500, A41, '01_MASTER_DATABASE'!$C$2:$C$500, "*115*")&gt;0, "✓", "✗")</f>
        <v/>
      </c>
      <c r="M41" s="112">
        <f>IF(COUNTIFS('01_MASTER_DATABASE'!$D$2:$D$500, A41, '01_MASTER_DATABASE'!$C$2:$C$500, "*120*")&gt;0, "✓", "✗")</f>
        <v/>
      </c>
      <c r="N41" s="112">
        <f>IF(COUNTIFS('01_MASTER_DATABASE'!$D$2:$D$500, A41, '01_MASTER_DATABASE'!$B$2:$B$500, "*Slim*")&gt;0, "✓", "✗")</f>
        <v/>
      </c>
      <c r="O41" s="112">
        <f>IF(COUNTIFS('01_MASTER_DATABASE'!$D$2:$D$500, A41, '01_MASTER_DATABASE'!$B$2:$B$500, "*Thermal*") + COUNTIFS('01_MASTER_DATABASE'!$D$2:$D$500, A41, '01_MASTER_DATABASE'!$B$2:$B$500, "*cầu*")&gt;0, "✓", "✗")</f>
        <v/>
      </c>
    </row>
    <row r="42" ht="25" customHeight="1">
      <c r="A42" s="111" t="inlineStr">
        <is>
          <t>YKK AP</t>
        </is>
      </c>
      <c r="B42" s="112">
        <f>IF(COUNTIFS('01_MASTER_DATABASE'!$D$2:$D$500, A42, '01_MASTER_DATABASE'!$C$2:$C$500, "*55*")&gt;0, "✓", "✗")</f>
        <v/>
      </c>
      <c r="C42" s="112">
        <f>IF(COUNTIFS('01_MASTER_DATABASE'!$D$2:$D$500, A42, '01_MASTER_DATABASE'!$C$2:$C$500, "*58*")&gt;0, "✓", "✗")</f>
        <v/>
      </c>
      <c r="D42" s="112">
        <f>IF(COUNTIFS('01_MASTER_DATABASE'!$D$2:$D$500, A42, '01_MASTER_DATABASE'!$C$2:$C$500, "*60*")&gt;0, "✓", "✗")</f>
        <v/>
      </c>
      <c r="E42" s="112">
        <f>IF(COUNTIFS('01_MASTER_DATABASE'!$D$2:$D$500, A42, '01_MASTER_DATABASE'!$C$2:$C$500, "*65*")&gt;0, "✓", "✗")</f>
        <v/>
      </c>
      <c r="F42" s="112">
        <f>IF(COUNTIFS('01_MASTER_DATABASE'!$D$2:$D$500, A42, '01_MASTER_DATABASE'!$C$2:$C$500, "*70*")&gt;0, "✓", "✗")</f>
        <v/>
      </c>
      <c r="G42" s="112">
        <f>IF(COUNTIFS('01_MASTER_DATABASE'!$D$2:$D$500, A42, '01_MASTER_DATABASE'!$C$2:$C$500, "*75*")&gt;0, "✓", "✗")</f>
        <v/>
      </c>
      <c r="H42" s="112">
        <f>IF(COUNTIFS('01_MASTER_DATABASE'!$D$2:$D$500, A42, '01_MASTER_DATABASE'!$C$2:$C$500, "*80*")&gt;0, "✓", "✗")</f>
        <v/>
      </c>
      <c r="I42" s="112">
        <f>IF(COUNTIFS('01_MASTER_DATABASE'!$D$2:$D$500, A42, '01_MASTER_DATABASE'!$C$2:$C$500, "*83*")&gt;0, "✓", "✗")</f>
        <v/>
      </c>
      <c r="J42" s="112">
        <f>IF(COUNTIFS('01_MASTER_DATABASE'!$D$2:$D$500, A42, '01_MASTER_DATABASE'!$C$2:$C$500, "*93*")&gt;0, "✓", "✗")</f>
        <v/>
      </c>
      <c r="K42" s="112">
        <f>IF(COUNTIFS('01_MASTER_DATABASE'!$D$2:$D$500, A42, '01_MASTER_DATABASE'!$C$2:$C$500, "*95*")&gt;0, "✓", "✗")</f>
        <v/>
      </c>
      <c r="L42" s="112">
        <f>IF(COUNTIFS('01_MASTER_DATABASE'!$D$2:$D$500, A42, '01_MASTER_DATABASE'!$C$2:$C$500, "*115*")&gt;0, "✓", "✗")</f>
        <v/>
      </c>
      <c r="M42" s="112">
        <f>IF(COUNTIFS('01_MASTER_DATABASE'!$D$2:$D$500, A42, '01_MASTER_DATABASE'!$C$2:$C$500, "*120*")&gt;0, "✓", "✗")</f>
        <v/>
      </c>
      <c r="N42" s="112">
        <f>IF(COUNTIFS('01_MASTER_DATABASE'!$D$2:$D$500, A42, '01_MASTER_DATABASE'!$B$2:$B$500, "*Slim*")&gt;0, "✓", "✗")</f>
        <v/>
      </c>
      <c r="O42" s="112">
        <f>IF(COUNTIFS('01_MASTER_DATABASE'!$D$2:$D$500, A42, '01_MASTER_DATABASE'!$B$2:$B$500, "*Thermal*") + COUNTIFS('01_MASTER_DATABASE'!$D$2:$D$500, A42, '01_MASTER_DATABASE'!$B$2:$B$500, "*cầu*")&gt;0, "✓", "✗")</f>
        <v/>
      </c>
    </row>
    <row r="43" ht="25" customHeight="1">
      <c r="A43" s="111" t="inlineStr">
        <is>
          <t>Yangli</t>
        </is>
      </c>
      <c r="B43" s="112">
        <f>IF(COUNTIFS('01_MASTER_DATABASE'!$D$2:$D$500, A43, '01_MASTER_DATABASE'!$C$2:$C$500, "*55*")&gt;0, "✓", "✗")</f>
        <v/>
      </c>
      <c r="C43" s="112">
        <f>IF(COUNTIFS('01_MASTER_DATABASE'!$D$2:$D$500, A43, '01_MASTER_DATABASE'!$C$2:$C$500, "*58*")&gt;0, "✓", "✗")</f>
        <v/>
      </c>
      <c r="D43" s="112">
        <f>IF(COUNTIFS('01_MASTER_DATABASE'!$D$2:$D$500, A43, '01_MASTER_DATABASE'!$C$2:$C$500, "*60*")&gt;0, "✓", "✗")</f>
        <v/>
      </c>
      <c r="E43" s="112">
        <f>IF(COUNTIFS('01_MASTER_DATABASE'!$D$2:$D$500, A43, '01_MASTER_DATABASE'!$C$2:$C$500, "*65*")&gt;0, "✓", "✗")</f>
        <v/>
      </c>
      <c r="F43" s="112">
        <f>IF(COUNTIFS('01_MASTER_DATABASE'!$D$2:$D$500, A43, '01_MASTER_DATABASE'!$C$2:$C$500, "*70*")&gt;0, "✓", "✗")</f>
        <v/>
      </c>
      <c r="G43" s="112">
        <f>IF(COUNTIFS('01_MASTER_DATABASE'!$D$2:$D$500, A43, '01_MASTER_DATABASE'!$C$2:$C$500, "*75*")&gt;0, "✓", "✗")</f>
        <v/>
      </c>
      <c r="H43" s="112">
        <f>IF(COUNTIFS('01_MASTER_DATABASE'!$D$2:$D$500, A43, '01_MASTER_DATABASE'!$C$2:$C$500, "*80*")&gt;0, "✓", "✗")</f>
        <v/>
      </c>
      <c r="I43" s="112">
        <f>IF(COUNTIFS('01_MASTER_DATABASE'!$D$2:$D$500, A43, '01_MASTER_DATABASE'!$C$2:$C$500, "*83*")&gt;0, "✓", "✗")</f>
        <v/>
      </c>
      <c r="J43" s="112">
        <f>IF(COUNTIFS('01_MASTER_DATABASE'!$D$2:$D$500, A43, '01_MASTER_DATABASE'!$C$2:$C$500, "*93*")&gt;0, "✓", "✗")</f>
        <v/>
      </c>
      <c r="K43" s="112">
        <f>IF(COUNTIFS('01_MASTER_DATABASE'!$D$2:$D$500, A43, '01_MASTER_DATABASE'!$C$2:$C$500, "*95*")&gt;0, "✓", "✗")</f>
        <v/>
      </c>
      <c r="L43" s="112">
        <f>IF(COUNTIFS('01_MASTER_DATABASE'!$D$2:$D$500, A43, '01_MASTER_DATABASE'!$C$2:$C$500, "*115*")&gt;0, "✓", "✗")</f>
        <v/>
      </c>
      <c r="M43" s="112">
        <f>IF(COUNTIFS('01_MASTER_DATABASE'!$D$2:$D$500, A43, '01_MASTER_DATABASE'!$C$2:$C$500, "*120*")&gt;0, "✓", "✗")</f>
        <v/>
      </c>
      <c r="N43" s="112">
        <f>IF(COUNTIFS('01_MASTER_DATABASE'!$D$2:$D$500, A43, '01_MASTER_DATABASE'!$B$2:$B$500, "*Slim*")&gt;0, "✓", "✗")</f>
        <v/>
      </c>
      <c r="O43" s="112">
        <f>IF(COUNTIFS('01_MASTER_DATABASE'!$D$2:$D$500, A43, '01_MASTER_DATABASE'!$B$2:$B$500, "*Thermal*") + COUNTIFS('01_MASTER_DATABASE'!$D$2:$D$500, A43, '01_MASTER_DATABASE'!$B$2:$B$500, "*cầu*")&gt;0, "✓", "✗")</f>
        <v/>
      </c>
    </row>
  </sheetData>
  <mergeCells count="1">
    <mergeCell ref="A1:O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0" customHeight="1">
      <c r="A1" s="109" t="inlineStr">
        <is>
          <t>MA TRẬN SO SÁNH ĐẶC TÍNH CỐT LÕI GIỮA CÁC THƯƠNG HIỆU HÃNG</t>
        </is>
      </c>
    </row>
    <row r="2" ht="20" customHeight="1"/>
    <row r="4" ht="30" customHeight="1">
      <c r="A4" s="110" t="inlineStr">
        <is>
          <t>Tiêu Chí Thương Hiệu</t>
        </is>
      </c>
      <c r="B4" s="110" t="inlineStr">
        <is>
          <t>Xingfa (Quảng Đông)</t>
        </is>
      </c>
      <c r="C4" s="110" t="inlineStr">
        <is>
          <t>PMA (Việt Nam)</t>
        </is>
      </c>
      <c r="D4" s="110" t="inlineStr">
        <is>
          <t>Maxpro JP (Nhật Bản)</t>
        </is>
      </c>
      <c r="E4" s="110" t="inlineStr">
        <is>
          <t>Civro (Đức)</t>
        </is>
      </c>
      <c r="F4" s="110" t="inlineStr">
        <is>
          <t>Topal (Việt Nam)</t>
        </is>
      </c>
      <c r="G4" s="110" t="inlineStr">
        <is>
          <t>Eurowindow (Việt Nam)</t>
        </is>
      </c>
    </row>
    <row r="5" ht="35" customHeight="1">
      <c r="A5" s="119" t="inlineStr">
        <is>
          <t>Nguồn gốc xuất xứ chính</t>
        </is>
      </c>
      <c r="B5" s="118" t="inlineStr">
        <is>
          <t>Quảng Đông (Trung Quốc)</t>
        </is>
      </c>
      <c r="C5" s="118" t="inlineStr">
        <is>
          <t>Việt Nam sản xuất</t>
        </is>
      </c>
      <c r="D5" s="118" t="inlineStr">
        <is>
          <t>Công nghệ Nhật Bản/VN</t>
        </is>
      </c>
      <c r="E5" s="118" t="inlineStr">
        <is>
          <t>Đức nhập khẩu</t>
        </is>
      </c>
      <c r="F5" s="118" t="inlineStr">
        <is>
          <t>Việt Nam (Khang Minh/Topal)</t>
        </is>
      </c>
      <c r="G5" s="118" t="inlineStr">
        <is>
          <t>Đức/Việt Nam (Eurowindow)</t>
        </is>
      </c>
    </row>
    <row r="6" ht="35" customHeight="1">
      <c r="A6" s="119" t="inlineStr">
        <is>
          <t>Công nghệ sơn phủ</t>
        </is>
      </c>
      <c r="B6" s="118" t="inlineStr">
        <is>
          <t>Sơn tĩnh điện AkzoNobel</t>
        </is>
      </c>
      <c r="C6" s="118" t="inlineStr">
        <is>
          <t>Sơn tĩnh điện AkzoNobel</t>
        </is>
      </c>
      <c r="D6" s="118" t="inlineStr">
        <is>
          <t>Mạ điện di Anodize ED</t>
        </is>
      </c>
      <c r="E6" s="118" t="inlineStr">
        <is>
          <t>Sơn tĩnh điện phủ MED Đức</t>
        </is>
      </c>
      <c r="F6" s="118" t="inlineStr">
        <is>
          <t>Sơn tĩnh điện AkzoNobel</t>
        </is>
      </c>
      <c r="G6" s="118" t="inlineStr">
        <is>
          <t>Sơn tĩnh điện bảo hành 20 năm</t>
        </is>
      </c>
    </row>
    <row r="7" ht="35" customHeight="1">
      <c r="A7" s="119" t="inlineStr">
        <is>
          <t>Chuẩn rãnh phụ kiện</t>
        </is>
      </c>
      <c r="B7" s="118" t="inlineStr">
        <is>
          <t>Rãnh 22 truyền thống</t>
        </is>
      </c>
      <c r="C7" s="118" t="inlineStr">
        <is>
          <t>Rãnh 22 truyền thống</t>
        </is>
      </c>
      <c r="D7" s="118" t="inlineStr">
        <is>
          <t>Rãnh C Châu Âu / Rãnh 22</t>
        </is>
      </c>
      <c r="E7" s="118" t="inlineStr">
        <is>
          <t>Rãnh C Châu Âu cao cấp</t>
        </is>
      </c>
      <c r="F7" s="118" t="inlineStr">
        <is>
          <t>Rãnh 22 truyền thống</t>
        </is>
      </c>
      <c r="G7" s="118" t="inlineStr">
        <is>
          <t>Rãnh C Châu Âu (nhôm mới)</t>
        </is>
      </c>
    </row>
    <row r="8" ht="35" customHeight="1">
      <c r="A8" s="119" t="inlineStr">
        <is>
          <t>Phân khúc giá hoàn thiện</t>
        </is>
      </c>
      <c r="B8" s="118" t="inlineStr">
        <is>
          <t>Từ 2.2tr - 3.2tr/m²</t>
        </is>
      </c>
      <c r="C8" s="118" t="inlineStr">
        <is>
          <t>Từ 1.6tr - 2.5tr/m²</t>
        </is>
      </c>
      <c r="D8" s="118" t="inlineStr">
        <is>
          <t>Từ 3.5tr - 5.0tr/m²</t>
        </is>
      </c>
      <c r="E8" s="118" t="inlineStr">
        <is>
          <t>Từ 6.0tr - 12.0tr/m²</t>
        </is>
      </c>
      <c r="F8" s="118" t="inlineStr">
        <is>
          <t>Từ 1.8tr - 2.8tr/m²</t>
        </is>
      </c>
      <c r="G8" s="118" t="inlineStr">
        <is>
          <t>Từ 3.0tr - 6.5tr/m²</t>
        </is>
      </c>
    </row>
    <row r="9" ht="35" customHeight="1">
      <c r="A9" s="119" t="inlineStr">
        <is>
          <t>Thế mạnh lớn nhất</t>
        </is>
      </c>
      <c r="B9" s="118" t="inlineStr">
        <is>
          <t>Thương hiệu quốc dân, uy tín cao</t>
        </is>
      </c>
      <c r="C9" s="118" t="inlineStr">
        <is>
          <t>Giá bình dân, đại chúng dễ tiếp cận</t>
        </is>
      </c>
      <c r="D9" s="118" t="inlineStr">
        <is>
          <t>Mạ điện di chống muối biển 40 năm</t>
        </is>
      </c>
      <c r="E9" s="118" t="inlineStr">
        <is>
          <t>Cách âm nhiệt siêu việt cao cấp nhất</t>
        </is>
      </c>
      <c r="F9" s="118" t="inlineStr">
        <is>
          <t>Hệ thống đại lý phân phối lớn</t>
        </is>
      </c>
      <c r="G9" s="118" t="inlineStr">
        <is>
          <t>Cách âm cách nhiệt hàng đầu, bảo hành tốt</t>
        </is>
      </c>
    </row>
    <row r="10" ht="35" customHeight="1">
      <c r="A10" s="119" t="inlineStr">
        <is>
          <t>Điểm yếu R&amp;D</t>
        </is>
      </c>
      <c r="B10" s="118" t="inlineStr">
        <is>
          <t>Nhiều hàng giả hàng nhái trên thị trường</t>
        </is>
      </c>
      <c r="C10" s="118" t="inlineStr">
        <is>
          <t>Cấu trúc định hình mỏng không chịu bão lớn</t>
        </is>
      </c>
      <c r="D10" s="118" t="inlineStr">
        <is>
          <t>Giá phôi anodize khá đắt đỏ</t>
        </is>
      </c>
      <c r="E10" s="118" t="inlineStr">
        <is>
          <t>Giá cực kỳ cao, kén khách hàng đại chúng</t>
        </is>
      </c>
      <c r="F10" s="118" t="inlineStr">
        <is>
          <t>Độ nhận diện thương hiệu tầm trung</t>
        </is>
      </c>
      <c r="G10" s="118" t="inlineStr">
        <is>
          <t>Khung bao thô dày (nhựa), thi công đắt</t>
        </is>
      </c>
    </row>
  </sheetData>
  <mergeCells count="1">
    <mergeCell ref="A1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5" customWidth="1" min="4" max="4"/>
    <col width="20" customWidth="1" min="5" max="5"/>
    <col width="14" customWidth="1" min="6" max="6"/>
    <col width="25" customWidth="1" min="7" max="7"/>
    <col width="25" customWidth="1" min="8" max="8"/>
    <col width="45" customWidth="1" min="9" max="9"/>
  </cols>
  <sheetData>
    <row r="1" ht="20" customHeight="1">
      <c r="A1" s="120" t="inlineStr">
        <is>
          <t>DANH MỤC PHÂN LOẠI CÁC PHÂN HỆ NỔI BẬT (R&amp;D SAO VÀNG)</t>
        </is>
      </c>
    </row>
    <row r="2" ht="20" customHeight="1"/>
    <row r="4" ht="20" customHeight="1">
      <c r="A4" s="121" t="inlineStr">
        <is>
          <t>I. DANH MỤC HỆ CỬA NHÔM CẦU CÁCH NHIỆT (THERMAL BREAK &amp; PASSIVE HOUSE)</t>
        </is>
      </c>
    </row>
    <row r="5" ht="20" customHeight="1"/>
    <row r="6" ht="25" customHeight="1">
      <c r="A6" s="122" t="inlineStr">
        <is>
          <t>STT</t>
        </is>
      </c>
      <c r="B6" s="122" t="inlineStr">
        <is>
          <t>Hãng</t>
        </is>
      </c>
      <c r="C6" s="122" t="inlineStr">
        <is>
          <t>Mã Hệ</t>
        </is>
      </c>
      <c r="D6" s="122" t="inlineStr">
        <is>
          <t>Tên Hệ</t>
        </is>
      </c>
      <c r="E6" s="122" t="inlineStr">
        <is>
          <t>Phân Nhóm Hệ</t>
        </is>
      </c>
      <c r="F6" s="122" t="inlineStr">
        <is>
          <t>Độ Dày (mm)</t>
        </is>
      </c>
      <c r="G6" s="122" t="inlineStr">
        <is>
          <t>Loại Sản Phẩm</t>
        </is>
      </c>
      <c r="H6" s="122" t="inlineStr">
        <is>
          <t>Kiểu Mở</t>
        </is>
      </c>
      <c r="I6" s="122" t="inlineStr">
        <is>
          <t>Đặc Điểm Kỹ Thuật</t>
        </is>
      </c>
    </row>
    <row r="7" ht="25" customHeight="1">
      <c r="A7" s="123" t="n">
        <v>1</v>
      </c>
      <c r="B7" s="124" t="inlineStr">
        <is>
          <t>PMA</t>
        </is>
      </c>
      <c r="C7" s="123" t="inlineStr">
        <is>
          <t>PMA Thermal 65</t>
        </is>
      </c>
      <c r="D7" s="124" t="inlineStr">
        <is>
          <t>Khung cách nhiệt 65mm có cầu PA66</t>
        </is>
      </c>
      <c r="E7" s="124" t="inlineStr">
        <is>
          <t>Cầu cách nhiệt Cao cấp</t>
        </is>
      </c>
      <c r="F7" s="123" t="n">
        <v>1.4</v>
      </c>
      <c r="G7" s="124" t="inlineStr">
        <is>
          <t>Cửa đi + Cửa sổ</t>
        </is>
      </c>
      <c r="H7" s="124" t="inlineStr">
        <is>
          <t>Mở quay (Casement)</t>
        </is>
      </c>
      <c r="I7" s="124" t="inlineStr">
        <is>
          <t>Biệt thự, phòng ngủ hướng Tây nắng nóng</t>
        </is>
      </c>
    </row>
    <row r="8" ht="25" customHeight="1">
      <c r="A8" s="123" t="n">
        <v>2</v>
      </c>
      <c r="B8" s="124" t="inlineStr">
        <is>
          <t>PMA</t>
        </is>
      </c>
      <c r="C8" s="123" t="inlineStr">
        <is>
          <t>PMA Thermal 75</t>
        </is>
      </c>
      <c r="D8" s="124" t="inlineStr">
        <is>
          <t>Khung cách nhiệt bản lớn 75mm</t>
        </is>
      </c>
      <c r="E8" s="124" t="inlineStr">
        <is>
          <t>Cầu cách nhiệt Siêu cao cấp</t>
        </is>
      </c>
      <c r="F8" s="123" t="n">
        <v>2</v>
      </c>
      <c r="G8" s="124" t="inlineStr">
        <is>
          <t>Cửa đi + Cửa sổ</t>
        </is>
      </c>
      <c r="H8" s="124" t="inlineStr">
        <is>
          <t>Mở quay (Casement)</t>
        </is>
      </c>
      <c r="I8" s="124" t="inlineStr">
        <is>
          <t>Biệt thự Luxury, resort cao cấp</t>
        </is>
      </c>
    </row>
    <row r="9" ht="25" customHeight="1">
      <c r="A9" s="123" t="n">
        <v>3</v>
      </c>
      <c r="B9" s="124" t="inlineStr">
        <is>
          <t>PAG</t>
        </is>
      </c>
      <c r="C9" s="123" t="inlineStr">
        <is>
          <t>PAG 60</t>
        </is>
      </c>
      <c r="D9" s="124" t="inlineStr">
        <is>
          <t>Khung 60mm cầu PA66 GF25</t>
        </is>
      </c>
      <c r="E9" s="124" t="inlineStr">
        <is>
          <t>Cầu cách nhiệt Trung cấp</t>
        </is>
      </c>
      <c r="F9" s="123" t="n">
        <v>1.6</v>
      </c>
      <c r="G9" s="124" t="inlineStr">
        <is>
          <t>Cửa sổ + Cửa đi</t>
        </is>
      </c>
      <c r="H9" s="124" t="inlineStr">
        <is>
          <t>Mở quay (Casement)</t>
        </is>
      </c>
      <c r="I9" s="124" t="inlineStr">
        <is>
          <t>Nhà phố cao cấp, chung cư xanh</t>
        </is>
      </c>
    </row>
    <row r="10" ht="25" customHeight="1">
      <c r="A10" s="123" t="n">
        <v>4</v>
      </c>
      <c r="B10" s="124" t="inlineStr">
        <is>
          <t>PAG</t>
        </is>
      </c>
      <c r="C10" s="123" t="inlineStr">
        <is>
          <t>PAG 80 Lùa</t>
        </is>
      </c>
      <c r="D10" s="124" t="inlineStr">
        <is>
          <t>Khung cầu PA66 80mm + Lưới chắn côn trùng</t>
        </is>
      </c>
      <c r="E10" s="124" t="inlineStr">
        <is>
          <t>Cầu cách nhiệt Cao cấp</t>
        </is>
      </c>
      <c r="F10" s="123" t="n">
        <v>1.6</v>
      </c>
      <c r="G10" s="124" t="inlineStr">
        <is>
          <t>Cửa sổ</t>
        </is>
      </c>
      <c r="H10" s="124" t="inlineStr">
        <is>
          <t>Trượt lùa (Sliding) + Chống côn trùng</t>
        </is>
      </c>
      <c r="I10" s="124" t="inlineStr">
        <is>
          <t>Nhà phố, biệt thự ở vùng nhiều muỗi, côn trùng</t>
        </is>
      </c>
    </row>
    <row r="11" ht="25" customHeight="1">
      <c r="A11" s="123" t="n">
        <v>5</v>
      </c>
      <c r="B11" s="124" t="inlineStr">
        <is>
          <t>EuroVN</t>
        </is>
      </c>
      <c r="C11" s="123" t="inlineStr">
        <is>
          <t>EuroVN Thermal</t>
        </is>
      </c>
      <c r="D11" s="124" t="inlineStr">
        <is>
          <t>Khung + dải Polyamide cách nhiệt</t>
        </is>
      </c>
      <c r="E11" s="124" t="inlineStr">
        <is>
          <t>Cầu cách nhiệt Cao cấp</t>
        </is>
      </c>
      <c r="F11" s="123" t="n">
        <v>1.6</v>
      </c>
      <c r="G11" s="124" t="inlineStr">
        <is>
          <t>Cửa đi + Cửa sổ</t>
        </is>
      </c>
      <c r="H11" s="124" t="inlineStr">
        <is>
          <t>Mở quay + Trượt</t>
        </is>
      </c>
      <c r="I11" s="124" t="inlineStr">
        <is>
          <t>Biệt thự, tiết kiệm năng lượng</t>
        </is>
      </c>
    </row>
    <row r="12" ht="25" customHeight="1">
      <c r="A12" s="123" t="n">
        <v>6</v>
      </c>
      <c r="B12" s="124" t="inlineStr">
        <is>
          <t>Schüco</t>
        </is>
      </c>
      <c r="C12" s="123" t="inlineStr">
        <is>
          <t>AWS 75.SI</t>
        </is>
      </c>
      <c r="D12" s="124" t="inlineStr">
        <is>
          <t>Khung 75mm cầu cách nhiệt PA66 GF25 siêu dày</t>
        </is>
      </c>
      <c r="E12" s="124" t="inlineStr">
        <is>
          <t>Casement Đức Passive House</t>
        </is>
      </c>
      <c r="F12" s="123" t="n">
        <v>2</v>
      </c>
      <c r="G12" s="124" t="inlineStr">
        <is>
          <t>Cửa sổ + Cửa đi</t>
        </is>
      </c>
      <c r="H12" s="124" t="inlineStr">
        <is>
          <t>Mở quay + Tilt-Turn</t>
        </is>
      </c>
      <c r="I12" s="124" t="inlineStr">
        <is>
          <t>Nhà thụ động (Passive House), tòa nhà Zero Energy</t>
        </is>
      </c>
    </row>
    <row r="13" ht="25" customHeight="1">
      <c r="A13" s="123" t="n">
        <v>7</v>
      </c>
      <c r="B13" s="124" t="inlineStr">
        <is>
          <t>Reynaers</t>
        </is>
      </c>
      <c r="C13" s="123" t="inlineStr">
        <is>
          <t>CS 77</t>
        </is>
      </c>
      <c r="D13" s="124" t="inlineStr">
        <is>
          <t>Khung 77mm cầu cách nhiệt siêu dày</t>
        </is>
      </c>
      <c r="E13" s="124" t="inlineStr">
        <is>
          <t>Casement Bỉ Passive</t>
        </is>
      </c>
      <c r="F13" s="123" t="n">
        <v>2</v>
      </c>
      <c r="G13" s="124" t="inlineStr">
        <is>
          <t>Cửa sổ + Cửa đi</t>
        </is>
      </c>
      <c r="H13" s="124" t="inlineStr">
        <is>
          <t>Mở quay + Tilt-Turn</t>
        </is>
      </c>
      <c r="I13" s="124" t="inlineStr">
        <is>
          <t>Biệt thự siêu sang, Zero Energy Building</t>
        </is>
      </c>
    </row>
    <row r="14" ht="25" customHeight="1">
      <c r="A14" s="123" t="n">
        <v>8</v>
      </c>
      <c r="B14" s="124" t="inlineStr">
        <is>
          <t>PMI</t>
        </is>
      </c>
      <c r="C14" s="123" t="inlineStr">
        <is>
          <t>PMI DPE56</t>
        </is>
      </c>
      <c r="D14" s="124" t="inlineStr">
        <is>
          <t>Khung cầu Polyamide 56mm</t>
        </is>
      </c>
      <c r="E14" s="124" t="inlineStr">
        <is>
          <t>Cầu cách nhiệt</t>
        </is>
      </c>
      <c r="F14" s="123" t="n">
        <v>1.4</v>
      </c>
      <c r="G14" s="124" t="inlineStr">
        <is>
          <t>Cửa đi + Cửa sổ</t>
        </is>
      </c>
      <c r="H14" s="124" t="inlineStr">
        <is>
          <t>Mở quay</t>
        </is>
      </c>
      <c r="I14" s="124" t="inlineStr">
        <is>
          <t>Biệt thự, resort, phòng ngủ hướng Tây nắng nóng</t>
        </is>
      </c>
    </row>
    <row r="15" ht="25" customHeight="1">
      <c r="A15" s="123" t="n">
        <v>9</v>
      </c>
      <c r="B15" s="124" t="inlineStr">
        <is>
          <t>PMI</t>
        </is>
      </c>
      <c r="C15" s="123" t="inlineStr">
        <is>
          <t>PMI MP75A</t>
        </is>
      </c>
      <c r="D15" s="124" t="inlineStr">
        <is>
          <t>Khung cầu cách nhiệt bản 75mm dày</t>
        </is>
      </c>
      <c r="E15" s="124" t="inlineStr">
        <is>
          <t>Cầu cách nhiệt</t>
        </is>
      </c>
      <c r="F15" s="123" t="n">
        <v>2</v>
      </c>
      <c r="G15" s="124" t="inlineStr">
        <is>
          <t>Cửa đi</t>
        </is>
      </c>
      <c r="H15" s="124" t="inlineStr">
        <is>
          <t>Mở quay</t>
        </is>
      </c>
      <c r="I15" s="124" t="inlineStr">
        <is>
          <t>Biệt thự cao cấp ven biển, penhouse chịu bão</t>
        </is>
      </c>
    </row>
    <row r="16" ht="25" customHeight="1">
      <c r="A16" s="123" t="n">
        <v>10</v>
      </c>
      <c r="B16" s="124" t="inlineStr">
        <is>
          <t>Eurowindow</t>
        </is>
      </c>
      <c r="C16" s="123" t="inlineStr">
        <is>
          <t>EW Thermal</t>
        </is>
      </c>
      <c r="D16" s="124" t="inlineStr">
        <is>
          <t>Khung có dải cầu cách nhiệt Polyamide</t>
        </is>
      </c>
      <c r="E16" s="124" t="inlineStr">
        <is>
          <t>Cầu cách nhiệt Cao cấp</t>
        </is>
      </c>
      <c r="F16" s="123" t="n">
        <v>2</v>
      </c>
      <c r="G16" s="124" t="inlineStr">
        <is>
          <t>Cửa đi + Cửa sổ</t>
        </is>
      </c>
      <c r="H16" s="124" t="inlineStr">
        <is>
          <t>Mở quay</t>
        </is>
      </c>
      <c r="I16" s="124" t="inlineStr">
        <is>
          <t>Biệt thự nghỉ dưỡng cao cấp, penthouse, vùng lạnh/nóng ẩm</t>
        </is>
      </c>
    </row>
    <row r="18" ht="20" customHeight="1">
      <c r="A18" s="125" t="inlineStr">
        <is>
          <t>II. DANH MỤC HỆ CỬA SLIM SIÊU MỎNG (NỘI THẤT &amp; NGOẠI THẤT)</t>
        </is>
      </c>
    </row>
    <row r="19" ht="20" customHeight="1"/>
    <row r="20" ht="25" customHeight="1">
      <c r="A20" s="122" t="inlineStr">
        <is>
          <t>STT</t>
        </is>
      </c>
      <c r="B20" s="122" t="inlineStr">
        <is>
          <t>Hãng</t>
        </is>
      </c>
      <c r="C20" s="122" t="inlineStr">
        <is>
          <t>Mã Hệ</t>
        </is>
      </c>
      <c r="D20" s="122" t="inlineStr">
        <is>
          <t>Tên Hệ</t>
        </is>
      </c>
      <c r="E20" s="122" t="inlineStr">
        <is>
          <t>Phân Nhóm Hệ</t>
        </is>
      </c>
      <c r="F20" s="122" t="inlineStr">
        <is>
          <t>Độ Dày (mm)</t>
        </is>
      </c>
      <c r="G20" s="122" t="inlineStr">
        <is>
          <t>Loại Sản Phẩm</t>
        </is>
      </c>
      <c r="H20" s="122" t="inlineStr">
        <is>
          <t>Kiểu Mở</t>
        </is>
      </c>
      <c r="I20" s="122" t="inlineStr">
        <is>
          <t>Đặc Điểm Kỹ Thuật</t>
        </is>
      </c>
    </row>
    <row r="21" ht="25" customHeight="1">
      <c r="A21" s="123" t="n">
        <v>1</v>
      </c>
      <c r="B21" s="124" t="inlineStr">
        <is>
          <t>PMA</t>
        </is>
      </c>
      <c r="C21" s="123" t="inlineStr">
        <is>
          <t>PMA Slim</t>
        </is>
      </c>
      <c r="D21" s="124" t="inlineStr">
        <is>
          <t>Khung cánh siêu mỏng ray inox</t>
        </is>
      </c>
      <c r="E21" s="124" t="inlineStr">
        <is>
          <t>Slim Ngoại thất Cao cấp</t>
        </is>
      </c>
      <c r="F21" s="123" t="n">
        <v>1.6</v>
      </c>
      <c r="G21" s="124" t="inlineStr">
        <is>
          <t>Cửa đi</t>
        </is>
      </c>
      <c r="H21" s="124" t="inlineStr">
        <is>
          <t>Trượt lùa Slim Panorama (Sliding)</t>
        </is>
      </c>
      <c r="I21" s="124" t="inlineStr">
        <is>
          <t>Vách ngăn phòng khách, cửa ban công biệt thự</t>
        </is>
      </c>
    </row>
    <row r="22" ht="25" customHeight="1">
      <c r="A22" s="123" t="n">
        <v>2</v>
      </c>
      <c r="B22" s="124" t="inlineStr">
        <is>
          <t>Kogen</t>
        </is>
      </c>
      <c r="C22" s="123" t="inlineStr">
        <is>
          <t>Kogen Slim Lùa</t>
        </is>
      </c>
      <c r="D22" s="124" t="inlineStr">
        <is>
          <t>Khung cánh siêu mỏng ray inox</t>
        </is>
      </c>
      <c r="E22" s="124" t="inlineStr">
        <is>
          <t>Slim Ngoại thất Cao cấp</t>
        </is>
      </c>
      <c r="F22" s="123" t="n">
        <v>2</v>
      </c>
      <c r="G22" s="124" t="inlineStr">
        <is>
          <t>Cửa đi</t>
        </is>
      </c>
      <c r="H22" s="124" t="inlineStr">
        <is>
          <t>Trượt lùa (Sliding Panorama)</t>
        </is>
      </c>
      <c r="I22" s="124" t="inlineStr">
        <is>
          <t>Biệt thự hướng biển, ban công panorama</t>
        </is>
      </c>
    </row>
    <row r="23" ht="25" customHeight="1">
      <c r="A23" s="123" t="n">
        <v>3</v>
      </c>
      <c r="B23" s="124" t="inlineStr">
        <is>
          <t>Yangli</t>
        </is>
      </c>
      <c r="C23" s="123" t="inlineStr">
        <is>
          <t>Yangli Slim 40/45</t>
        </is>
      </c>
      <c r="D23" s="124" t="inlineStr">
        <is>
          <t>Profile siêu mỏng 40-45mm</t>
        </is>
      </c>
      <c r="E23" s="124" t="inlineStr">
        <is>
          <t>Slim hiện đại</t>
        </is>
      </c>
      <c r="F23" s="123" t="n">
        <v>1.1</v>
      </c>
      <c r="G23" s="124" t="inlineStr">
        <is>
          <t>Cửa đi + Cửa sổ</t>
        </is>
      </c>
      <c r="H23" s="124" t="inlineStr">
        <is>
          <t>Mở quay (Minimal Slim)</t>
        </is>
      </c>
      <c r="I23" s="124" t="inlineStr">
        <is>
          <t>Nhà phố hiện đại, căn hộ tối giản</t>
        </is>
      </c>
    </row>
    <row r="24" ht="25" customHeight="1">
      <c r="A24" s="123" t="n">
        <v>4</v>
      </c>
      <c r="B24" s="124" t="inlineStr">
        <is>
          <t>Nhiều hãng VN</t>
        </is>
      </c>
      <c r="C24" s="123" t="inlineStr">
        <is>
          <t>Slim 45 Nội thất</t>
        </is>
      </c>
      <c r="D24" s="124" t="inlineStr">
        <is>
          <t>Khung bản mỏng 45mm + Ray ẩn trên trần</t>
        </is>
      </c>
      <c r="E24" s="124" t="inlineStr">
        <is>
          <t>Slim Nội thất Phổ thông</t>
        </is>
      </c>
      <c r="F24" s="123" t="n">
        <v>1.2</v>
      </c>
      <c r="G24" s="124" t="inlineStr">
        <is>
          <t>Cửa đi + Thông phòng</t>
        </is>
      </c>
      <c r="H24" s="124" t="inlineStr">
        <is>
          <t>Trượt lùa giảm chấn (Soft Close)</t>
        </is>
      </c>
      <c r="I24" s="124" t="inlineStr">
        <is>
          <t>Phòng ngủ, WC, phòng thay đồ, tủ quần áo</t>
        </is>
      </c>
    </row>
    <row r="25" ht="25" customHeight="1">
      <c r="A25" s="123" t="n">
        <v>5</v>
      </c>
      <c r="B25" s="124" t="inlineStr">
        <is>
          <t>Nhiều hãng VN</t>
        </is>
      </c>
      <c r="C25" s="123" t="inlineStr">
        <is>
          <t>Slim 70 Liên động</t>
        </is>
      </c>
      <c r="D25" s="124" t="inlineStr">
        <is>
          <t>Khung mỏng 70mm + Ray đôi + Cánh kính lớn</t>
        </is>
      </c>
      <c r="E25" s="124" t="inlineStr">
        <is>
          <t>Slim Nội thất Cao cấp</t>
        </is>
      </c>
      <c r="F25" s="123" t="n">
        <v>1.4</v>
      </c>
      <c r="G25" s="124" t="inlineStr">
        <is>
          <t>Cửa đi + Vách ngăn phòng</t>
        </is>
      </c>
      <c r="H25" s="124" t="inlineStr">
        <is>
          <t>Trượt liên động đa cánh (Multi-panel Sliding)</t>
        </is>
      </c>
      <c r="I25" s="124" t="inlineStr">
        <is>
          <t>Phòng khách lớn, văn phòng open space, phòng hội thảo</t>
        </is>
      </c>
    </row>
    <row r="26" ht="25" customHeight="1">
      <c r="A26" s="123" t="n">
        <v>6</v>
      </c>
      <c r="B26" s="124" t="inlineStr">
        <is>
          <t>Nhiều hãng VN</t>
        </is>
      </c>
      <c r="C26" s="123" t="inlineStr">
        <is>
          <t>Slim 60 Ngoại thất</t>
        </is>
      </c>
      <c r="D26" s="124" t="inlineStr">
        <is>
          <t>Khung mỏng kép 60mm + Ray kép chịu lực</t>
        </is>
      </c>
      <c r="E26" s="124" t="inlineStr">
        <is>
          <t>Slim Ngoại thất Cao cấp</t>
        </is>
      </c>
      <c r="F26" s="123" t="n">
        <v>1.6</v>
      </c>
      <c r="G26" s="124" t="inlineStr">
        <is>
          <t>Cửa đi</t>
        </is>
      </c>
      <c r="H26" s="124" t="inlineStr">
        <is>
          <t>Trượt lùa ngoại thất (Outdoor Slim Sliding)</t>
        </is>
      </c>
      <c r="I26" s="124" t="inlineStr">
        <is>
          <t>Biệt thự, ban công, lối ra sân vườn nhỏ</t>
        </is>
      </c>
    </row>
    <row r="27" ht="25" customHeight="1">
      <c r="A27" s="123" t="n">
        <v>7</v>
      </c>
      <c r="B27" s="124" t="inlineStr">
        <is>
          <t>Vitrocsa/Local</t>
        </is>
      </c>
      <c r="C27" s="123" t="inlineStr">
        <is>
          <t>Steel Look Slim</t>
        </is>
      </c>
      <c r="D27" s="124" t="inlineStr">
        <is>
          <t>Khung profile giả thép nghệ thuật (Steel Look)</t>
        </is>
      </c>
      <c r="E27" s="124" t="inlineStr">
        <is>
          <t>Slim Steel Look</t>
        </is>
      </c>
      <c r="F27" s="123" t="n">
        <v>3</v>
      </c>
      <c r="G27" s="124" t="inlineStr">
        <is>
          <t>Cửa đi + Cửa sổ + Vách kính</t>
        </is>
      </c>
      <c r="H27" s="124" t="inlineStr">
        <is>
          <t>Mở quay + Cố định</t>
        </is>
      </c>
      <c r="I27" s="124" t="inlineStr">
        <is>
          <t>Biệt thự Loft/Industrial, showroom, nhà hàng</t>
        </is>
      </c>
    </row>
    <row r="28" ht="25" customHeight="1">
      <c r="A28" s="123" t="n">
        <v>8</v>
      </c>
      <c r="B28" s="124" t="inlineStr">
        <is>
          <t>Các hãng</t>
        </is>
      </c>
      <c r="C28" s="123" t="inlineStr">
        <is>
          <t>Slim Pocket Sliding</t>
        </is>
      </c>
      <c r="D28" s="124" t="inlineStr">
        <is>
          <t>Khung nhỏ + Cánh lùa vào trong tường</t>
        </is>
      </c>
      <c r="E28" s="124" t="inlineStr">
        <is>
          <t>Slim Pocket Âm tường</t>
        </is>
      </c>
      <c r="F28" s="123" t="n">
        <v>1.2</v>
      </c>
      <c r="G28" s="124" t="inlineStr">
        <is>
          <t>Cửa đi + Thông phòng</t>
        </is>
      </c>
      <c r="H28" s="124" t="inlineStr">
        <is>
          <t>Trượt âm tường (Pocket Sliding)</t>
        </is>
      </c>
      <c r="I28" s="124" t="inlineStr">
        <is>
          <t>WC, tủ quần áo âm, phòng ngủ, bếp</t>
        </is>
      </c>
    </row>
    <row r="30" ht="20" customHeight="1">
      <c r="A30" s="126" t="inlineStr">
        <is>
          <t>III. DANH MỤC CỬA CHÍNH BIỆT THỰ / LUXURY / HỆ THỦY LỰC / BẢN LỀ ẨN</t>
        </is>
      </c>
    </row>
    <row r="31" ht="20" customHeight="1"/>
    <row r="32" ht="25" customHeight="1">
      <c r="A32" s="122" t="inlineStr">
        <is>
          <t>STT</t>
        </is>
      </c>
      <c r="B32" s="122" t="inlineStr">
        <is>
          <t>Hãng</t>
        </is>
      </c>
      <c r="C32" s="122" t="inlineStr">
        <is>
          <t>Mã Hệ</t>
        </is>
      </c>
      <c r="D32" s="122" t="inlineStr">
        <is>
          <t>Tên Hệ</t>
        </is>
      </c>
      <c r="E32" s="122" t="inlineStr">
        <is>
          <t>Phân Nhóm Hệ</t>
        </is>
      </c>
      <c r="F32" s="122" t="inlineStr">
        <is>
          <t>Độ Dày (mm)</t>
        </is>
      </c>
      <c r="G32" s="122" t="inlineStr">
        <is>
          <t>Loại Sản Phẩm</t>
        </is>
      </c>
      <c r="H32" s="122" t="inlineStr">
        <is>
          <t>Kiểu Mở</t>
        </is>
      </c>
      <c r="I32" s="122" t="inlineStr">
        <is>
          <t>Đặc Điểm Kỹ Thuật</t>
        </is>
      </c>
    </row>
    <row r="33" ht="25" customHeight="1">
      <c r="A33" s="123" t="n">
        <v>1</v>
      </c>
      <c r="B33" s="124" t="inlineStr">
        <is>
          <t>Viralwindow</t>
        </is>
      </c>
      <c r="C33" s="123" t="inlineStr">
        <is>
          <t>VRE Thủy lực</t>
        </is>
      </c>
      <c r="D33" s="124" t="inlineStr">
        <is>
          <t>Khung siêu nặng + Piston thủy lực</t>
        </is>
      </c>
      <c r="E33" s="124" t="inlineStr">
        <is>
          <t>Thủy lực Siêu cao cấp</t>
        </is>
      </c>
      <c r="F33" s="123" t="n">
        <v>2</v>
      </c>
      <c r="G33" s="124" t="inlineStr">
        <is>
          <t>Cửa đi</t>
        </is>
      </c>
      <c r="H33" s="124" t="inlineStr">
        <is>
          <t>Thủy lực (Hydraulic / Zero Gravity)</t>
        </is>
      </c>
      <c r="I33" s="124" t="inlineStr">
        <is>
          <t>Biệt thự siêu sang, villa resort</t>
        </is>
      </c>
    </row>
    <row r="34" ht="25" customHeight="1">
      <c r="A34" s="123" t="n">
        <v>2</v>
      </c>
      <c r="B34" s="124" t="inlineStr">
        <is>
          <t>Civro</t>
        </is>
      </c>
      <c r="C34" s="123" t="inlineStr">
        <is>
          <t>AD75 IN/OU</t>
        </is>
      </c>
      <c r="D34" s="124" t="inlineStr">
        <is>
          <t>Khung cửa đi 75mm siêu dày cầu PA66</t>
        </is>
      </c>
      <c r="E34" s="124" t="inlineStr">
        <is>
          <t>Anodized Siêu cao cấp</t>
        </is>
      </c>
      <c r="F34" s="123" t="n">
        <v>2</v>
      </c>
      <c r="G34" s="124" t="inlineStr">
        <is>
          <t>Cửa đi</t>
        </is>
      </c>
      <c r="H34" s="124" t="inlineStr">
        <is>
          <t>Mở quay vào/ra (Casement IN/OUT)</t>
        </is>
      </c>
      <c r="I34" s="124" t="inlineStr">
        <is>
          <t>Biệt thự siêu sang, resort 5 sao</t>
        </is>
      </c>
    </row>
    <row r="35" ht="25" customHeight="1">
      <c r="A35" s="123" t="n">
        <v>3</v>
      </c>
      <c r="B35" s="124" t="inlineStr">
        <is>
          <t>Maxpro JP</t>
        </is>
      </c>
      <c r="C35" s="123" t="inlineStr">
        <is>
          <t>R70</t>
        </is>
      </c>
      <c r="D35" s="124" t="inlineStr">
        <is>
          <t>Khung 70mm vát cạnh mạnh</t>
        </is>
      </c>
      <c r="E35" s="124" t="inlineStr">
        <is>
          <t>Tân cổ điển Cao cấp</t>
        </is>
      </c>
      <c r="F35" s="123" t="n">
        <v>2</v>
      </c>
      <c r="G35" s="124" t="inlineStr">
        <is>
          <t>Cửa đi</t>
        </is>
      </c>
      <c r="H35" s="124" t="inlineStr">
        <is>
          <t>Mở quay – Vát cạnh tân cổ điển</t>
        </is>
      </c>
      <c r="I35" s="124" t="inlineStr">
        <is>
          <t>Biệt thự tân cổ điển</t>
        </is>
      </c>
    </row>
    <row r="36" ht="25" customHeight="1">
      <c r="A36" s="123" t="n">
        <v>4</v>
      </c>
      <c r="B36" s="124" t="inlineStr">
        <is>
          <t>Maxpro JP</t>
        </is>
      </c>
      <c r="C36" s="123" t="inlineStr">
        <is>
          <t>R83</t>
        </is>
      </c>
      <c r="D36" s="124" t="inlineStr">
        <is>
          <t>Khung 83mm vát cạnh + Cánh vòm cung</t>
        </is>
      </c>
      <c r="E36" s="124" t="inlineStr">
        <is>
          <t>Tân cổ điển Siêu cao cấp</t>
        </is>
      </c>
      <c r="F36" s="123" t="n">
        <v>1.8</v>
      </c>
      <c r="G36" s="124" t="inlineStr">
        <is>
          <t>Cửa đi + Cửa vòm + Cửa sổ</t>
        </is>
      </c>
      <c r="H36" s="124" t="inlineStr">
        <is>
          <t>Mở quay + Mở hất</t>
        </is>
      </c>
      <c r="I36" s="124" t="inlineStr">
        <is>
          <t>Biệt thự cổ điển Pháp, biệt thự vòm</t>
        </is>
      </c>
    </row>
    <row r="37" ht="25" customHeight="1">
      <c r="A37" s="123" t="n">
        <v>5</v>
      </c>
      <c r="B37" s="124" t="inlineStr">
        <is>
          <t>Maxpro JP</t>
        </is>
      </c>
      <c r="C37" s="123" t="inlineStr">
        <is>
          <t>R200 Thủy lực</t>
        </is>
      </c>
      <c r="D37" s="124" t="inlineStr">
        <is>
          <t>Khung 200mm siêu nặng + Hệ thủy lực</t>
        </is>
      </c>
      <c r="E37" s="124" t="inlineStr">
        <is>
          <t>Thủy lực Siêu cao cấp</t>
        </is>
      </c>
      <c r="F37" s="123" t="n">
        <v>2</v>
      </c>
      <c r="G37" s="124" t="inlineStr">
        <is>
          <t>Cửa đi</t>
        </is>
      </c>
      <c r="H37" s="124" t="inlineStr">
        <is>
          <t>Thủy lực (Hydraulic Door)</t>
        </is>
      </c>
      <c r="I37" s="124" t="inlineStr">
        <is>
          <t>Biệt thự siêu cao cấp, cửa đại sảnh</t>
        </is>
      </c>
    </row>
    <row r="38" ht="25" customHeight="1">
      <c r="A38" s="123" t="n">
        <v>6</v>
      </c>
      <c r="B38" s="124" t="inlineStr">
        <is>
          <t>Owin</t>
        </is>
      </c>
      <c r="C38" s="123" t="inlineStr">
        <is>
          <t>Owin HL180</t>
        </is>
      </c>
      <c r="D38" s="124" t="inlineStr">
        <is>
          <t>Khung siêu nặng 180×60mm cánh + Piston thủy lực</t>
        </is>
      </c>
      <c r="E38" s="124" t="inlineStr">
        <is>
          <t>Thủy lực Siêu cao cấp</t>
        </is>
      </c>
      <c r="F38" s="123" t="n">
        <v>2.5</v>
      </c>
      <c r="G38" s="124" t="inlineStr">
        <is>
          <t>Cửa đi</t>
        </is>
      </c>
      <c r="H38" s="124" t="inlineStr">
        <is>
          <t>Thủy lực 2 chiều (Hydraulic Pivot)</t>
        </is>
      </c>
      <c r="I38" s="124" t="inlineStr">
        <is>
          <t>Biệt thự siêu sang, sảnh khách sạn 5 sao</t>
        </is>
      </c>
    </row>
    <row r="39" ht="25" customHeight="1">
      <c r="A39" s="123" t="n">
        <v>7</v>
      </c>
      <c r="B39" s="124" t="inlineStr">
        <is>
          <t>Topal</t>
        </is>
      </c>
      <c r="C39" s="123" t="inlineStr">
        <is>
          <t>Topal Prima 55+</t>
        </is>
      </c>
      <c r="D39" s="124" t="inlineStr">
        <is>
          <t>Cánh trơn không gân, bản khung 63mm</t>
        </is>
      </c>
      <c r="E39" s="124" t="inlineStr">
        <is>
          <t>Tân cổ điển Cao cấp</t>
        </is>
      </c>
      <c r="F39" s="123" t="n">
        <v>1.6</v>
      </c>
      <c r="G39" s="124" t="inlineStr">
        <is>
          <t>Cửa đi + Cửa sổ</t>
        </is>
      </c>
      <c r="H39" s="124" t="inlineStr">
        <is>
          <t>Mở quay + Mở hất + Trượt lùa</t>
        </is>
      </c>
      <c r="I39" s="124" t="inlineStr">
        <is>
          <t>Biệt thự, căn hộ cao cấp</t>
        </is>
      </c>
    </row>
    <row r="40" ht="25" customHeight="1">
      <c r="A40" s="123" t="n">
        <v>8</v>
      </c>
      <c r="B40" s="124" t="inlineStr">
        <is>
          <t>EuroVN</t>
        </is>
      </c>
      <c r="C40" s="123" t="inlineStr">
        <is>
          <t>EuroVN Thủy lực</t>
        </is>
      </c>
      <c r="D40" s="124" t="inlineStr">
        <is>
          <t>Khung 140-180mm cánh + Hệ thủy lực QueenViet</t>
        </is>
      </c>
      <c r="E40" s="124" t="inlineStr">
        <is>
          <t>Thủy lực Siêu cao cấp</t>
        </is>
      </c>
      <c r="F40" s="123" t="n">
        <v>1.8</v>
      </c>
      <c r="G40" s="124" t="inlineStr">
        <is>
          <t>Cửa đi</t>
        </is>
      </c>
      <c r="H40" s="124" t="inlineStr">
        <is>
          <t>Thủy lực 2 chiều (Hydraulic Door)</t>
        </is>
      </c>
      <c r="I40" s="124" t="inlineStr">
        <is>
          <t>Biệt thự siêu cao cấp, showroom</t>
        </is>
      </c>
    </row>
    <row r="41" ht="25" customHeight="1">
      <c r="A41" s="123" t="n">
        <v>9</v>
      </c>
      <c r="B41" s="124" t="inlineStr">
        <is>
          <t>Yangli</t>
        </is>
      </c>
      <c r="C41" s="123" t="inlineStr">
        <is>
          <t>Yangli-XF Tân cổ điển</t>
        </is>
      </c>
      <c r="D41" s="124" t="inlineStr">
        <is>
          <t>Profile Xingfa mô phỏng, đa hệ</t>
        </is>
      </c>
      <c r="E41" s="124" t="inlineStr">
        <is>
          <t>Tân cổ điển</t>
        </is>
      </c>
      <c r="F41" s="123" t="n">
        <v>1.3</v>
      </c>
      <c r="G41" s="124" t="inlineStr">
        <is>
          <t>Cửa đi + Cửa sổ</t>
        </is>
      </c>
      <c r="H41" s="124" t="inlineStr">
        <is>
          <t>Mở quay + Trượt lùa</t>
        </is>
      </c>
      <c r="I41" s="124" t="inlineStr">
        <is>
          <t>Nhà phố phong cách</t>
        </is>
      </c>
    </row>
    <row r="42" ht="25" customHeight="1">
      <c r="A42" s="123" t="n">
        <v>10</v>
      </c>
      <c r="B42" s="124" t="inlineStr">
        <is>
          <t>Yangli</t>
        </is>
      </c>
      <c r="C42" s="123" t="inlineStr">
        <is>
          <t>Yangli Thủy lực</t>
        </is>
      </c>
      <c r="D42" s="124" t="inlineStr">
        <is>
          <t>Bản cánh lớn + Hệ thủy lực</t>
        </is>
      </c>
      <c r="E42" s="124" t="inlineStr">
        <is>
          <t>Thủy lực</t>
        </is>
      </c>
      <c r="F42" s="123" t="n">
        <v>1.6</v>
      </c>
      <c r="G42" s="124" t="inlineStr">
        <is>
          <t>Cửa đi</t>
        </is>
      </c>
      <c r="H42" s="124" t="inlineStr">
        <is>
          <t>Thủy lực 2 chiều</t>
        </is>
      </c>
      <c r="I42" s="124" t="inlineStr">
        <is>
          <t>Biệt thự, showroom</t>
        </is>
      </c>
    </row>
    <row r="44" ht="20" customHeight="1">
      <c r="A44" s="127" t="inlineStr">
        <is>
          <t>IV. DANH MỤC CỬA SIÊU TRƯỜNG SIÊU TRỌNG &amp; NÂNG TRƯỢT (LIFT &amp; SLIDE / HEAVY DUTY)</t>
        </is>
      </c>
    </row>
    <row r="45" ht="20" customHeight="1"/>
    <row r="46" ht="25" customHeight="1">
      <c r="A46" s="122" t="inlineStr">
        <is>
          <t>STT</t>
        </is>
      </c>
      <c r="B46" s="122" t="inlineStr">
        <is>
          <t>Hãng</t>
        </is>
      </c>
      <c r="C46" s="122" t="inlineStr">
        <is>
          <t>Mã Hệ</t>
        </is>
      </c>
      <c r="D46" s="122" t="inlineStr">
        <is>
          <t>Tên Hệ</t>
        </is>
      </c>
      <c r="E46" s="122" t="inlineStr">
        <is>
          <t>Phân Nhóm Hệ</t>
        </is>
      </c>
      <c r="F46" s="122" t="inlineStr">
        <is>
          <t>Độ Dày (mm)</t>
        </is>
      </c>
      <c r="G46" s="122" t="inlineStr">
        <is>
          <t>Loại Sản Phẩm</t>
        </is>
      </c>
      <c r="H46" s="122" t="inlineStr">
        <is>
          <t>Kiểu Mở</t>
        </is>
      </c>
      <c r="I46" s="122" t="inlineStr">
        <is>
          <t>Đặc Điểm Kỹ Thuật</t>
        </is>
      </c>
    </row>
    <row r="47" ht="25" customHeight="1">
      <c r="A47" s="123" t="n">
        <v>1</v>
      </c>
      <c r="B47" s="124" t="inlineStr">
        <is>
          <t>PMA</t>
        </is>
      </c>
      <c r="C47" s="123" t="inlineStr">
        <is>
          <t>PMA Lift &amp; Slide</t>
        </is>
      </c>
      <c r="D47" s="124" t="inlineStr">
        <is>
          <t>Khung trượt nâng bản dày</t>
        </is>
      </c>
      <c r="E47" s="124" t="inlineStr">
        <is>
          <t>Lift &amp; Slide Cao cấp</t>
        </is>
      </c>
      <c r="F47" s="123" t="n">
        <v>2</v>
      </c>
      <c r="G47" s="124" t="inlineStr">
        <is>
          <t>Cửa đi</t>
        </is>
      </c>
      <c r="H47" s="124" t="inlineStr">
        <is>
          <t>Trượt nâng (Lift &amp; Slide)</t>
        </is>
      </c>
      <c r="I47" s="124" t="inlineStr">
        <is>
          <t>Biệt thự sát biển, penthouses, resort</t>
        </is>
      </c>
    </row>
    <row r="48" ht="25" customHeight="1">
      <c r="A48" s="123" t="n">
        <v>2</v>
      </c>
      <c r="B48" s="124" t="inlineStr">
        <is>
          <t>Kogen</t>
        </is>
      </c>
      <c r="C48" s="123" t="inlineStr">
        <is>
          <t>Kogen Slim 50/68</t>
        </is>
      </c>
      <c r="D48" s="124" t="inlineStr">
        <is>
          <t>Khung mỏng rãnh C ẩn bản lề</t>
        </is>
      </c>
      <c r="E48" s="124" t="inlineStr">
        <is>
          <t>Xếp trượt Cao cấp</t>
        </is>
      </c>
      <c r="F48" s="123" t="n">
        <v>1.6</v>
      </c>
      <c r="G48" s="124" t="inlineStr">
        <is>
          <t>Cửa đi</t>
        </is>
      </c>
      <c r="H48" s="124" t="inlineStr">
        <is>
          <t>Xếp trượt ẩn bản lề (Hidden Hinge)</t>
        </is>
      </c>
      <c r="I48" s="124" t="inlineStr">
        <is>
          <t>Biệt thự, penthouse, resort</t>
        </is>
      </c>
    </row>
    <row r="49" ht="25" customHeight="1">
      <c r="A49" s="123" t="n">
        <v>3</v>
      </c>
      <c r="B49" s="124" t="inlineStr">
        <is>
          <t>Viralwindow</t>
        </is>
      </c>
      <c r="C49" s="123" t="inlineStr">
        <is>
          <t>VRE Lift Slide</t>
        </is>
      </c>
      <c r="D49" s="124" t="inlineStr">
        <is>
          <t>Khung + Cánh + Ray đặc biệt</t>
        </is>
      </c>
      <c r="E49" s="124" t="inlineStr">
        <is>
          <t>Lift &amp; Slide Cao cấp</t>
        </is>
      </c>
      <c r="F49" s="123" t="n">
        <v>2</v>
      </c>
      <c r="G49" s="124" t="inlineStr">
        <is>
          <t>Cửa đi</t>
        </is>
      </c>
      <c r="H49" s="124" t="inlineStr">
        <is>
          <t>Trượt nâng (Lift &amp; Slide)</t>
        </is>
      </c>
      <c r="I49" s="124" t="inlineStr">
        <is>
          <t>Biệt thự, lối ra sân vườn</t>
        </is>
      </c>
    </row>
    <row r="50" ht="25" customHeight="1">
      <c r="A50" s="123" t="n">
        <v>4</v>
      </c>
      <c r="B50" s="124" t="inlineStr">
        <is>
          <t>Viralwindow</t>
        </is>
      </c>
      <c r="C50" s="123" t="inlineStr">
        <is>
          <t>VRE Bi-fold</t>
        </is>
      </c>
      <c r="D50" s="124" t="inlineStr">
        <is>
          <t>Cánh xếp gấp + Bản lề xếp + Ray trên</t>
        </is>
      </c>
      <c r="E50" s="124" t="inlineStr">
        <is>
          <t>Xếp trượt Cao cấp</t>
        </is>
      </c>
      <c r="F50" s="123" t="n">
        <v>1.8</v>
      </c>
      <c r="G50" s="124" t="inlineStr">
        <is>
          <t>Cửa đi</t>
        </is>
      </c>
      <c r="H50" s="124" t="inlineStr">
        <is>
          <t>Xếp trượt (Bi-fold Folding)</t>
        </is>
      </c>
      <c r="I50" s="124" t="inlineStr">
        <is>
          <t>Biệt thự, nhà hàng, lối ra sân</t>
        </is>
      </c>
    </row>
    <row r="51" ht="25" customHeight="1">
      <c r="A51" s="123" t="n">
        <v>5</v>
      </c>
      <c r="B51" s="124" t="inlineStr">
        <is>
          <t>Civro</t>
        </is>
      </c>
      <c r="C51" s="123" t="inlineStr">
        <is>
          <t>Civro Lift Slide</t>
        </is>
      </c>
      <c r="D51" s="124" t="inlineStr">
        <is>
          <t>Khung CSD cách nhiệt + Phụ kiện Lift Slide</t>
        </is>
      </c>
      <c r="E51" s="124" t="inlineStr">
        <is>
          <t>Lift &amp; Slide Siêu cao cấp</t>
        </is>
      </c>
      <c r="F51" s="123" t="n">
        <v>2</v>
      </c>
      <c r="G51" s="124" t="inlineStr">
        <is>
          <t>Cửa đi</t>
        </is>
      </c>
      <c r="H51" s="124" t="inlineStr">
        <is>
          <t>Trượt nâng (Lift &amp; Slide)</t>
        </is>
      </c>
      <c r="I51" s="124" t="inlineStr">
        <is>
          <t>Biệt thự siêu sang, biệt thự biển, penthouse</t>
        </is>
      </c>
    </row>
    <row r="52" ht="25" customHeight="1">
      <c r="A52" s="123" t="n">
        <v>6</v>
      </c>
      <c r="B52" s="124" t="inlineStr">
        <is>
          <t>Civro</t>
        </is>
      </c>
      <c r="C52" s="123" t="inlineStr">
        <is>
          <t>Civro Folding</t>
        </is>
      </c>
      <c r="D52" s="124" t="inlineStr">
        <is>
          <t>Cánh xếp gấp + Ray trên đặc biệt</t>
        </is>
      </c>
      <c r="E52" s="124" t="inlineStr">
        <is>
          <t>Xếp trượt Cao cấp</t>
        </is>
      </c>
      <c r="F52" s="123" t="n">
        <v>1.8</v>
      </c>
      <c r="G52" s="124" t="inlineStr">
        <is>
          <t>Cửa đi</t>
        </is>
      </c>
      <c r="H52" s="124" t="inlineStr">
        <is>
          <t>Xếp trượt (Bi-fold / Folding)</t>
        </is>
      </c>
      <c r="I52" s="124" t="inlineStr">
        <is>
          <t>Biệt thự, nhà hàng, quán cà phê, resort</t>
        </is>
      </c>
    </row>
    <row r="53" ht="25" customHeight="1">
      <c r="A53" s="123" t="n">
        <v>7</v>
      </c>
      <c r="B53" s="124" t="inlineStr">
        <is>
          <t>Maxpro JP</t>
        </is>
      </c>
      <c r="C53" s="123" t="inlineStr">
        <is>
          <t>SFD80</t>
        </is>
      </c>
      <c r="D53" s="124" t="inlineStr">
        <is>
          <t>Cánh xếp gấp 80mm + Bản lề xếp</t>
        </is>
      </c>
      <c r="E53" s="124" t="inlineStr">
        <is>
          <t>Xếp trượt Cao cấp</t>
        </is>
      </c>
      <c r="F53" s="123" t="n">
        <v>1.8</v>
      </c>
      <c r="G53" s="124" t="inlineStr">
        <is>
          <t>Cửa đi</t>
        </is>
      </c>
      <c r="H53" s="124" t="inlineStr">
        <is>
          <t>Xếp trượt (Folding Sliding Door)</t>
        </is>
      </c>
      <c r="I53" s="124" t="inlineStr">
        <is>
          <t>Biệt thự, nhà hàng, không gian mở</t>
        </is>
      </c>
    </row>
    <row r="54" ht="25" customHeight="1">
      <c r="A54" s="123" t="n">
        <v>8</v>
      </c>
      <c r="B54" s="124" t="inlineStr">
        <is>
          <t>Soco</t>
        </is>
      </c>
      <c r="C54" s="123" t="inlineStr">
        <is>
          <t>Soco LS100</t>
        </is>
      </c>
      <c r="D54" s="124" t="inlineStr">
        <is>
          <t>Khung nặng đặc biệt + Ray Lift Slide</t>
        </is>
      </c>
      <c r="E54" s="124" t="inlineStr">
        <is>
          <t>Lift &amp; Slide Siêu cao cấp</t>
        </is>
      </c>
      <c r="F54" s="123" t="n">
        <v>2.5</v>
      </c>
      <c r="G54" s="124" t="inlineStr">
        <is>
          <t>Cửa đi</t>
        </is>
      </c>
      <c r="H54" s="124" t="inlineStr">
        <is>
          <t>Trượt nâng (Lift &amp; Slide)</t>
        </is>
      </c>
      <c r="I54" s="124" t="inlineStr">
        <is>
          <t>Biệt thự siêu sang, penthouse, resort</t>
        </is>
      </c>
    </row>
    <row r="55" ht="25" customHeight="1">
      <c r="A55" s="123" t="n">
        <v>9</v>
      </c>
      <c r="B55" s="124" t="inlineStr">
        <is>
          <t>Soco</t>
        </is>
      </c>
      <c r="C55" s="123" t="inlineStr">
        <is>
          <t>Soco Folding</t>
        </is>
      </c>
      <c r="D55" s="124" t="inlineStr">
        <is>
          <t>Cánh xếp gấp + Ray trên</t>
        </is>
      </c>
      <c r="E55" s="124" t="inlineStr">
        <is>
          <t>Xếp trượt</t>
        </is>
      </c>
      <c r="F55" s="123" t="n">
        <v>1.6</v>
      </c>
      <c r="G55" s="124" t="inlineStr">
        <is>
          <t>Cửa đi</t>
        </is>
      </c>
      <c r="H55" s="124" t="inlineStr">
        <is>
          <t>Xếp trượt (Folding/Bi-fold)</t>
        </is>
      </c>
      <c r="I55" s="124" t="inlineStr">
        <is>
          <t>Biệt thự, nhà hàng</t>
        </is>
      </c>
    </row>
    <row r="56" ht="25" customHeight="1">
      <c r="A56" s="123" t="n">
        <v>10</v>
      </c>
      <c r="B56" s="124" t="inlineStr">
        <is>
          <t>PAG</t>
        </is>
      </c>
      <c r="C56" s="123" t="inlineStr">
        <is>
          <t>PAG 83 Folding</t>
        </is>
      </c>
      <c r="D56" s="124" t="inlineStr">
        <is>
          <t>Cánh xếp gấp 83mm cầu cách nhiệt</t>
        </is>
      </c>
      <c r="E56" s="124" t="inlineStr">
        <is>
          <t>Xếp trượt Cao cấp</t>
        </is>
      </c>
      <c r="F56" s="123" t="n">
        <v>1.8</v>
      </c>
      <c r="G56" s="124" t="inlineStr">
        <is>
          <t>Cửa đi</t>
        </is>
      </c>
      <c r="H56" s="124" t="inlineStr">
        <is>
          <t>Xếp trượt cầu cách nhiệt (Thermal Bi-fold)</t>
        </is>
      </c>
      <c r="I56" s="124" t="inlineStr">
        <is>
          <t>Biệt thự cao cấp</t>
        </is>
      </c>
    </row>
    <row r="57" ht="25" customHeight="1">
      <c r="A57" s="123" t="n">
        <v>11</v>
      </c>
      <c r="B57" s="124" t="inlineStr">
        <is>
          <t>PAG</t>
        </is>
      </c>
      <c r="C57" s="123" t="inlineStr">
        <is>
          <t>PAG 125</t>
        </is>
      </c>
      <c r="D57" s="124" t="inlineStr">
        <is>
          <t>Khung cầu PA66 + Phụ kiện LSS đặc biệt</t>
        </is>
      </c>
      <c r="E57" s="124" t="inlineStr">
        <is>
          <t>Lift &amp; Slide Siêu cao cấp</t>
        </is>
      </c>
      <c r="F57" s="123" t="n">
        <v>2</v>
      </c>
      <c r="G57" s="124" t="inlineStr">
        <is>
          <t>Cửa đi</t>
        </is>
      </c>
      <c r="H57" s="124" t="inlineStr">
        <is>
          <t>Trượt nâng (Lift &amp; Slide)</t>
        </is>
      </c>
      <c r="I57" s="124" t="inlineStr">
        <is>
          <t>Biệt thự siêu sang, resort</t>
        </is>
      </c>
    </row>
    <row r="58" ht="25" customHeight="1">
      <c r="A58" s="123" t="n">
        <v>12</v>
      </c>
      <c r="B58" s="124" t="inlineStr">
        <is>
          <t>PAG</t>
        </is>
      </c>
      <c r="C58" s="123" t="inlineStr">
        <is>
          <t>PAG 200</t>
        </is>
      </c>
      <c r="D58" s="124" t="inlineStr">
        <is>
          <t>Khung cầu PA66 200mm siêu dày</t>
        </is>
      </c>
      <c r="E58" s="124" t="inlineStr">
        <is>
          <t>Lift &amp; Slide Siêu cao cấp</t>
        </is>
      </c>
      <c r="F58" s="123" t="n">
        <v>2</v>
      </c>
      <c r="G58" s="124" t="inlineStr">
        <is>
          <t>Cửa đi</t>
        </is>
      </c>
      <c r="H58" s="124" t="inlineStr">
        <is>
          <t>Trượt nâng bản lớn (Heavy Lift &amp; Slide)</t>
        </is>
      </c>
      <c r="I58" s="124" t="inlineStr">
        <is>
          <t>Biệt thự siêu sang, penthouse</t>
        </is>
      </c>
    </row>
    <row r="59" ht="25" customHeight="1">
      <c r="A59" s="123" t="n">
        <v>13</v>
      </c>
      <c r="B59" s="124" t="inlineStr">
        <is>
          <t>Yangli</t>
        </is>
      </c>
      <c r="C59" s="123" t="inlineStr">
        <is>
          <t>Yangli Folding 80</t>
        </is>
      </c>
      <c r="D59" s="124" t="inlineStr">
        <is>
          <t>Cánh xếp gấp 80mm</t>
        </is>
      </c>
      <c r="E59" s="124" t="inlineStr">
        <is>
          <t>Xếp trượt</t>
        </is>
      </c>
      <c r="F59" s="123" t="n">
        <v>1.5</v>
      </c>
      <c r="G59" s="124" t="inlineStr">
        <is>
          <t>Cửa đi</t>
        </is>
      </c>
      <c r="H59" s="124" t="inlineStr">
        <is>
          <t>Xếp trượt (Folding 80)</t>
        </is>
      </c>
      <c r="I59" s="124" t="inlineStr">
        <is>
          <t>Biệt thự, nhà hàng</t>
        </is>
      </c>
    </row>
    <row r="60" ht="25" customHeight="1">
      <c r="A60" s="123" t="n">
        <v>14</v>
      </c>
      <c r="B60" s="124" t="inlineStr">
        <is>
          <t>Schüco</t>
        </is>
      </c>
      <c r="C60" s="123" t="inlineStr">
        <is>
          <t>ASS 77 PD.HI</t>
        </is>
      </c>
      <c r="D60" s="124" t="inlineStr">
        <is>
          <t>Khung cầu cách nhiệt + Cánh nặng Lift Slide</t>
        </is>
      </c>
      <c r="E60" s="124" t="inlineStr">
        <is>
          <t>Lift Slide Đức Siêu cao cấp</t>
        </is>
      </c>
      <c r="F60" s="123" t="n">
        <v>2.5</v>
      </c>
      <c r="G60" s="124" t="inlineStr">
        <is>
          <t>Cửa đi</t>
        </is>
      </c>
      <c r="H60" s="124" t="inlineStr">
        <is>
          <t>Trượt nâng cách nhiệt (Thermal Lift &amp; Slide)</t>
        </is>
      </c>
      <c r="I60" s="124" t="inlineStr">
        <is>
          <t>Penthouse, biệt thự siêu sang, resort 6 sao</t>
        </is>
      </c>
    </row>
    <row r="61" ht="25" customHeight="1">
      <c r="A61" s="123" t="n">
        <v>15</v>
      </c>
      <c r="B61" s="124" t="inlineStr">
        <is>
          <t>Reynaers</t>
        </is>
      </c>
      <c r="C61" s="123" t="inlineStr">
        <is>
          <t>CP 155-LS</t>
        </is>
      </c>
      <c r="D61" s="124" t="inlineStr">
        <is>
          <t>Khung cách nhiệt + Cánh nặng Lift Slide Reynaers</t>
        </is>
      </c>
      <c r="E61" s="124" t="inlineStr">
        <is>
          <t>Lift Slide Bỉ</t>
        </is>
      </c>
      <c r="F61" s="123" t="n">
        <v>2.5</v>
      </c>
      <c r="G61" s="124" t="inlineStr">
        <is>
          <t>Cửa đi</t>
        </is>
      </c>
      <c r="H61" s="124" t="inlineStr">
        <is>
          <t>Trượt nâng (Lift &amp; Slide)</t>
        </is>
      </c>
      <c r="I61" s="124" t="inlineStr">
        <is>
          <t>Biệt thự cao cấp Châu Âu, penthouse</t>
        </is>
      </c>
    </row>
    <row r="62" ht="25" customHeight="1">
      <c r="A62" s="123" t="n">
        <v>16</v>
      </c>
      <c r="B62" s="124" t="inlineStr">
        <is>
          <t>PMI</t>
        </is>
      </c>
      <c r="C62" s="123" t="inlineStr">
        <is>
          <t>PMI L120C</t>
        </is>
      </c>
      <c r="D62" s="124" t="inlineStr">
        <is>
          <t>Khung trượt nâng bản 120mm</t>
        </is>
      </c>
      <c r="E62" s="124" t="inlineStr">
        <is>
          <t>Lift &amp; Slide</t>
        </is>
      </c>
      <c r="F62" s="123" t="n">
        <v>2</v>
      </c>
      <c r="G62" s="124" t="inlineStr">
        <is>
          <t>Cửa đi</t>
        </is>
      </c>
      <c r="H62" s="124" t="inlineStr">
        <is>
          <t>Trượt nâng (Lift &amp; Slide)</t>
        </is>
      </c>
      <c r="I62" s="124" t="inlineStr">
        <is>
          <t>Resort cao cấp, biệt thự sân vườn lớn</t>
        </is>
      </c>
    </row>
    <row r="63" ht="25" customHeight="1">
      <c r="A63" s="123" t="n">
        <v>17</v>
      </c>
      <c r="B63" s="124" t="inlineStr">
        <is>
          <t>PMI</t>
        </is>
      </c>
      <c r="C63" s="123" t="inlineStr">
        <is>
          <t>PMI DLM128</t>
        </is>
      </c>
      <c r="D63" s="124" t="inlineStr">
        <is>
          <t>Khung trượt nâng 128mm cực dày</t>
        </is>
      </c>
      <c r="E63" s="124" t="inlineStr">
        <is>
          <t>Lift &amp; Slide</t>
        </is>
      </c>
      <c r="F63" s="123" t="n">
        <v>2.2</v>
      </c>
      <c r="G63" s="124" t="inlineStr">
        <is>
          <t>Cửa đi</t>
        </is>
      </c>
      <c r="H63" s="124" t="inlineStr">
        <is>
          <t>Trượt nâng siêu tải (Lift &amp; Slide)</t>
        </is>
      </c>
      <c r="I63" s="124" t="inlineStr">
        <is>
          <t>Biệt thự Luxury diện tích mặt lớn, penthouses</t>
        </is>
      </c>
    </row>
    <row r="64" ht="25" customHeight="1">
      <c r="A64" s="123" t="n">
        <v>18</v>
      </c>
      <c r="B64" s="124" t="inlineStr">
        <is>
          <t>Civro/Maxpro/Soco</t>
        </is>
      </c>
      <c r="C64" s="123" t="inlineStr">
        <is>
          <t>Bi-fold/Folding</t>
        </is>
      </c>
      <c r="D64" s="124" t="inlineStr">
        <is>
          <t>Cánh xếp gấp + Bản lề xếp + Ray trên</t>
        </is>
      </c>
      <c r="E64" s="124" t="inlineStr">
        <is>
          <t>Cửa Bi-fold Xếp trượt</t>
        </is>
      </c>
      <c r="F64" s="123" t="n">
        <v>1.8</v>
      </c>
      <c r="G64" s="124" t="inlineStr">
        <is>
          <t>Cửa đi</t>
        </is>
      </c>
      <c r="H64" s="124" t="inlineStr">
        <is>
          <t>Xếp trượt (Bi-fold / Folding)</t>
        </is>
      </c>
      <c r="I64" s="124" t="inlineStr">
        <is>
          <t>Nhà hàng, quán cà phê, biệt thự mở</t>
        </is>
      </c>
    </row>
  </sheetData>
  <mergeCells count="5">
    <mergeCell ref="A18:I19"/>
    <mergeCell ref="A44:I45"/>
    <mergeCell ref="A1:I2"/>
    <mergeCell ref="A30:I31"/>
    <mergeCell ref="A4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2026-07-02T08:09:17Z</dcterms:created>
  <dcterms:modified xmlns:dcterms="http://purl.org/dc/terms/" xmlns:xsi="http://www.w3.org/2001/XMLSchema-instance" xsi:type="dcterms:W3CDTF">2026-07-02T08:09:18Z</dcterms:modified>
</cp:coreProperties>
</file>